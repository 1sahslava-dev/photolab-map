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7be876ae6a42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89bc147ec81d4166"/>
    <x:sheet xmlns:r="http://schemas.openxmlformats.org/officeDocument/2006/relationships" name="01_Master_Facts" sheetId="2" r:id="Rcae5aa9a01104fb7"/>
    <x:sheet xmlns:r="http://schemas.openxmlformats.org/officeDocument/2006/relationships" name="02_Branches" sheetId="3" r:id="Rfb28ea5c5c7246e8"/>
    <x:sheet xmlns:r="http://schemas.openxmlformats.org/officeDocument/2006/relationships" name="03_Lessons_Map" sheetId="4" r:id="R41a94ce12af846ef"/>
    <x:sheet xmlns:r="http://schemas.openxmlformats.org/officeDocument/2006/relationships" name="04_Sources" sheetId="5" r:id="R17f69793fedb41b2"/>
    <x:sheet xmlns:r="http://schemas.openxmlformats.org/officeDocument/2006/relationships" name="06_Lists" sheetId="6" r:id="R8f7418347b3b429e"/>
    <x:sheet xmlns:r="http://schemas.openxmlformats.org/officeDocument/2006/relationships" name="00_README" sheetId="7" r:id="R6823f14f8b7e4aa2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<x:sst xmlns:x="http://schemas.openxmlformats.org/spreadsheetml/2006/main">
  <x:si>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</x:si>
  <x:si>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</x:si>
  <x:si>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</x:si>
  <x:si>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</x:si>
  <x:si>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</x:si>
  <x:si>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</x:si>
  <x:si>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</x:si>
  <x:si>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</x:si>
  <x:si>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</x:si>
  <x:si>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</x:si>
  <x:si>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</x:si>
  <x:si>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</x:si>
  <x:si>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</x:si>
  <x:si>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PL-001</x:t>
  </x:si>
  <x:si>
    <x:t xml:space="preserve">Оптические инструменты</x:t>
  </x:si>
  <x:si>
    <x:t xml:space="preserve">PL-002</x:t>
  </x:si>
  <x:si>
    <x:t xml:space="preserve">Фотохимия</x:t>
  </x:si>
  <x:si>
    <x:t xml:space="preserve">PL-003</x:t>
  </x:si>
  <x:si>
    <x:t xml:space="preserve">Гелиография</x:t>
  </x:si>
  <x:si>
    <x:t xml:space="preserve">PL-004</x:t>
  </x:si>
  <x:si>
    <x:t xml:space="preserve">Дагеротип</x:t>
  </x:si>
  <x:si>
    <x:t xml:space="preserve">PL-005</x:t>
  </x:si>
  <x:si>
    <x:t xml:space="preserve">Фотогенный рисунок / фотограмма</x:t>
  </x:si>
  <x:si>
    <x:t xml:space="preserve">PL-006</x:t>
  </x:si>
  <x:si>
    <x:t xml:space="preserve">Негатив-позитив</x:t>
  </x:si>
  <x:si>
    <x:t xml:space="preserve">PL-007</x:t>
  </x:si>
  <x:si>
    <x:t xml:space="preserve">Фиксаж / терминология</x:t>
  </x:si>
  <x:si>
    <x:t xml:space="preserve">PL-008</x:t>
  </x:si>
  <x:si>
    <x:t xml:space="preserve">Печать / тиражирование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</x:si>
  <x:si>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</x:si>
  <x:si>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</x:si>
  <x:si>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</x:si>
  <x:si>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</x:si>
  <x:si>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</x:si>
  <x:si>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</x:si>
  <x:si>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</x:si>
  <x:si>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</x:si>
  <x:si>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</x:si>
  <x:si>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</x:si>
  <x:si>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</x:si>
  <x:si>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</x:si>
  <x:si>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</x:si>
  <x:si>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</x:si>
  <x:si>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</x:si>
  <x:si>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</x:si>
  <x:si>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</x:si>
  <x:si>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</x:si>
  <x:si>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</x:si>
  <x:si>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</x:si>
  <x:si>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</x:si>
  <x:si>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</x:si>
  <x:si>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</x:si>
  <x:si>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</x:si>
  <x:si>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</x:si>
  <x:si>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</x:si>
  <x:si>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</x:si>
  <x:si>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</x:si>
  <x:si>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</x:si>
  <x:si>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</x:si>
  <x:si>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</x:si>
  <x:si>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</x:si>
  <x:si>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</x:si>
  <x:si>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</x:si>
  <x:si>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</x:si>
  <x:si>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</x:si>
  <x:si>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</x:si>
  <x:si>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</x:si>
  <x:si>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</x:si>
  <x:si>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Флагман урока (да/нет)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</x:si>
  <x:si>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</x:si>
  <x:si>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</x:si>
  <x:si>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</x:si>
  <x:si>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</x:si>
  <x:si>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</x:si>
  <x:si>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</x:si>
  <x:si>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</x:si>
  <x:si>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</x:si>
  <x:si>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</x:si>
  <x:si>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</x:si>
  <x:si>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</x:si>
  <x:si>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</x:si>
  <x:si>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</x:si>
  <x:si>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</x:si>
  <x:si>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</x:si>
  <x:si>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</x:si>
  <x:si>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</x:si>
  <x:si>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</x:si>
  <x:si>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</x:si>
  <x:si>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</x:si>
  <x:si>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да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</x:si>
  <x:si>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</x:si>
  <x:si>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</x:si>
  <x:si>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</x:si>
  <x:si>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</x:si>
  <x:si>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</x:si>
  <x:si>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</x:si>
  <x:si>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</x:si>
  <x:si>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</x:si>
  <x:si>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</x:si>
  <x:si>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</x:si>
  <x:si>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</x:si>
  <x:si>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</x:si>
  <x:si>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</x:si>
  <x:si>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</x:si>
  <x:si>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</x:si>
  <x:si>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</x:si>
  <x:si>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</x:si>
  <x:si>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</x:si>
  <x:si>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</x:si>
  <x:si>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</x:si>
  <x:si>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</x:si>
  <x:si>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</x:si>
  <x:si>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</x:si>
  <x:si>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</x:si>
  <x:si>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</x:si>
  <x:si>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</x:si>
  <x:si>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</x:si>
  <x:si>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</x:si>
  <x:si>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</x:si>
  <x:si>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</x:si>
  <x:si>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</x:si>
  <x:si>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</x:si>
  <x:si>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</x:si>
  <x:si>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</x:si>
  <x:si>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</x:si>
  <x:si>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</x:si>
  <x:si>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</x:si>
  <x:si>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</x:si>
  <x:si>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</x:si>
  <x:si>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</x:si>
  <x:si>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</x:si>
  <x:si>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</x:si>
  <x:si>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</x:si>
  <x:si>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</x:si>
  <x:si>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</x:si>
  <x:si>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</x:si>
  <x:si>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</x:si>
  <x:si>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</x:si>
  <x:si>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</x:si>
  <x:si>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</x:si>
  <x:si>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</x:si>
  <x:si>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</x:si>
  <x:si>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</x:si>
  <x:si>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</x:si>
  <x:si>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</x:si>
  <x:si>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</x:si>
  <x:si>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</x:si>
  <x:si>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</x:si>
  <x:si>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</x:si>
  <x:si>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</x:si>
  <x:si>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</x:si>
  <x:si>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</x:si>
  <x:si>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</x:si>
  <x:si>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</x:si>
  <x:si>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</x:si>
  <x:si>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</x:si>
  <x:si>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</x:si>
  <x:si>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</x:si>
  <x:si>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</x:si>
  <x:si>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</x:si>
  <x:si>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</x:si>
  <x:si>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</x:si>
  <x:si>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</x:si>
  <x:si>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</x:si>
  <x:si>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</x:si>
  <x:si>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</x:si>
  <x:si>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</x:si>
  <x:si>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</x:si>
  <x:si>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</x:si>
  <x:si>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</x:si>
  <x:si>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</x:si>
  <x:si>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</x:si>
  <x:si>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</x:si>
  <x:si>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</x:si>
  <x:si>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</x:si>
  <x:si>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</x:si>
  <x:si>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</x:si>
  <x:si>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</x:si>
  <x:si>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</x:si>
  <x:si>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</x:si>
  <x:si>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</x:si>
  <x:si>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</x:si>
  <x:si>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</x:si>
  <x:si>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</x:si>
  <x:si>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</x:si>
  <x:si>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</x:si>
  <x:si>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</x:si>
  <x:si>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</x:si>
  <x:si>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</x:si>
  <x:si>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</x:si>
  <x:si>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</x:si>
  <x:si>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</x:si>
  <x:si>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</x:si>
  <x:si>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</x:si>
  <x:si>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</x:si>
  <x:si>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</x:si>
  <x:si>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</x:si>
  <x:si>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</x:si>
  <x:si>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</x:si>
  <x:si>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</x:si>
  <x:si>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</x:si>
  <x:si>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</x:si>
  <x:si>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</x:si>
  <x:si>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</x:si>
  <x:si>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</x:si>
  <x:si>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</x:si>
  <x:si>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</x:si>
  <x:si>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</x:si>
  <x:si>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</x:si>
  <x:si>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</x:si>
  <x:si>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</x:si>
  <x:si>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</x:si>
  <x:si>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</x:si>
  <x:si>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</x:si>
  <x:si>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</x:si>
  <x:si>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</x:si>
  <x:si>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</x:si>
  <x:si>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</x:si>
  <x:si>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</x:si>
  <x:si>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</x:si>
  <x:si>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</x:si>
  <x:si>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</x:si>
  <x:si>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</x:si>
  <x:si>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</x:si>
  <x:si>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</x:si>
  <x:si>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</x:si>
  <x:si>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</x:si>
  <x:si>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</x:si>
  <x:si>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</x:si>
  <x:si>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</x:si>
  <x:si>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</x:si>
  <x:si>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</x:si>
  <x:si>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</x:si>
  <x:si>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</x:si>
  <x:si>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</x:si>
  <x:si>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</x:si>
  <x:si>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</x:si>
  <x:si>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</x:si>
  <x:si>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</x:si>
  <x:si>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</x:si>
  <x:si>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</x:si>
  <x:si>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</x:si>
  <x:si>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</x:si>
  <x:si>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</x:si>
  <x:si>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</x:si>
  <x:si>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</x:si>
  <x:si>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</x:si>
  <x:si>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</x:si>
  <x:si>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</x:si>
  <x:si>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</x:si>
  <x:si>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</x:si>
  <x:si>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</x:si>
  <x:si>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</x:si>
  <x:si>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</x:si>
  <x:si>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</x:si>
  <x:si>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</x:si>
  <x:si>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</x:si>
  <x:si>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</x:si>
  <x:si>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</x:si>
  <x:si>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</x:si>
  <x:si>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</x:si>
  <x:si>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</x:si>
  <x:si>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</x:si>
  <x:si>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</x:si>
  <x:si>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</x:si>
  <x:si>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</x:si>
  <x:si>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</x:si>
  <x:si>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</x:si>
  <x:si>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</x:si>
  <x:si>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</x:si>
  <x:si>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</x:si>
  <x:si>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</x:si>
  <x:si>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</x:si>
  <x:si>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</x:si>
  <x:si>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</x:si>
  <x:si>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</x:si>
  <x:si>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</x:si>
  <x:si>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</x:si>
  <x:si>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</x:si>
  <x:si>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межурочный узел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</x:si>
  <x:si>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</x:si>
  <x:si>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</x:si>
  <x:si>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</x:si>
  <x:si>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</x:si>
  <x:si>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</x:si>
  <x:si>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</x:si>
  <x:si>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</x:si>
  <x:si>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</x:si>
  <x:si>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</x:si>
  <x:si>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</x:si>
  <x:si>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</x:si>
  <x:si>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</x:si>
  <x:si>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</x:si>
  <x:si>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</x:si>
  <x:si>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</x:si>
  <x:si>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</x:si>
  <x:si>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</x:si>
  <x:si>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</x:si>
  <x:si>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</x:si>
  <x:si>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</x:si>
  <x:si>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</x:si>
  <x:si>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</x:si>
  <x:si>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</x:si>
  <x:si>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</x:si>
  <x:si>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</x:si>
  <x:si>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</x:si>
  <x:si>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</x:si>
  <x:si>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</x:si>
  <x:si>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</x:si>
  <x:si>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</x:si>
  <x:si>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</x:si>
  <x:si>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</x:si>
  <x:si>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</x:si>
  <x:si>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</x:si>
  <x:si>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</x:si>
  <x:si>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</x:si>
  <x:si>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</x:si>
  <x:si>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</x:si>
  <x:si>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</x:si>
  <x:si>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</x:si>
  <x:si>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</x:si>
  <x:si>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</x:si>
  <x:si>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</x:si>
  <x:si>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</x:si>
  <x:si>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</x:si>
  <x:si>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</x:si>
  <x:si>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</x:si>
  <x:si>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</x:si>
  <x:si>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</x:si>
  <x:si>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</x:si>
  <x:si>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</x:si>
  <x:si>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</x:si>
  <x:si>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</x:si>
  <x:si>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</x:si>
  <x:si>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</x:si>
  <x:si>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</x:si>
  <x:si>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</x:si>
  <x:si>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</x:si>
  <x:si>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</x:si>
  <x:si>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</x:si>
  <x:si>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</x:si>
  <x:si>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</x:si>
  <x:si>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</x:si>
  <x:si>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</x:si>
  <x:si>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</x:si>
  <x:si>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</x:si>
  <x:si>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</x:si>
  <x:si>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</x:si>
  <x:si>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</x:si>
  <x:si>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</x:si>
  <x:si>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</x:si>
  <x:si>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</x:si>
  <x:si>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</x:si>
  <x:si>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</x:si>
  <x:si>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</x:si>
  <x:si>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</x:si>
  <x:si>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</x:si>
  <x:si>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</x:si>
  <x:si>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</x:si>
  <x:si>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</x:si>
  <x:si>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</x:si>
  <x:si>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</x:si>
  <x:si>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</x:si>
  <x:si>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</x:si>
  <x:si>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</x:si>
  <x:si>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</x:si>
  <x:si>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</x:si>
  <x:si>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</x:si>
  <x:si>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</x:si>
  <x:si>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</x:si>
  <x:si>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</x:si>
  <x:si>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</x:si>
  <x:si>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</x:si>
  <x:si>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</x:si>
  <x:si>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</x:si>
  <x:si>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</x:si>
  <x:si>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</x:si>
  <x:si>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</x:si>
  <x:si>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</x:si>
  <x:si>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</x:si>
  <x:si>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</x:si>
  <x:si>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</x:si>
  <x:si>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</x:si>
  <x:si>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</x:si>
  <x:si>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</x:si>
  <x:si>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</x:si>
  <x:si>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</x:si>
  <x:si>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</x:si>
  <x:si>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</x:si>
  <x:si>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</x:si>
  <x:si>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</x:si>
  <x:si>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</x:si>
  <x:si>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</x:si>
  <x:si>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</x:si>
  <x:si>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</x:si>
  <x:si>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</x:si>
  <x:si>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</x:si>
  <x:si>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</x:si>
  <x:si>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</x:si>
  <x:si>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</x:si>
  <x:si>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</x:si>
  <x:si>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</x:si>
  <x:si>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</x:si>
  <x:si>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</x:si>
  <x:si>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</x:si>
  <x:si>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</x:si>
  <x:si>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</x:si>
  <x:si>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</x:si>
  <x:si>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</x:si>
  <x:si>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</x:si>
  <x:si>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</x:si>
  <x:si>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</x:si>
  <x:si>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</x:si>
  <x:si>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</x:si>
  <x:si>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</x:si>
  <x:si>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</x:si>
  <x:si>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</x:si>
  <x:si>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</x:si>
  <x:si>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</x:si>
  <x:si>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</x:si>
  <x:si>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</x:si>
  <x:si>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</x:si>
  <x:si>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</x:si>
  <x:si>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</x:si>
  <x:si>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</x:si>
  <x:si>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</x:si>
  <x:si>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</x:si>
  <x:si>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</x:si>
  <x:si>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</x:si>
  <x:si>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</x:si>
  <x:si>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</x:si>
  <x:si>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</x:si>
  <x:si>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</x:si>
  <x:si>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</x:si>
  <x:si>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</x:si>
  <x:si>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</x:si>
  <x:si>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</x:si>
  <x:si>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</x:si>
  <x:si>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</x:si>
  <x:si>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</x:si>
  <x:si>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</x:si>
  <x:si>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</x:si>
  <x:si>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</x:si>
  <x:si>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</x:si>
  <x:si>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</x:si>
  <x:si>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</x:si>
  <x:si>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</x:si>
  <x:si>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</x:si>
  <x:si>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</x:si>
  <x:si>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</x:si>
  <x:si>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</x:si>
  <x:si>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</x:si>
  <x:si>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</x:si>
  <x:si>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</x:si>
  <x:si>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</x:si>
  <x:si>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</x:si>
  <x:si>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</x:si>
  <x:si>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</x:si>
  <x:si>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</x:si>
  <x:si>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</x:si>
  <x:si>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</x:si>
  <x:si>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</x:si>
  <x:si>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</x:si>
  <x:si>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</x:si>
  <x:si>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</x:si>
  <x:si>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</x:si>
  <x:si>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</x:si>
  <x:si>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</x:si>
  <x:si>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</x:si>
  <x:si>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</x:si>
  <x:si>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</x:si>
  <x:si>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</x:si>
  <x:si>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</x:si>
  <x:si>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</x:si>
  <x:si>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</x:si>
  <x:si>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</x:si>
  <x:si>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</x:si>
  <x:si>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</x:si>
  <x:si>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</x:si>
  <x:si>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</x:si>
  <x:si>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</x:si>
  <x:si>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</x:si>
  <x:si>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</x:si>
  <x:si>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</x:si>
  <x:si>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</x:si>
  <x:si>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</x:si>
  <x:si>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</x:si>
  <x:si>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</x:si>
  <x:si>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</x:si>
  <x:si>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будущие PL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</x:si>
  <x:si>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</x:si>
  <x:si>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</x:si>
  <x:si>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</x:si>
  <x:si>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</x:si>
  <x:si>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</x:si>
  <x:si>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</x:si>
  <x:si>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</x:si>
  <x:si>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</x:si>
  <x:si>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</x:si>
  <x:si>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</x:si>
  <x:si>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</x:si>
  <x:si>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</x:si>
  <x:si>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</x:si>
  <x:si>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</x:si>
  <x:si>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</x:si>
  <x:si>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</x:si>
  <x:si>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</x:si>
  <x:si>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</x:si>
  <x:si>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</x:si>
  <x:si>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</x:si>
  <x:si>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</x:si>
  <x:si>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</x:si>
  <x:si>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</x:si>
  <x:si>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</x:si>
  <x:si>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</x:si>
  <x:si>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</x:si>
  <x:si>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</x:si>
  <x:si>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</x:si>
  <x:si>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</x:si>
  <x:si>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</x:si>
  <x:si>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</x:si>
  <x:si>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</x:si>
  <x:si>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</x:si>
  <x:si>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</x:si>
  <x:si>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</x:si>
  <x:si>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</x:si>
  <x:si>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</x:si>
  <x:si>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</x:si>
  <x:si>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</x:si>
  <x:si>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</x:si>
  <x:si>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</x:si>
  <x:si>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</x:si>
  <x:si>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</x:si>
  <x:si>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</x:si>
  <x:si>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</x:si>
  <x:si>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</x:si>
  <x:si>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</x:si>
  <x:si>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</x:si>
  <x:si>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</x:si>
  <x:si>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</x:si>
  <x:si>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</x:si>
  <x:si>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</x:si>
  <x:si>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</x:si>
  <x:si>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</x:si>
  <x:si>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</x:si>
  <x:si>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</x:si>
  <x:si>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</x:si>
  <x:si>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</x:si>
  <x:si>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</x:si>
  <x:si>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</x:si>
  <x:si>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</x:si>
  <x:si>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</x:si>
  <x:si>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</x:si>
  <x:si>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</x:si>
  <x:si>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</x:si>
  <x:si>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</x:si>
  <x:si>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</x:si>
  <x:si>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</x:si>
  <x:si>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</x:si>
  <x:si>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</x:si>
  <x:si>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</x:si>
  <x:si>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</x:si>
  <x:si>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</x:si>
  <x:si>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</x:si>
  <x:si>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</x:si>
  <x:si>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</x:si>
  <x:si>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</x:si>
  <x:si>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</x:si>
  <x:si>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</x:si>
  <x:si>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</x:si>
  <x:si>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</x:si>
  <x:si>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</x:si>
  <x:si>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</x:si>
  <x:si>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</x:si>
  <x:si>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</x:si>
  <x:si>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</x:si>
  <x:si>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</x:si>
  <x:si>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</x:si>
  <x:si>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</x:si>
  <x:si>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</x:si>
  <x:si>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</x:si>
  <x:si>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</x:si>
  <x:si>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</x:si>
  <x:si>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</x:si>
  <x:si>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</x:si>
  <x:si>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</x:si>
  <x:si>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</x:si>
  <x:si>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</x:si>
  <x:si>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</x:si>
  <x:si>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</x:si>
  <x:si>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</x:si>
  <x:si>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</x:si>
  <x:si>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</x:si>
  <x:si>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</x:si>
  <x:si>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</x:si>
  <x:si>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</x:si>
  <x:si>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</x:si>
  <x:si>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</x:si>
  <x:si>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</x:si>
  <x:si>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</x:si>
  <x:si>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</x:si>
  <x:si>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</x:si>
  <x:si>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</x:si>
  <x:si>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</x:si>
  <x:si>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</x:si>
  <x:si>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</x:si>
  <x:si>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</x:si>
  <x:si>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</x:si>
  <x:si>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</x:si>
  <x:si>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</x:si>
  <x:si>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</x:si>
  <x:si>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</x:si>
  <x:si>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</x:si>
  <x:si>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</x:si>
  <x:si>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</x:si>
  <x:si>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</x:si>
  <x:si>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</x:si>
  <x:si>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</x:si>
  <x:si>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</x:si>
  <x:si>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</x:si>
  <x:si>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</x:si>
  <x:si>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</x:si>
  <x:si>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</x:si>
  <x:si>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</x:si>
  <x:si>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</x:si>
  <x:si>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</x:si>
  <x:si>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</x:si>
  <x:si>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</x:si>
  <x:si>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</x:si>
  <x:si>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</x:si>
  <x:si>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</x:si>
  <x:si>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</x:si>
  <x:si>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</x:si>
  <x:si>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</x:si>
  <x:si>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</x:si>
  <x:si>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</x:si>
  <x:si>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</x:si>
  <x:si>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</x:si>
  <x:si>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</x:si>
  <x:si>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</x:si>
  <x:si>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</x:si>
  <x:si>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</x:si>
  <x:si>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</x:si>
  <x:si>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</x:si>
  <x:si>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</x:si>
  <x:si>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</x:si>
  <x:si>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</x:si>
  <x:si>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</x:si>
  <x:si>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</x:si>
  <x:si>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</x:si>
  <x:si>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</x:si>
  <x:si>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</x:si>
  <x:si>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</x:si>
  <x:si>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</x:si>
  <x:si>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</x:si>
  <x:si>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</x:si>
  <x:si>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</x:si>
  <x:si>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</x:si>
  <x:si>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</x:si>
  <x:si>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</x:si>
  <x:si>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</x:si>
  <x:si>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</x:si>
  <x:si>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</x:si>
  <x:si>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</x:si>
  <x:si>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</x:si>
  <x:si>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</x:si>
  <x:si>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</x:si>
  <x:si>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</x:si>
  <x:si>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</x:si>
  <x:si>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</x:si>
  <x:si>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</x:si>
  <x:si>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</x:si>
  <x:si>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</x:si>
  <x:si>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</x:si>
  <x:si>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</x:si>
  <x:si>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</x:si>
  <x:si>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</x:si>
  <x:si>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</x:si>
  <x:si>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</x:si>
  <x:si>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</x:si>
  <x:si>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</x:si>
  <x:si>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</x:si>
  <x:si>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</x:si>
  <x:si>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</x:si>
  <x:si>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</x:si>
  <x:si>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</x:si>
  <x:si>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</x:si>
  <x:si>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</x:si>
  <x:si>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</x:si>
  <x:si>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</x:si>
  <x:si>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</x:si>
  <x:si>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</x:si>
  <x:si>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</x:si>
  <x:si>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</x:si>
  <x:si>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</x:si>
  <x:si>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</x:si>
  <x:si>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</x:si>
  <x:si>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</x:si>
  <x:si>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</x:si>
  <x:si>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</x:si>
  <x:si>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</x:si>
  <x:si>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</x:si>
  <x:si>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</x:si>
  <x:si>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</x:si>
  <x:si>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</x:si>
  <x:si>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</x:si>
  <x:si>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</x:si>
  <x:si>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</x:si>
  <x:si>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</x:si>
  <x:si>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</x:si>
  <x:si>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</x:si>
  <x:si>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</x:si>
  <x:si>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</x:si>
  <x:si>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</x:si>
  <x:si>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</x:si>
  <x:si>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</x:si>
  <x:si>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</x:si>
  <x:si>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</x:si>
  <x:si>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</x:si>
  <x:si>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</x:si>
  <x:si>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</x:si>
  <x:si>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</x:si>
  <x:si>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</x:si>
  <x:si>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</x:si>
  <x:si>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</x:si>
  <x:si>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</x:si>
  <x:si>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</x:si>
  <x:si>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</x:si>
  <x:si>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</x:si>
  <x:si>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</x:si>
  <x:si>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</x:si>
  <x:si>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</x:si>
  <x:si>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</x:si>
  <x:si>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</x:si>
  <x:si>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</x:si>
  <x:si>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</x:si>
  <x:si>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</x:si>
  <x:si>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</x:si>
  <x:si>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</x:si>
  <x:si>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</x:si>
  <x:si>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</x:si>
  <x:si>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</x:si>
  <x:si>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</x:si>
  <x:si>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</x:si>
  <x:si>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</x:si>
  <x:si>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</x:si>
  <x:si>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</x:si>
  <x:si>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</x:si>
  <x:si>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</x:si>
  <x:si>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</x:si>
  <x:si>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</x:si>
  <x:si>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</x:si>
  <x:si>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</x:si>
  <x:si>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</x:si>
  <x:si>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</x:si>
  <x:si>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</x:si>
  <x:si>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</x:si>
  <x:si>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</x:si>
  <x:si>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</x:si>
  <x:si>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</x:si>
  <x:si>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</x:si>
  <x:si>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</x:si>
  <x:si>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PL-HIST-0049</x:t>
  </x:si>
  <x:si>
    <x:t xml:space="preserve">1871</x:t>
  </x:si>
  <x:si>
    <x:t xml:space="preserve">Лондон (публикация)</x:t>
  </x:si>
  <x:si>
    <x:t xml:space="preserve">Ричард Лич Мэддокс</x:t>
  </x:si>
  <x:si>
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</x:si>
  <x:si>
    <x:t xml:space="preserve">Gelatino-bromide dry plate</x:t>
  </x:si>
  <x:si>
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</x:si>
  <x:si>
    <x:t xml:space="preserve">Мокрый коллодий требовал немедленно готовить, снимать и проявлять пластину</x:t>
  </x:si>
  <x:si>
    <x:t xml:space="preserve">Эксперименты Бёрджесса, Кеннетта и Беннетта; коммерческие сухие пластины</x:t>
  </x:si>
  <x:si>
    <x:t xml:space="preserve">SRC-027</x:t>
  </x:si>
  <x:si>
    <x:t xml:space="preserve">National Science and Media Museum — Kodak and Ilford camera factories</x:t>
  </x:si>
  <x:si>
    <x:t xml:space="preserve">https://www.scienceandmediamuseum.org.uk/objects-and-stories/kodak-ilford-camera-factories-1930s</x:t>
  </x:si>
  <x:si>
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</x:si>
  <x:si>
    <x:t xml:space="preserve">На карте: влажная красная линия коллодия переходит в сухую стеклянную пластину с желатиновой эмульсией.</x:t>
  </x:si>
  <x:si>
    <x:t xml:space="preserve">#PL006 #dry-plate #Maddox #gelatin #negative-positive</x:t>
  </x:si>
  <x:si>
    <x:t xml:space="preserve">Уточнить, стоит ли привязывать город к Лондону как месту публикации, а не к месту экспериментов.</x:t>
  </x:si>
  <x:si>
    <x:t xml:space="preserve">Сухие желатиновые пластины / химия</x:t>
  </x:si>
  <x:si>
    <x:t xml:space="preserve">PL-HIST-0050</x:t>
  </x:si>
  <x:si>
    <x:t xml:space="preserve">1874</x:t>
  </x:si>
  <x:si>
    <x:t xml:space="preserve">Ливерпуль</x:t>
  </x:si>
  <x:si>
    <x:t xml:space="preserve">Liverpool Dry Plate Company / ранние производители</x:t>
  </x:si>
  <x:si>
    <x:t xml:space="preserve">Начинаются коммерческие продажи желатиновых сухих пластин; одним из первых производителей называется Liverpool Dry Plate Company.</x:t>
  </x:si>
  <x:si>
    <x:t xml:space="preserve">Commercial gelatin dry plates</x:t>
  </x:si>
  <x:si>
    <x:t xml:space="preserve">Фотограф впервые может не готовить пластину сам перед съёмкой, а купить готовый чувствительный материал.</x:t>
  </x:si>
  <x:si>
    <x:t xml:space="preserve">Публикация Мэддокса 1871 и последующие улучшения</x:t>
  </x:si>
  <x:si>
    <x:t xml:space="preserve">Беннетт повышает чувствительность эмульсии; производство становится практичнее</x:t>
  </x:si>
  <x:si>
    <x:t xml:space="preserve">Для новичка: это переход от «сам себе химик» к покупке готового фотоматериала.</x:t>
  </x:si>
  <x:si>
    <x:t xml:space="preserve">Иконка фабричной коробки сухих пластин рядом со стеклянной пластиной.</x:t>
  </x:si>
  <x:si>
    <x:t xml:space="preserve">#PL006 #LiverpoolDryPlate #commercial #dry-plate</x:t>
  </x:si>
  <x:si>
    <x:t xml:space="preserve">Проверить по отдельному источнику точное название компании и формат первых продаж.</x:t>
  </x:si>
  <x:si>
    <x:t xml:space="preserve">53.4084, -2.9916</x:t>
  </x:si>
  <x:si>
    <x:t xml:space="preserve">Сухие желатиновые пластины / коммерциализация</x:t>
  </x:si>
  <x:si>
    <x:t xml:space="preserve">PL-HIST-0051</x:t>
  </x:si>
  <x:si>
    <x:t xml:space="preserve">1878</x:t>
  </x:si>
  <x:si>
    <x:t xml:space="preserve">Чарльз Харпер Беннетт</x:t>
  </x:si>
  <x:si>
    <x:t xml:space="preserve">Предлагает нагревать/«созревать» желатиновую эмульсию перед нанесением на стекло, резко повышая её светочувствительность.</x:t>
  </x:si>
  <x:si>
    <x:t xml:space="preserve">Ripened gelatin-bromide emulsion</x:t>
  </x:si>
  <x:si>
    <x:t xml:space="preserve">Сухая пластина становится достаточно быстрой для коротких выдержек и съёмки более живого движения.</x:t>
  </x:si>
  <x:si>
    <x:t xml:space="preserve">Желатино-бромидная сухая пластина Мэддокса</x:t>
  </x:si>
  <x:si>
    <x:t xml:space="preserve">Сухие пластины входят в широкое производство и начинают вытеснять мокрый коллодий</x:t>
  </x:si>
  <x:si>
    <x:t xml:space="preserve">SRC-029</x:t>
  </x:si>
  <x:si>
    <x:t xml:space="preserve">Swiss Camera Museum — Gelatine bromide plates</x:t>
  </x:si>
  <x:si>
    <x:t xml:space="preserve">https://www.cameramuseum.ch/en/discover/permanent-exhibition/the-plate-era/gelatine-bromide-plates/</x:t>
  </x:si>
  <x:si>
    <x:t xml:space="preserve">Драматургия урока: сухая пластина была удобной, но сначала слабой; Беннетт сделал её действительно быстрой.</x:t>
  </x:si>
  <x:si>
    <x:t xml:space="preserve">Иконка нагрева эмульсии + секундомер/короткая выдержка.</x:t>
  </x:si>
  <x:si>
    <x:t xml:space="preserve">#PL006 #Bennett #gelatin-bromide #instantaneous</x:t>
  </x:si>
  <x:si>
    <x:t xml:space="preserve">Сухие желатиновые пластины / повышение чувствительности</x:t>
  </x:si>
  <x:si>
    <x:t xml:space="preserve">PL-HIST-0052</x:t>
  </x:si>
  <x:si>
    <x:t xml:space="preserve">Великобритания / Европа</x:t>
  </x:si>
  <x:si>
    <x:t xml:space="preserve">Лондон / промышленные центры</x:t>
  </x:si>
  <x:si>
    <x:t xml:space="preserve">Производители фотоматериалов</x:t>
  </x:si>
  <x:si>
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</x:si>
  <x:si>
    <x:t xml:space="preserve">Manufactured gelatin dry plates</x:t>
  </x:si>
  <x:si>
    <x:t xml:space="preserve">Фотографу больше не нужна переносная тёмная комната на каждую съёмку; процесс становится удобнее, чище и предсказуемее.</x:t>
  </x:si>
  <x:si>
    <x:t xml:space="preserve">Улучшение чувствительности эмульсии Беннеттом</x:t>
  </x:si>
  <x:si>
    <x:t xml:space="preserve">Фабричное производство пластин и рост любительской фотографии</x:t>
  </x:si>
  <x:si>
    <x:t xml:space="preserve">SRC-028</x:t>
  </x:si>
  <x:si>
    <x:t xml:space="preserve">National Science and Media Museum — A brief guide to photographs on glass</x:t>
  </x:si>
  <x:si>
    <x:t xml:space="preserve">https://blog.scienceandmediamuseum.org.uk/a-brief-guide-to-photographs-on-glass/</x:t>
  </x:si>
  <x:si>
    <x:t xml:space="preserve">Это ключевой смысл PL-006: фотография освобождается от немедленной химической гонки мокрого коллодия.</x:t>
  </x:si>
  <x:si>
    <x:t xml:space="preserve">Линия: палатка-лаборатория исчезает, остаётся камера + коробка готовых пластин.</x:t>
  </x:si>
  <x:si>
    <x:t xml:space="preserve">#PL006 #manufacture #dry-plate #wet-collodion</x:t>
  </x:si>
  <x:si>
    <x:t xml:space="preserve">Сухие желатиновые пластины / переход от мокрого коллодия</x:t>
  </x:si>
  <x:si>
    <x:t xml:space="preserve">PL-HIST-0053</x:t>
  </x:si>
  <x:si>
    <x:t xml:space="preserve">конец 1870-х – 1880-е</x:t>
  </x:si>
  <x:si>
    <x:t xml:space="preserve">распределённый процесс</x:t>
  </x:si>
  <x:si>
    <x:t xml:space="preserve">Фотографы и производители сухих пластин</x:t>
  </x:si>
  <x:si>
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</x:si>
  <x:si>
    <x:t xml:space="preserve">Fast dry plate / instantaneous photography</x:t>
  </x:si>
  <x:si>
    <x:t xml:space="preserve">Сокращение выдержки меняет не только технику, но и визуальный язык: фотография становится ближе к «моменту».</x:t>
  </x:si>
  <x:si>
    <x:t xml:space="preserve">Беннетт повышает чувствительность эмульсии</x:t>
  </x:si>
  <x:si>
    <x:t xml:space="preserve">Распространение портативных камер, любительской съёмки и последующий переход к плёнке</x:t>
  </x:si>
  <x:si>
    <x:t xml:space="preserve">SRC-030</x:t>
  </x:si>
  <x:si>
    <x:t xml:space="preserve">Cornell Library — Dawn's Early Light: Towards Modern Photography</x:t>
  </x:si>
  <x:si>
    <x:t xml:space="preserve">https://rmc.library.cornell.edu/DawnsEarlyLight/exhibition/modernphotography/index.html</x:t>
  </x:si>
  <x:si>
    <x:t xml:space="preserve">Для лекции: сухая пластина — это не просто удобство хранения, а новая скорость взгляда.</x:t>
  </x:si>
  <x:si>
    <x:t xml:space="preserve">На карте: рядом с пластиной появляется значок бегущего человека/движения.</x:t>
  </x:si>
  <x:si>
    <x:t xml:space="preserve">#PL006 #instantaneous #motion #dry-plate</x:t>
  </x:si>
  <x:si>
    <x:t xml:space="preserve">Сухие желатиновые пластины / скорость и движение</x:t>
  </x:si>
  <x:si>
    <x:t xml:space="preserve">PL-HIST-0054</x:t>
  </x:si>
  <x:si>
    <x:t xml:space="preserve">1880</x:t>
  </x:si>
  <x:si>
    <x:t xml:space="preserve">Рочестер, Нью-Йорк</x:t>
  </x:si>
  <x:si>
    <x:t xml:space="preserve">Джордж Истмен</x:t>
  </x:si>
  <x:si>
    <x:t xml:space="preserve">Начинает коммерчески производить сухие пластины в США и масштабировать их изготовление.</x:t>
  </x:si>
  <x:si>
    <x:t xml:space="preserve">Eastman dry plates</x:t>
  </x:si>
  <x:si>
    <x:t xml:space="preserve">Сухая пластина становится не только европейским техническим процессом, но и основой американской фотоиндустрии.</x:t>
  </x:si>
  <x:si>
    <x:t xml:space="preserve">Коммерческие сухие пластины в Великобритании и улучшения Беннетта</x:t>
  </x:si>
  <x:si>
    <x:t xml:space="preserve">Eastman Dry Plate Company; дальнейший поиск замены стекла гибким носителем</x:t>
  </x:si>
  <x:si>
    <x:t xml:space="preserve">SRC-031</x:t>
  </x:si>
  <x:si>
    <x:t xml:space="preserve">Kodak — History</x:t>
  </x:si>
  <x:si>
    <x:t xml:space="preserve">https://www.kodak.com/en/company/page/history/</x:t>
  </x:si>
  <x:si>
    <x:t xml:space="preserve">Здесь появляется мост к Kodak: сначала Истмен работает не с плёнкой, а именно с сухими пластинами.</x:t>
  </x:si>
  <x:si>
    <x:t xml:space="preserve">Иконка Рочестера/фабрики + коробка Eastman dry plates.</x:t>
  </x:si>
  <x:si>
    <x:t xml:space="preserve">#PL006 #Eastman #Rochester #dry-plate #Kodak</x:t>
  </x:si>
  <x:si>
    <x:t xml:space="preserve">43.1566, -77.6088</x:t>
  </x:si>
  <x:si>
    <x:t xml:space="preserve">Сухие желатиновые пластины / американская индустрия</x:t>
  </x:si>
  <x:si>
    <x:t xml:space="preserve">PL-HIST-0055</x:t>
  </x:si>
  <x:si>
    <x:t xml:space="preserve">1881</x:t>
  </x:si>
  <x:si>
    <x:t xml:space="preserve">Джордж Истмен / Генри Стронг</x:t>
  </x:si>
  <x:si>
    <x:t xml:space="preserve">1 января 1881 года создаётся Eastman Dry Plate Company.</x:t>
  </x:si>
  <x:si>
    <x:t xml:space="preserve">Eastman Dry Plate Company</x:t>
  </x:si>
  <x:si>
    <x:t xml:space="preserve">Промышленная логика фотографии усиливается: производство чувствительного материала становится самостоятельным бизнесом.</x:t>
  </x:si>
  <x:si>
    <x:t xml:space="preserve">Истмен начинает коммерческое производство сухих пластин в 1880</x:t>
  </x:si>
  <x:si>
    <x:t xml:space="preserve">Eastman Dry Plate and Film Company; рулонные носители и Kodak</x:t>
  </x:si>
  <x:si>
    <x:t xml:space="preserve">SRC-032</x:t>
  </x:si>
  <x:si>
    <x:t xml:space="preserve">Kodak — George Eastman History</x:t>
  </x:si>
  <x:si>
    <x:t xml:space="preserve">https://www.kodak.com/en/company/page/george-eastman-history/</x:t>
  </x:si>
  <x:si>
    <x:t xml:space="preserve">Это важный узел для перехода: Kodak родился не сразу как камера для всех, а из бизнеса сухих пластин.</x:t>
  </x:si>
  <x:si>
    <x:t xml:space="preserve">На карте: фабрика/брендовый узел между сухими пластинами и будущей плёнкой.</x:t>
  </x:si>
  <x:si>
    <x:t xml:space="preserve">#PL006 #EastmanDryPlateCompany #Rochester #Kodak</x:t>
  </x:si>
  <x:si>
    <x:t xml:space="preserve">Сухие желатиновые пластины / бизнес и масштабирование</x:t>
  </x:si>
  <x:si>
    <x:t xml:space="preserve">PL-HIST-0056</x:t>
  </x:si>
  <x:si>
    <x:t xml:space="preserve">1880–1900</x:t>
  </x:si>
  <x:si>
    <x:t xml:space="preserve">Фотографы конца XIX века</x:t>
  </x:si>
  <x:si>
    <x:t xml:space="preserve">Желатиновые сухие пластинные негативы становятся наиболее распространённой формой негативов примерно с 1880 по 1900 год.</x:t>
  </x:si>
  <x:si>
    <x:t xml:space="preserve">Gelatin dry plate negative</x:t>
  </x:si>
  <x:si>
    <x:t xml:space="preserve">На два десятилетия сухая пластина становится нормой профессиональной и серьёзной любительской фотографии.</x:t>
  </x:si>
  <x:si>
    <x:t xml:space="preserve">Производство сухих пластин и рост чувствительности эмульсий</x:t>
  </x:si>
  <x:si>
    <x:t xml:space="preserve">Гибкая плёнка постепенно заменяет стеклянную пластину в массовой фотографии</x:t>
  </x:si>
  <x:si>
    <x:t xml:space="preserve">SRC-033</x:t>
  </x:si>
  <x:si>
    <x:t xml:space="preserve">Smithsonian Institution Archives — Gelatin Dry Plate Negatives</x:t>
  </x:si>
  <x:si>
    <x:t xml:space="preserve">https://siarchives.si.edu/blog/highlight-photo-cold-vault-gelatin-dry-plate-negatives</x:t>
  </x:si>
  <x:si>
    <x:t xml:space="preserve">Формула для урока: мокрый коллодий был революцией середины века, сухая пластина — нормой конца века.</x:t>
  </x:si>
  <x:si>
    <x:t xml:space="preserve">Широкая полоса на таймлайне 1880–1900: «эпоха сухих пластин».</x:t>
  </x:si>
  <x:si>
    <x:t xml:space="preserve">#PL006 #1880s #dry-plate-negative #glass-negative</x:t>
  </x:si>
  <x:si>
    <x:t xml:space="preserve">Сухие желатиновые пластины / доминирующая практика</x:t>
  </x:si>
  <x:si>
    <x:t xml:space="preserve">PL-HIST-0057</x:t>
  </x:si>
  <x:si>
    <x:t xml:space="preserve">1880-е</x:t>
  </x:si>
  <x:si>
    <x:t xml:space="preserve">Профессиональные и любительские фотографы</x:t>
  </x:si>
  <x:si>
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</x:si>
  <x:si>
    <x:t xml:space="preserve">Prepared dry plates / delayed development</x:t>
  </x:si>
  <x:si>
    <x:t xml:space="preserve">Фотограф получает свободу маршрута: съёмка и проявка впервые заметно расходятся во времени и пространстве.</x:t>
  </x:si>
  <x:si>
    <x:t xml:space="preserve">Wet collodion field darkroom</x:t>
  </x:si>
  <x:si>
    <x:t xml:space="preserve">Portable cameras, amateur photography and roll film systems</x:t>
  </x:si>
  <x:si>
    <x:t xml:space="preserve">SRC-034</x:t>
  </x:si>
  <x:si>
    <x:t xml:space="preserve">George Eastman Museum — Dry Plates in the Woods</x:t>
  </x:si>
  <x:si>
    <x:t xml:space="preserve">https://www.eastman.org/blog/dry-plates-woods-using-19th-century-photographic-processes-capture-letchworth-state-park</x:t>
  </x:si>
  <x:si>
    <x:t xml:space="preserve">Очень понятная фраза для новичка: теперь не нужно тащить лабораторию за каждым кадром.</x:t>
  </x:si>
  <x:si>
    <x:t xml:space="preserve">Маршрутная линия: фотограф уходит из лаборатории на улицу/в лес, а проявляет позже.</x:t>
  </x:si>
  <x:si>
    <x:t xml:space="preserve">#PL006 #mobility #delayed-development #dry-plate</x:t>
  </x:si>
  <x:si>
    <x:t xml:space="preserve">Сухие желатиновые пластины / мобильность</x:t>
  </x:si>
  <x:si>
    <x:t xml:space="preserve">PL-HIST-0058</x:t>
  </x:si>
  <x:si>
    <x:t xml:space="preserve">Рочестер / промышленные центры</x:t>
  </x:si>
  <x:si>
    <x:t xml:space="preserve">Джордж Истмен и производители фотоматериалов</x:t>
  </x:si>
  <x:si>
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</x:si>
  <x:si>
    <x:t xml:space="preserve">Bridge from glass plates to roll film</x:t>
  </x:si>
  <x:si>
    <x:t xml:space="preserve">PL-006 логически открывает PL-007: после свободы от мокрой химии фотография начинает освобождаться от стеклянной пластины.</x:t>
  </x:si>
  <x:si>
    <x:t xml:space="preserve">Сухие желатиновые пластины как удобный готовый негативный материал</x:t>
  </x:si>
  <x:si>
    <x:t xml:space="preserve">Рулонная плёнка, Kodak camera 1888, массовая любительская фотография</x:t>
  </x:si>
  <x:si>
    <x:t xml:space="preserve">Это интрига на следующий урок: фотография стала сухой, но пока ещё стеклянной.</x:t>
  </x:si>
  <x:si>
    <x:t xml:space="preserve">Стеклянная пластина превращается в гибкую ленту/рулон — стрелка к будущему PL-007.</x:t>
  </x:si>
  <x:si>
    <x:t xml:space="preserve">#PL006 #bridge #roll-film #Kodak #future-PL</x:t>
  </x:si>
  <x:si>
    <x:t xml:space="preserve">При планировании PL-007 уточнить отдельными источниками Eastman-Walker roll holder и даты ранней рулонной плёнки.</x:t>
  </x:si>
  <x:si>
    <x:t xml:space="preserve">Сухие желатиновые пластины / мост к плёнке</x:t>
  </x:si>
  <x:si>
    <x:t xml:space="preserve">PL-HIST-0059</x:t>
  </x:si>
  <x:si>
    <x:t xml:space="preserve">1884</x:t>
  </x:si>
  <x:si>
    <x:t xml:space="preserve">Джордж Истмен / Eastman Dry Plate and Film Company</x:t>
  </x:si>
  <x:si>
    <x:t xml:space="preserve">Компания Истмена меняет акцент с одних сухих пластин на поиск более удобного рулонного носителя для фотографии.</x:t>
  </x:si>
  <x:si>
    <x:t xml:space="preserve">Eastman Dry Plate and Film Company / roll-film direction</x:t>
  </x:si>
  <x:si>
    <x:t xml:space="preserve">После сухих пластин следующей проблемой становится не химия, а носитель: стекло нужно заменить чем-то гибким и лёгким.</x:t>
  </x:si>
  <x:si>
    <x:t xml:space="preserve">Сухие желатиновые пластины освободили фотографа от мокрой лаборатории, но не от тяжёлого стекла.</x:t>
  </x:si>
  <x:si>
    <x:t xml:space="preserve">Eastman-Walker roll holder и бумажная рулонная плёнка</x:t>
  </x:si>
  <x:si>
    <x:t xml:space="preserve">В уроке это мост: фотография уже стала сухой, но ещё остаётся стеклянной. Истмен ищет следующий уровень удобства.</x:t>
  </x:si>
  <x:si>
    <x:t xml:space="preserve">Стеклянная пластина на карте превращается в намотанную ленту.</x:t>
  </x:si>
  <x:si>
    <x:t xml:space="preserve">#PL007 #Eastman #roll-film #Rochester #bridge</x:t>
  </x:si>
  <x:si>
    <x:t xml:space="preserve">Уточнить, нужна ли отдельная строка по юридическому переименованию компании 1884 или достаточно оставить как контекст.</x:t>
  </x:si>
  <x:si>
    <x:t xml:space="preserve">Рулонная плёнка / бизнес-переход</x:t>
  </x:si>
  <x:si>
    <x:t xml:space="preserve">PL-HIST-0060</x:t>
  </x:si>
  <x:si>
    <x:t xml:space="preserve">1885</x:t>
  </x:si>
  <x:si>
    <x:t xml:space="preserve">Джордж Истмен / Уильям Холл Уокер</x:t>
  </x:si>
  <x:si>
    <x:t xml:space="preserve">Появляется Eastman-Walker roll holder — держатель, позволявший использовать рулонный носитель в камерах, рассчитанных на пластины.</x:t>
  </x:si>
  <x:si>
    <x:t xml:space="preserve">Eastman-Walker roll holder</x:t>
  </x:si>
  <x:si>
    <x:t xml:space="preserve">Камера начинает работать не с одиночными стеклянными пластинами, а с последовательностью кадров на рулоне.</x:t>
  </x:si>
  <x:si>
    <x:t xml:space="preserve">Сухая пластина как готовый негативный материал</x:t>
  </x:si>
  <x:si>
    <x:t xml:space="preserve">American Film и первые попытки коммерческого рулонного процесса</x:t>
  </x:si>
  <x:si>
    <x:t xml:space="preserve">SRC-035</x:t>
  </x:si>
  <x:si>
    <x:t xml:space="preserve">Science Museum Group — Eastman-Walker roll holder</x:t>
  </x:si>
  <x:si>
    <x:t xml:space="preserve">https://collection.sciencemuseumgroup.org.uk/objects/co15879/eastman-walker-roll-holder</x:t>
  </x:si>
  <x:si>
    <x:t xml:space="preserve">Для новичка: рулонная плёнка сначала вошла не как маленькая камера Kodak, а как приставка/держатель для уже существующих камер.</x:t>
  </x:si>
  <x:si>
    <x:t xml:space="preserve">На карте: рядом с камерой появляется рулонный модуль вместо стопки стеклянных пластин.</x:t>
  </x:si>
  <x:si>
    <x:t xml:space="preserve">#PL007 #EastmanWalker #roll-holder #Rochester</x:t>
  </x:si>
  <x:si>
    <x:t xml:space="preserve">Рулонная плёнка / держатель</x:t>
  </x:si>
  <x:si>
    <x:t xml:space="preserve">PL-HIST-0061</x:t>
  </x:si>
  <x:si>
    <x:t xml:space="preserve">Eastman American Film с бумажной основой вводится вместе с Eastman-Walker roll holder и предлагается профессиональным фотографам.</x:t>
  </x:si>
  <x:si>
    <x:t xml:space="preserve">American Film / paper-based roll film</x:t>
  </x:si>
  <x:si>
    <x:t xml:space="preserve">Рулонный носитель становится реальным коммерческим продуктом, но бумажная основа ещё даёт ограничения по качеству.</x:t>
  </x:si>
  <x:si>
    <x:t xml:space="preserve">Kodak camera 1888 и прозрачная рулонная плёнка 1889</x:t>
  </x:si>
  <x:si>
    <x:t xml:space="preserve">SRC-036</x:t>
  </x:si>
  <x:si>
    <x:t xml:space="preserve">George Eastman Museum — Two rare rolls of early Kodak film</x:t>
  </x:si>
  <x:si>
    <x:t xml:space="preserve">https://www.eastman.org/two-rare-rolls-early-kodak-film-acquired-george-eastman-museum</x:t>
  </x:si>
  <x:si>
    <x:t xml:space="preserve">Важно показать честно: первая рулонная плёнка была удобнее стекла, но ещё не идеальна по изображению.</x:t>
  </x:si>
  <x:si>
    <x:t xml:space="preserve">Пунктирная лента: рулон уже появился, но ещё требует улучшения.</x:t>
  </x:si>
  <x:si>
    <x:t xml:space="preserve">#PL007 #AmericanFilm #paper-roll-film #Eastman</x:t>
  </x:si>
  <x:si>
    <x:t xml:space="preserve">Рулонная плёнка / бумажная основа</x:t>
  </x:si>
  <x:si>
    <x:t xml:space="preserve">PL-HIST-0062</x:t>
  </x:si>
  <x:si>
    <x:t xml:space="preserve">1887</x:t>
  </x:si>
  <x:si>
    <x:t xml:space="preserve">Ньюарк, Нью-Джерси</x:t>
  </x:si>
  <x:si>
    <x:t xml:space="preserve">Ганнибал Гудвин</x:t>
  </x:si>
  <x:si>
    <x:t xml:space="preserve">Гудвин подаёт патентную заявку на прозрачную гибкую фотографическую плёнку на нитроцеллюлозной основе.</x:t>
  </x:si>
  <x:si>
    <x:t xml:space="preserve">Flexible transparent nitrocellulose film</x:t>
  </x:si>
  <x:si>
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</x:si>
  <x:si>
    <x:t xml:space="preserve">Ограничения бумажной рулонной плёнки</x:t>
  </x:si>
  <x:si>
    <x:t xml:space="preserve">Прозрачная плёнка Eastman/Reichenbach и патентные споры вокруг целлулоидной основы</x:t>
  </x:si>
  <x:si>
    <x:t xml:space="preserve">SRC-037</x:t>
  </x:si>
  <x:si>
    <x:t xml:space="preserve">National Inventors Hall of Fame — Hannibal Goodwin</x:t>
  </x:si>
  <x:si>
    <x:t xml:space="preserve">https://www.invent.org/inductees/hannibal-goodwin</x:t>
  </x:si>
  <x:si>
    <x:t xml:space="preserve">Этот узел нужен как параллельная ветка: история плёнки — не только Истмен, но и спорная линия Гудвина.</x:t>
  </x:si>
  <x:si>
    <x:t xml:space="preserve">От основной линии Kodak отходит пунктирная ветка к Ньюарку: изобретатель вне большой фабрики.</x:t>
  </x:si>
  <x:si>
    <x:t xml:space="preserve">#PL007 #Goodwin #celluloid #transparent-film #patent</x:t>
  </x:si>
  <x:si>
    <x:t xml:space="preserve">Проверить формулировку: заявка 1887, патент выдан позже; не писать как мгновенно утверждённый патент.</x:t>
  </x:si>
  <x:si>
    <x:t xml:space="preserve">40.7357, -74.1724</x:t>
  </x:si>
  <x:si>
    <x:t xml:space="preserve">Рулонная плёнка / целлулоидная основа</x:t>
  </x:si>
  <x:si>
    <x:t xml:space="preserve">PL-HIST-0063</x:t>
  </x:si>
  <x:si>
    <x:t xml:space="preserve">1888</x:t>
  </x:si>
  <x:si>
    <x:t xml:space="preserve">Джордж Истмен / Kodak</x:t>
  </x:si>
  <x:si>
    <x:t xml:space="preserve">Появляется первая камера Kodak: простая box-camera, заранее заряженная рулоном на 100 снимков.</x:t>
  </x:si>
  <x:si>
    <x:t xml:space="preserve">Original Kodak camera / roll-film camera</x:t>
  </x:si>
  <x:si>
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</x:si>
  <x:si>
    <x:t xml:space="preserve">American Film и попытки заменить стеклянную пластину рулонным носителем</x:t>
  </x:si>
  <x:si>
    <x:t xml:space="preserve">Сервисная модель Kodak и массовая любительская фотография</x:t>
  </x:si>
  <x:si>
    <x:t xml:space="preserve">SRC-038</x:t>
  </x:si>
  <x:si>
    <x:t xml:space="preserve">Smithsonian NMAH — Original Kodak Camera, Serial No. 540</x:t>
  </x:si>
  <x:si>
    <x:t xml:space="preserve">https://americanhistory.si.edu/collections/object/nmah_760118</x:t>
  </x:si>
  <x:si>
    <x:t xml:space="preserve">Это флагман PL-007: камера Kodak изменила не только материал, но и саму роль фотографа.</x:t>
  </x:si>
  <x:si>
    <x:t xml:space="preserve">Главный узел: маленькая box-camera с рулоном внутри, от неё расходится линия к массовой фотографии.</x:t>
  </x:si>
  <x:si>
    <x:t xml:space="preserve">#PL007 #Kodak #roll-film-camera #Eastman #Rochester</x:t>
  </x:si>
  <x:si>
    <x:t xml:space="preserve">Рулонная плёнка / Kodak camera</x:t>
  </x:si>
  <x:si>
    <x:t xml:space="preserve">PL-HIST-0064</x:t>
  </x:si>
  <x:si>
    <x:t xml:space="preserve">Kodak продаёт камеру уже заряженной плёнкой; после съёмки всю камеру отправляют в Рочестер для проявки, печати и перезарядки.</x:t>
  </x:si>
  <x:si>
    <x:t xml:space="preserve">Kodak processing service model</x:t>
  </x:si>
  <x:si>
    <x:t xml:space="preserve">Фотограф больше не обязан быть химиком и печатником: процесс съёмки отделяется от лабораторной обработки.</x:t>
  </x:si>
  <x:si>
    <x:t xml:space="preserve">Original Kodak camera 1888</x:t>
  </x:si>
  <x:si>
    <x:t xml:space="preserve">Слоган «You press the button, we do the rest» и рост любительской фотографии</x:t>
  </x:si>
  <x:si>
    <x:t xml:space="preserve">SRC-039</x:t>
  </x:si>
  <x:si>
    <x:t xml:space="preserve">The Met — Kodak and the Rise of Amateur Photography</x:t>
  </x:si>
  <x:si>
    <x:t xml:space="preserve">https://www.metmuseum.org/essays/kodak-and-the-rise-of-amateur-photography</x:t>
  </x:si>
  <x:si>
    <x:t xml:space="preserve">Главная мысль для лекции: Kodak продавал не просто камеру, а целую систему — камера + плёнка + обработка.</x:t>
  </x:si>
  <x:si>
    <x:t xml:space="preserve">Маршрут: камера у пользователя → фабрика в Рочестере → готовые отпечатки возвращаются обратно.</x:t>
  </x:si>
  <x:si>
    <x:t xml:space="preserve">#PL007 #Kodak #service-model #amateur-photography</x:t>
  </x:si>
  <x:si>
    <x:t xml:space="preserve">Рулонная плёнка / сервисная модель</x:t>
  </x:si>
  <x:si>
    <x:t xml:space="preserve">PL-HIST-0065</x:t>
  </x:si>
  <x:si>
    <x:t xml:space="preserve">4 сентября 1888</x:t>
  </x:si>
  <x:si>
    <x:t xml:space="preserve">Истмен получает патент на камеру Kodak и регистрирует товарный знак Kodak.</x:t>
  </x:si>
  <x:si>
    <x:t xml:space="preserve">Kodak patent and trademark</x:t>
  </x:si>
  <x:si>
    <x:t xml:space="preserve">Рулонная камера становится не только техническим устройством, но и брендом, который легко запомнить и продвигать.</x:t>
  </x:si>
  <x:si>
    <x:t xml:space="preserve">Переименование компании и формирование Kodak как массового фотобренда</x:t>
  </x:si>
  <x:si>
    <x:t xml:space="preserve">SRC-040</x:t>
  </x:si>
  <x:si>
    <x:t xml:space="preserve">George Eastman Museum — From the Camera Obscura to the Revolutionary Kodak</x:t>
  </x:si>
  <x:si>
    <x:t xml:space="preserve">https://www.eastman.org/camera-obscura-revolutionary-kodak</x:t>
  </x:si>
  <x:si>
    <x:t xml:space="preserve">Этот узел можно использовать коротко: фотография входит в эпоху бренда, рекламы и простого обещания пользователю.</x:t>
  </x:si>
  <x:si>
    <x:t xml:space="preserve">На карте: рядом с Рочестером появляется знак KODAK как брендовый маяк.</x:t>
  </x:si>
  <x:si>
    <x:t xml:space="preserve">#PL007 #Kodak #patent #trademark #brand</x:t>
  </x:si>
  <x:si>
    <x:t xml:space="preserve">Рулонная плёнка / патент и бренд</x:t>
  </x:si>
  <x:si>
    <x:t xml:space="preserve">PL-HIST-0066</x:t>
  </x:si>
  <x:si>
    <x:t xml:space="preserve">1889</x:t>
  </x:si>
  <x:si>
    <x:t xml:space="preserve">Джордж Истмен / Генри Райхенбах</x:t>
  </x:si>
  <x:si>
    <x:t xml:space="preserve">На рынок выходит первая коммерческая прозрачная рулонная плёнка, усовершенствованная Истменом и его химиком.</x:t>
  </x:si>
  <x:si>
    <x:t xml:space="preserve">Commercial transparent roll film</x:t>
  </x:si>
  <x:si>
    <x:t xml:space="preserve">Плёнка становится более удобной для качественного негатива и открывает путь не только фотографии, но и движущемуся изображению.</x:t>
  </x:si>
  <x:si>
    <x:t xml:space="preserve">Бумажная American Film и поиски прозрачной гибкой основы</x:t>
  </x:si>
  <x:si>
    <x:t xml:space="preserve">Развитие кинематографа и дальнейшая массовая плёночная фотография</x:t>
  </x:si>
  <x:si>
    <x:t xml:space="preserve">SRC-041</x:t>
  </x:si>
  <x:si>
    <x:t xml:space="preserve">Kodak — Chronology of Film</x:t>
  </x:si>
  <x:si>
    <x:t xml:space="preserve">https://www.kodak.com/en/motion/page/chronology-of-film/</x:t>
  </x:si>
  <x:si>
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</x:si>
  <x:si>
    <x:t xml:space="preserve">Рулон из полупрозрачной ленты, уходящий от фотографии к кино.</x:t>
  </x:si>
  <x:si>
    <x:t xml:space="preserve">#PL007 #transparent-roll-film #Reichenbach #Eastman #motion-picture</x:t>
  </x:si>
  <x:si>
    <x:t xml:space="preserve">Рулонная плёнка / прозрачная плёнка</x:t>
  </x:si>
  <x:si>
    <x:t xml:space="preserve">PL-HIST-0067</x:t>
  </x:si>
  <x:si>
    <x:t xml:space="preserve">1891</x:t>
  </x:si>
  <x:si>
    <x:t xml:space="preserve">Kodak / Eastman Company</x:t>
  </x:si>
  <x:si>
    <x:t xml:space="preserve">Kodak выводит первую daylight-loading camera: фотограф может перезаряжать плёнку без тёмной комнаты.</x:t>
  </x:si>
  <x:si>
    <x:t xml:space="preserve">Daylight-loading roll-film camera</x:t>
  </x:si>
  <x:si>
    <x:t xml:space="preserve">Рулонная фотография становится ещё удобнее: перезарядка перестаёт требовать полной темноты.</x:t>
  </x:si>
  <x:si>
    <x:t xml:space="preserve">Kodak camera 1888 and factory service model</x:t>
  </x:si>
  <x:si>
    <x:t xml:space="preserve">Pocket Kodak, Folding Pocket Kodak, Brownie and standard roll-film formats</x:t>
  </x:si>
  <x:si>
    <x:t xml:space="preserve">SRC-042</x:t>
  </x:si>
  <x:si>
    <x:t xml:space="preserve">Kodak — Milestones</x:t>
  </x:si>
  <x:si>
    <x:t xml:space="preserve">https://www.kodak.com/en/company/page/milestones/</x:t>
  </x:si>
  <x:si>
    <x:t xml:space="preserve">Это не главный герой урока, но важный шаг удобства: фотограф получает больше самостоятельности.</x:t>
  </x:si>
  <x:si>
    <x:t xml:space="preserve">На карте: маленькая камера открывается на свету без тёмной комнаты.</x:t>
  </x:si>
  <x:si>
    <x:t xml:space="preserve">#PL007 #daylight-loading #roll-film #Kodak</x:t>
  </x:si>
  <x:si>
    <x:t xml:space="preserve">Рулонная плёнка / дневная перезарядка</x:t>
  </x:si>
  <x:si>
    <x:t xml:space="preserve">PL-HIST-0068</x:t>
  </x:si>
  <x:si>
    <x:t xml:space="preserve">1900</x:t>
  </x:si>
  <x:si>
    <x:t xml:space="preserve">Eastman Kodak / Brownie</x:t>
  </x:si>
  <x:si>
    <x:t xml:space="preserve">Камера Brownie делает рулонную фотографию ещё более дешёвой и доступной для массового пользователя.</x:t>
  </x:si>
  <x:si>
    <x:t xml:space="preserve">Kodak Brownie / mass snapshot photography</x:t>
  </x:si>
  <x:si>
    <x:t xml:space="preserve">Идея Kodak доводится до массового уровня: фотография становится повседневным занятием и семейной практикой.</x:t>
  </x:si>
  <x:si>
    <x:t xml:space="preserve">Kodak camera 1888 and roll-film service model</x:t>
  </x:si>
  <x:si>
    <x:t xml:space="preserve">PL-008: массовая любительская фотография, snapshot-культура и Brownie как социальный перелом</x:t>
  </x:si>
  <x:si>
    <x:t xml:space="preserve">SRC-043</x:t>
  </x:si>
  <x:si>
    <x:t xml:space="preserve">National Science and Media Museum — Kodak Gallery</x:t>
  </x:si>
  <x:si>
    <x:t xml:space="preserve">https://www.scienceandmediamuseum.org.uk/whats-on/kodak-gallery</x:t>
  </x:si>
  <x:si>
    <x:t xml:space="preserve">Это мост к следующему уроку: Kodak сделал фотографию проще, Brownie сделает её по-настоящему массовой.</x:t>
  </x:si>
  <x:si>
    <x:t xml:space="preserve">От Kodak 1888 линия идёт к дешёвой коробочной камере Brownie и семейным снимкам.</x:t>
  </x:si>
  <x:si>
    <x:t xml:space="preserve">#PL007 #Brownie #snapshot #mass-photography #future-PL</x:t>
  </x:si>
  <x:si>
    <x:t xml:space="preserve">Рулонная плёнка / массовая фотография</x:t>
  </x:si>
  <x:si>
    <x:t xml:space="preserve">PL-HIST-0069</x:t>
  </x:si>
  <x:si>
    <x:t xml:space="preserve">Появляется первая камера Kodak Brownie — простая и недорогая коробочная roll-film камера для массового пользователя.</x:t>
  </x:si>
  <x:si>
    <x:t xml:space="preserve">Kodak Brownie / box roll-film camera</x:t>
  </x:si>
  <x:si>
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</x:si>
  <x:si>
    <x:t xml:space="preserve">Kodak camera 1888 и сервисная модель обработки плёнки</x:t>
  </x:si>
  <x:si>
    <x:t xml:space="preserve">Snapshot-культура, семейные альбомы и массовая любительская фотография</x:t>
  </x:si>
  <x:si>
    <x:t xml:space="preserve">SRC-044</x:t>
  </x:si>
  <x:si>
    <x:t xml:space="preserve">Science Museum Group — No. 1 Brownie Box Camera</x:t>
  </x:si>
  <x:si>
    <x:t xml:space="preserve">https://collection.sciencemuseumgroup.org.uk/objects/co8406729/no-1-brownie-box-camera</x:t>
  </x:si>
  <x:si>
    <x:t xml:space="preserve">Флагман PL-008: Brownie — момент, когда фотография становится по-настоящему массовой бытовой практикой.</x:t>
  </x:si>
  <x:si>
    <x:t xml:space="preserve">На карте: из Рочестера расходятся линии к домам, семьям и любительским снимкам.</x:t>
  </x:si>
  <x:si>
    <x:t xml:space="preserve">#PL008 #Brownie #Kodak #snapshot #mass-photography</x:t>
  </x:si>
  <x:si>
    <x:t xml:space="preserve">Brownie / доступная камера</x:t>
  </x:si>
  <x:si>
    <x:t xml:space="preserve">PL-HIST-0070</x:t>
  </x:si>
  <x:si>
    <x:t xml:space="preserve">Eastman Kodak</x:t>
  </x:si>
  <x:si>
    <x:t xml:space="preserve">Brownie продаётся по низкой цене и продвигается как камера, которой может пользоваться человек без фотографического опыта.</x:t>
  </x:si>
  <x:si>
    <x:t xml:space="preserve">Low-cost consumer camera</x:t>
  </x:si>
  <x:si>
    <x:t xml:space="preserve">Порог входа резко падает: фотография становится не только техникой, но и доступным хобби.</x:t>
  </x:si>
  <x:si>
    <x:t xml:space="preserve">Kodak 1888 упростил процесс, но оставался сравнительно дорогим</x:t>
  </x:si>
  <x:si>
    <x:t xml:space="preserve">Brownie расширяет аудиторию до детей, семей и среднего класса</x:t>
  </x:si>
  <x:si>
    <x:t xml:space="preserve">SRC-046</x:t>
  </x:si>
  <x:si>
    <x:t xml:space="preserve">ACS — George Eastman, Kodak, and the Birth of Consumer Photography</x:t>
  </x:si>
  <x:si>
    <x:t xml:space="preserve">https://www.acs.org/education/whatischemistry/landmarks/eastman-kodak.html</x:t>
  </x:si>
  <x:si>
    <x:t xml:space="preserve">Объяснить просто: Kodak сделал фотографию удобной, а Brownie сделал её дешёвой.</x:t>
  </x:si>
  <x:si>
    <x:t xml:space="preserve">Ценник рядом с маленькой коробочной камерой: фотография становится покупкой для обычной семьи.</x:t>
  </x:si>
  <x:si>
    <x:t xml:space="preserve">#PL008 #Brownie #affordable-camera #consumer-photography</x:t>
  </x:si>
  <x:si>
    <x:t xml:space="preserve">Brownie / цена и массовый рынок</x:t>
  </x:si>
  <x:si>
    <x:t xml:space="preserve">PL-HIST-0071</x:t>
  </x:si>
  <x:si>
    <x:t xml:space="preserve">1900–1901</x:t>
  </x:si>
  <x:si>
    <x:t xml:space="preserve">Рочестер / массовая пресса</x:t>
  </x:si>
  <x:si>
    <x:t xml:space="preserve">Eastman Kodak / рекламные кампании Brownie</x:t>
  </x:si>
  <x:si>
    <x:t xml:space="preserve">Brownie продвигается через популярную прессу и визуальный образ персонажей Brownie, обращаясь к новой молодой и семейной аудитории.</x:t>
  </x:si>
  <x:si>
    <x:t xml:space="preserve">Brownie marketing / popular press</x:t>
  </x:si>
  <x:si>
    <x:t xml:space="preserve">Фотокамера становится не только устройством, но и массовым культурным продуктом с понятным образом и обещанием простоты.</x:t>
  </x:si>
  <x:si>
    <x:t xml:space="preserve">Kodak как бренд и сервис съёмки</x:t>
  </x:si>
  <x:si>
    <x:t xml:space="preserve">Brownie становится узнаваемой народной камерой</x:t>
  </x:si>
  <x:si>
    <x:t xml:space="preserve">SRC-047</x:t>
  </x:si>
  <x:si>
    <x:t xml:space="preserve">National Science and Media Museum — B is for Brownie</x:t>
  </x:si>
  <x:si>
    <x:t xml:space="preserve">https://blog.scienceandmediamuseum.org.uk/a-z-photography-collection-b-is-for-brownie/</x:t>
  </x:si>
  <x:si>
    <x:t xml:space="preserve">Хороший сюжет для урока: массовая фотография победила не только химией и камерой, но и рекламой.</x:t>
  </x:si>
  <x:si>
    <x:t xml:space="preserve">Визуально: рекламный плакат Brownie, персонажи и маленькая камера как игрушка для всех.</x:t>
  </x:si>
  <x:si>
    <x:t xml:space="preserve">#PL008 #Brownie #advertising #popular-press #children</x:t>
  </x:si>
  <x:si>
    <x:t xml:space="preserve">Brownie / детская аудитория и реклама</x:t>
  </x:si>
  <x:si>
    <x:t xml:space="preserve">PL-HIST-0072</x:t>
  </x:si>
  <x:si>
    <x:t xml:space="preserve">1901</x:t>
  </x:si>
  <x:si>
    <x:t xml:space="preserve">Kodak Limited / No. 2 Brownie</x:t>
  </x:si>
  <x:si>
    <x:t xml:space="preserve">No. 2 Brownie использует 120 roll film — формат, который позже станет важным стандартом среднего формата.</x:t>
  </x:si>
  <x:si>
    <x:t xml:space="preserve">No. 2 Brownie / 120 roll film</x:t>
  </x:si>
  <x:si>
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</x:si>
  <x:si>
    <x:t xml:space="preserve">Brownie No. 1 и массовая roll-film камера</x:t>
  </x:si>
  <x:si>
    <x:t xml:space="preserve">120 film и среднеформатная фотография XX века</x:t>
  </x:si>
  <x:si>
    <x:t xml:space="preserve">SRC-050</x:t>
  </x:si>
  <x:si>
    <x:t xml:space="preserve">Science Museum Group — No 2 Brownie Camera</x:t>
  </x:si>
  <x:si>
    <x:t xml:space="preserve">https://collection.sciencemuseumgroup.org.uk/objects/co8207799/no-2-brownie-camera</x:t>
  </x:si>
  <x:si>
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</x:si>
  <x:si>
    <x:t xml:space="preserve">Рядом с камерой — катушка 120 film, мост к среднему формату.</x:t>
  </x:si>
  <x:si>
    <x:t xml:space="preserve">#PL008 #No2Brownie #120film #medium-format</x:t>
  </x:si>
  <x:si>
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</x:si>
  <x:si>
    <x:t xml:space="preserve">Brownie / 120 roll film</x:t>
  </x:si>
  <x:si>
    <x:t xml:space="preserve">PL-HIST-0073</x:t>
  </x:si>
  <x:si>
    <x:t xml:space="preserve">1900-е</x:t>
  </x:si>
  <x:si>
    <x:t xml:space="preserve">Любители фотографии / семьи</x:t>
  </x:si>
  <x:si>
    <x:t xml:space="preserve">Snapshot становится повседневной практикой: люди снимают прогулки, детей, поездки, праздники и частную жизнь.</x:t>
  </x:si>
  <x:si>
    <x:t xml:space="preserve">Snapshot culture / family photography</x:t>
  </x:si>
  <x:si>
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</x:si>
  <x:si>
    <x:t xml:space="preserve">Brownie делает камеру доступной широкому кругу людей</x:t>
  </x:si>
  <x:si>
    <x:t xml:space="preserve">Семейные альбомы и бытовая визуальная культура XX века</x:t>
  </x:si>
  <x:si>
    <x:t xml:space="preserve">SRC-049</x:t>
  </x:si>
  <x:si>
    <x:t xml:space="preserve">National Gallery of Art — The Art of the American Snapshot, 1888–1978</x:t>
  </x:si>
  <x:si>
    <x:t xml:space="preserve">https://www.nga.gov/exhibitions/art-american-snapshot-1888-1978-collection-robert-e-jackson</x:t>
  </x:si>
  <x:si>
    <x:t xml:space="preserve">Ключевой смысл: фотография входит в дом и начинает фиксировать обычную жизнь, а не только важные события.</x:t>
  </x:si>
  <x:si>
    <x:t xml:space="preserve">На карте: от камеры появляются маленькие карточки-снимки семьи, поездки, дома.</x:t>
  </x:si>
  <x:si>
    <x:t xml:space="preserve">#PL008 #snapshot #family-album #vernacular-photography</x:t>
  </x:si>
  <x:si>
    <x:t xml:space="preserve">Snapshot-культура / семейный альбом</x:t>
  </x:si>
  <x:si>
    <x:t xml:space="preserve">PL-HIST-0074</x:t>
  </x:si>
  <x:si>
    <x:t xml:space="preserve">Массовые любители фотографии</x:t>
  </x:si>
  <x:si>
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</x:si>
  <x:si>
    <x:t xml:space="preserve">Amateur snapshot photography</x:t>
  </x:si>
  <x:si>
    <x:t xml:space="preserve">В центр выходит не фотограф-профессионал, а обычный человек с камерой; рождается культура бытового снимка.</x:t>
  </x:si>
  <x:si>
    <x:t xml:space="preserve">Kodak/Brownie снижает технический барьер</x:t>
  </x:si>
  <x:si>
    <x:t xml:space="preserve">Фотография как личный дневник, семейная память и визуальный архив</x:t>
  </x:si>
  <x:si>
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</x:si>
  <x:si>
    <x:t xml:space="preserve">Иконка: человек без студии и лаборатории снимает повседневный момент.</x:t>
  </x:si>
  <x:si>
    <x:t xml:space="preserve">#PL008 #amateur-photography #snapshot #everyday-life</x:t>
  </x:si>
  <x:si>
    <x:t xml:space="preserve">Snapshot-культура / любительская практика</x:t>
  </x:si>
  <x:si>
    <x:t xml:space="preserve">PL-HIST-0075</x:t>
  </x:si>
  <x:si>
    <x:t xml:space="preserve">Рочестер, Нью-Йорк / потребительский рынок</x:t>
  </x:si>
  <x:si>
    <x:t xml:space="preserve">Eastman Kodak / фотолаборатории</x:t>
  </x:si>
  <x:si>
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</x:si>
  <x:si>
    <x:t xml:space="preserve">Consumer processing service</x:t>
  </x:si>
  <x:si>
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</x:si>
  <x:si>
    <x:t xml:space="preserve">Kodak service model 1888</x:t>
  </x:si>
  <x:si>
    <x:t xml:space="preserve">Фотолаборатории, минилабы и массовая печать XX века</x:t>
  </x:si>
  <x:si>
    <x:t xml:space="preserve">Для PHOTO LAB это важный мост: массовая фотография сразу связана с лабораторией и печатью.</x:t>
  </x:si>
  <x:si>
    <x:t xml:space="preserve">Маршрут: пользователь снимает → лаборатория проявляет → отпечатки возвращаются.</x:t>
  </x:si>
  <x:si>
    <x:t xml:space="preserve">#PL008 #processing #photo-lab #Kodak-service #prints</x:t>
  </x:si>
  <x:si>
    <x:t xml:space="preserve">Snapshot-культура / сервисная обработка</x:t>
  </x:si>
  <x:si>
    <x:t xml:space="preserve">PL-HIST-0076</x:t>
  </x:si>
  <x:si>
    <x:t xml:space="preserve">1900–1980-е</x:t>
  </x:si>
  <x:si>
    <x:t xml:space="preserve">США / Великобритания / глобально</x:t>
  </x:si>
  <x:si>
    <x:t xml:space="preserve">Eastman Kodak / пользователи Brownie</x:t>
  </x:si>
  <x:si>
    <x:t xml:space="preserve">Линейка Brownie живёт десятилетиями и закрепляет образ простой камеры для всех.</x:t>
  </x:si>
  <x:si>
    <x:t xml:space="preserve">Brownie camera line</x:t>
  </x:si>
  <x:si>
    <x:t xml:space="preserve">Brownie становится не одиночной моделью, а длительной культурной идеей: простая камера, доступная широкой аудитории.</x:t>
  </x:si>
  <x:si>
    <x:t xml:space="preserve">Brownie No. 1 и ранняя массовая фотография</x:t>
  </x:si>
  <x:si>
    <x:t xml:space="preserve">Долгая традиция простых потребительских камер XX века</x:t>
  </x:si>
  <x:si>
    <x:t xml:space="preserve">Важно: Brownie — это не только камера 1900 года, а символ народной фотографии на десятилетия.</x:t>
  </x:si>
  <x:si>
    <x:t xml:space="preserve">Таймлайн с разными поколениями Brownie как одной длинной народной линии.</x:t>
  </x:si>
  <x:si>
    <x:t xml:space="preserve">#PL008 #Brownie #camera-line #consumer-cameras</x:t>
  </x:si>
  <x:si>
    <x:t xml:space="preserve">Уточнить конкретные годы производства отдельных моделей Brownie при расширении темы.</x:t>
  </x:si>
  <x:si>
    <x:t xml:space="preserve">Brownie / долгий жизненный цикл</x:t>
  </x:si>
  <x:si>
    <x:t xml:space="preserve">PL-HIST-0077</x:t>
  </x:si>
  <x:si>
    <x:t xml:space="preserve">1888–1978</x:t>
  </x:si>
  <x:si>
    <x:t xml:space="preserve">США / музейные коллекции</x:t>
  </x:si>
  <x:si>
    <x:t xml:space="preserve">Неизвестные фотографы / snapshot-архивы</x:t>
  </x:si>
  <x:si>
    <x:t xml:space="preserve">Массовые любительские снимки позже становятся историческим и культурным архивом повседневной жизни.</x:t>
  </x:si>
  <x:si>
    <x:t xml:space="preserve">Vernacular photography / snapshot archive</x:t>
  </x:si>
  <x:si>
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</x:si>
  <x:si>
    <x:t xml:space="preserve">Kodak roll film и Brownie расширяют количество любительских снимков</x:t>
  </x:si>
  <x:si>
    <x:t xml:space="preserve">История vernacular photography и коллекционирование бытовых снимков</x:t>
  </x:si>
  <x:si>
    <x:t xml:space="preserve">Смысл для начинающего: даже обычный семейный снимок со временем может стать историческим документом.</x:t>
  </x:si>
  <x:si>
    <x:t xml:space="preserve">Коробка старых снимков превращается в музейный архив.</x:t>
  </x:si>
  <x:si>
    <x:t xml:space="preserve">#PL008 #vernacular #snapshot-archive #museum #everyday-history</x:t>
  </x:si>
  <x:si>
    <x:t xml:space="preserve">Snapshot-культура / культурный архив</x:t>
  </x:si>
  <x:si>
    <x:t xml:space="preserve">PL-HIST-0078</x:t>
  </x:si>
  <x:si>
    <x:t xml:space="preserve">1913 / 1925</x:t>
  </x:si>
  <x:si>
    <x:t xml:space="preserve">Вецлар / Лейпциг</x:t>
  </x:si>
  <x:si>
    <x:t xml:space="preserve">Оскар Барнак / Leica</x:t>
  </x:si>
  <x:si>
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</x:si>
  <x:si>
    <x:t xml:space="preserve">Bridge to 35mm miniature photography</x:t>
  </x:si>
  <x:si>
    <x:t xml:space="preserve">Фотография уже стала массовой, но следующий этап — сделать маленькую камеру серьёзным инструментом для живой съёмки.</x:t>
  </x:si>
  <x:si>
    <x:t xml:space="preserve">Brownie и snapshot-культура показывают силу простой камеры</x:t>
  </x:si>
  <x:si>
    <x:t xml:space="preserve">PL-009: 35 мм, Leica и новая мобильность фотографа</x:t>
  </x:si>
  <x:si>
    <x:t xml:space="preserve">SRC-051</x:t>
  </x:si>
  <x:si>
    <x:t xml:space="preserve">Smithsonian NMAH — Leica 35 mm 1(A) Camera</x:t>
  </x:si>
  <x:si>
    <x:t xml:space="preserve">https://americanhistory.si.edu/collections/object/nmah_834692</x:t>
  </x:si>
  <x:si>
    <x:t xml:space="preserve">Это мост к PL-009: после «камеры для всех» появится идея компактной камеры для быстрой и качественной фотографии.</x:t>
  </x:si>
  <x:si>
    <x:t xml:space="preserve">Линия от коробочной Brownie к маленькой 35-мм камере Leica.</x:t>
  </x:si>
  <x:si>
    <x:t xml:space="preserve">#PL008 #bridge #Leica #35mm #future-PL</x:t>
  </x:si>
  <x:si>
    <x:t xml:space="preserve">При заполнении PL-009 уточнить отдельно Ur-Leica 1913, Leica I 1925 и роль 35-мм кино-плёнки.</x:t>
  </x:si>
  <x:si>
    <x:t xml:space="preserve">50.5619, 8.5044</x:t>
  </x:si>
  <x:si>
    <x:t xml:space="preserve">Brownie / мост к 35 мм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</x:si>
  <x:si>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</x:si>
  <x:si>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</x:si>
  <x:si>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</x:si>
  <x:si>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</x:si>
  <x:si>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</x:si>
  <x:si>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</x:si>
  <x:si>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</x:si>
  <x:si>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</x:si>
  <x:si>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</x:si>
  <x:si>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серебряные соли, потемнение от света, фиксация, желатиновые эмульсии</x:t>
  </x:si>
  <x:si>
    <x:t xml:space="preserve">PL-002 / PL-006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</x:si>
  <x:si>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</x:si>
  <x:si>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</x:si>
  <x:si>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</x:si>
  <x:si>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</x:si>
  <x:si>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</x:si>
  <x:si>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</x:si>
  <x:si>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</x:si>
  <x:si>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</x:si>
  <x:si>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</x:si>
  <x:si>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</x:si>
  <x:si>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</x:si>
  <x:si>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</x:si>
  <x:si>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</x:si>
  <x:si>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Herschel, hypo, terms photography/negative/positive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</x:si>
  <x:si>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</x:si>
  <x:si>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</x:si>
  <x:si>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фотокнига, массовая печать, семейные альбомы, snapshot-архивы</x:t>
  </x:si>
  <x:si>
    <x:t xml:space="preserve">PL-004 / PL-008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</x:si>
  <x:si>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</x:si>
  <x:si>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</x:si>
  <x:si>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</x:si>
  <x:si>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</x:si>
  <x:si>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</x:si>
  <x:si>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</x:si>
  <x:si>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</x:si>
  <x:si>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</x:si>
  <x:si>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</x:si>
  <x:si>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</x:si>
  <x:si>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</x:si>
  <x:si>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</x:si>
  <x:si>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</x:si>
  <x:si>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</x:si>
  <x:si>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Главная тема</x:t>
  </x:si>
  <x:si>
    <x:t xml:space="preserve">Исторические узлы</x:t>
  </x:si>
  <x:si>
    <x:t xml:space="preserve">Что должен понять новичок</x:t>
  </x:si>
  <x:si>
    <x:t xml:space="preserve">Статус</x:t>
  </x:si>
  <x:si>
    <x:t xml:space="preserve">Ссылка на урок (Telegram)</x:t>
  </x:si>
  <x:si>
    <x:t xml:space="preserve">Камера-обскура и оптика</x:t>
  </x:si>
  <x:si>
    <x:t xml:space="preserve">PL-HIST-0001…0008, 0013, 0028</x:t>
  </x:si>
  <x:si>
    <x:t xml:space="preserve">Свет умеет строить изображение, но ещё не сохраняет его.</x:t>
  </x:si>
  <x:si>
    <x:t xml:space="preserve">основа готова</x:t>
  </x:si>
  <x:si>
    <x:t xml:space="preserve">https://t.me/photolab_vf_pro/4/40</x:t>
  </x:si>
  <x:si>
    <x:t xml:space="preserve">Ньепс и первая фиксация</x:t>
  </x:si>
  <x:si>
    <x:t xml:space="preserve">PL-HIST-0009…0016</x:t>
  </x:si>
  <x:si>
    <x:t xml:space="preserve">Недостаточно увидеть изображение — его нужно зафиксировать.</x:t>
  </x:si>
  <x:si>
    <x:t xml:space="preserve">https://t.me/photolab_vf_pro/4/54</x:t>
  </x:si>
  <x:si>
    <x:t xml:space="preserve">PL-HIST-0017…0023, 0027</x:t>
  </x:si>
  <x:si>
    <x:t xml:space="preserve">Фотография стала публичной, резкой и убедительной, но изображение было уникальным.</x:t>
  </x:si>
  <x:si>
    <x:t xml:space="preserve">https://t.me/photolab_vf_pro/4/59</x:t>
  </x:si>
  <x:si>
    <x:t xml:space="preserve">Тальбот, калотип, негатив-позитив</x:t>
  </x:si>
  <x:si>
    <x:t xml:space="preserve">PL-HIST-0019…0026, 0029…0035</x:t>
  </x:si>
  <x:si>
    <x:t xml:space="preserve">Идея копирования победила: один негатив может дать много отпечатков.</x:t>
  </x:si>
  <x:si>
    <x:t xml:space="preserve">https://t.me/photolab_vf_pro/4/64</x:t>
  </x:si>
  <x:si>
    <x:t xml:space="preserve">PL-HIST-0041…0048</x:t>
  </x:si>
  <x:si>
    <x:t xml:space="preserve">Резкость дагеротипа и тираж калотипа встретились на стеклянной влажной пластине.</x:t>
  </x:si>
  <x:si>
    <x:t xml:space="preserve">https://t.me/photolab_vf_pro/4/69</x:t>
  </x:si>
  <x:si>
    <x:t xml:space="preserve">Сухие желатиновые пластины</x:t>
  </x:si>
  <x:si>
    <x:t xml:space="preserve">PL-HIST-0049…0058</x:t>
  </x:si>
  <x:si>
    <x:t xml:space="preserve">Фотография освобождается от немедленной полевой химии: пластину можно купить, хранить, экспонировать и проявлять позже.</x:t>
  </x:si>
  <x:si>
    <x:t xml:space="preserve">основа заполнена</x:t>
  </x:si>
  <x:si>
    <x:t xml:space="preserve">https://t.me/photolab_vf_pro/4/75</x:t>
  </x:si>
  <x:si>
    <x:t xml:space="preserve">Рулонная плёнка и Kodak</x:t>
  </x:si>
  <x:si>
    <x:t xml:space="preserve">PL-HIST-0059…0068</x:t>
  </x:si>
  <x:si>
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</x:si>
  <x:si>
    <x:t xml:space="preserve">https://t.me/photolab_vf_pro/4/80</x:t>
  </x:si>
  <x:si>
    <x:t xml:space="preserve">Brownie и snapshot-культура</x:t>
  </x:si>
  <x:si>
    <x:t xml:space="preserve">PL-HIST-0069…0078</x:t>
  </x:si>
  <x:si>
    <x:t xml:space="preserve">Фотография становится дешёвой и повседневной: обычные люди начинают снимать семью, поездки, детей и частную жизнь.</x:t>
  </x:si>
  <x:si>
    <x:t xml:space="preserve">https://t.me/photolab_vf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</x:si>
  <x:si>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</x:si>
  <x:si>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</x:si>
  <x:si>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</x:si>
  <x:si>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</x:si>
  <x:si>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</x:si>
  <x:si>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</x:si>
  <x:si>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</x:si>
  <x:si>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</x:si>
  <x:si>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</x:si>
  <x:si>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</x:si>
  <x:si>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</x:si>
  <x:si>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</x:si>
  <x:si>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</x:si>
  <x:si>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</x:si>
  <x:si>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</x:si>
  <x:si>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</x:si>
  <x:si>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</x:si>
  <x:si>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</x:si>
  <x:si>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</x:si>
  <x:si>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</x:si>
  <x:si>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</x:si>
  <x:si>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</x:si>
  <x:si>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</x:si>
  <x:si>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</x:si>
  <x:si>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</x:si>
  <x:si>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</x:si>
  <x:si>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</x:si>
  <x:si>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</x:si>
  <x:si>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</x:si>
  <x:si>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</x:si>
  <x:si>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</x:si>
  <x:si>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</x:si>
  <x:si>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</x:si>
  <x:si>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</x:si>
  <x:si>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</x:si>
  <x:si>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</x:si>
  <x:si>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</x:si>
  <x:si>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</x:si>
  <x:si>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</x:si>
  <x:si>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</x:si>
  <x:si>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</x:si>
  <x:si>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</x:si>
  <x:si>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</x:si>
  <x:si>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</x:si>
  <x:si>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</x:si>
  <x:si>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</x:si>
  <x:si>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</x:si>
  <x:si>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</x:si>
  <x:si>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</x:si>
  <x:si>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</x:si>
  <x:si>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</x:si>
  <x:si>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</x:si>
  <x:si>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</x:si>
  <x:si>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</x:si>
  <x:si>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</x:si>
  <x:si>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Maddox 1871, Burgess/Kennett/Bennett improvements, Liverpool Dry Plate Company 1874</x:t>
  </x:si>
  <x:si>
    <x:t xml:space="preserve">dry plate 1871, manufacture 1878, replacement of wet collodion, storage benefits</x:t>
  </x:si>
  <x:si>
    <x:t xml:space="preserve">Maddox 1871, Bennett 1878, heating emulsion, 1/25 second exposure</x:t>
  </x:si>
  <x:si>
    <x:t xml:space="preserve">dry plate 1871/1878, faster exposure, motion, norm by late 1880s</x:t>
  </x:si>
  <x:si>
    <x:t xml:space="preserve">университетская выставка</x:t>
  </x:si>
  <x:si>
    <x:t xml:space="preserve">Eastman commercial dry plates in 1880, Eastman Dry Plate Company 1881</x:t>
  </x:si>
  <x:si>
    <x:t xml:space="preserve">официальная история компании</x:t>
  </x:si>
  <x:si>
    <x:t xml:space="preserve">Eastman and Strong, Eastman Dry Plate Company on January 1, 1881</x:t>
  </x:si>
  <x:si>
    <x:t xml:space="preserve">dry plates as popular negative from 1880 to 1900, benefits versus wet collodion</x:t>
  </x:si>
  <x:si>
    <x:t xml:space="preserve">архивный музейный источник</x:t>
  </x:si>
  <x:si>
    <x:t xml:space="preserve">dry plates coated with gelatin emulsion, practical freedom, Eastman's role</x:t>
  </x:si>
  <x:si>
    <x:t xml:space="preserve">Eastman-Walker roll holder, 1885, made by Eastman Dry Plate and Film Company</x:t>
  </x:si>
  <x:si>
    <x:t xml:space="preserve">American Film 1885 with Eastman-Walker roll holder; Kodak film 1888; Kodak transparent film 1889</x:t>
  </x:si>
  <x:si>
    <x:t xml:space="preserve">Goodwin and transparent flexible roll film on nitrocellulose base</x:t>
  </x:si>
  <x:si>
    <x:t xml:space="preserve">биографический/изобретательский источник</x:t>
  </x:si>
  <x:si>
    <x:t xml:space="preserve">Original Kodak camera 1888, flexible roll film, 100 exposures, price/context</x:t>
  </x:si>
  <x:si>
    <x:t xml:space="preserve">Kodak No. 1 camera, 100-exposure roll, factory processing/reloading, amateur photography</x:t>
  </x:si>
  <x:si>
    <x:t xml:space="preserve">Kodak launch 1888, camera patent and Kodak trademark on September 4, 1888</x:t>
  </x:si>
  <x:si>
    <x:t xml:space="preserve">1889 first commercial transparent roll film, Eastman and research chemist, impact on motion picture camera</x:t>
  </x:si>
  <x:si>
    <x:t xml:space="preserve">официальная хронология компании</x:t>
  </x:si>
  <x:si>
    <x:t xml:space="preserve">1891 first daylight-loading camera; Kodak Park and film/paper manufacturing context</x:t>
  </x:si>
  <x:si>
    <x:t xml:space="preserve">Kodak camera 1888 and Brownie 1900 as birth of popular photography</x:t>
  </x:si>
  <x:si>
    <x:t xml:space="preserve">No. 1 Brownie box roll-film camera; affordable and easy to use camera context</x:t>
  </x:si>
  <x:si>
    <x:t xml:space="preserve">SRC-045</x:t>
  </x:si>
  <x:si>
    <x:t xml:space="preserve">The Strong National Museum of Play — Brownies: From Folklore to Kodak Cameras</x:t>
  </x:si>
  <x:si>
    <x:t xml:space="preserve">https://www.museumofplay.org/blog/brownies-from-folklore-to-kodak-cameras/</x:t>
  </x:si>
  <x:si>
    <x:t xml:space="preserve">Brownie name, Frank A. Brownell, Eastman Kodak and cultural naming context</x:t>
  </x:si>
  <x:si>
    <x:t xml:space="preserve">Brownie 1900, $1 price, children/consumer photography context</x:t>
  </x:si>
  <x:si>
    <x:t xml:space="preserve">научно-образовательный источник</x:t>
  </x:si>
  <x:si>
    <x:t xml:space="preserve">Brownie democratized photography, aimed at people with no previous experience, advertising and Palmer Cox context</x:t>
  </x:si>
  <x:si>
    <x:t xml:space="preserve">SRC-048</x:t>
  </x:si>
  <x:si>
    <x:t xml:space="preserve">NEH — How Kodak Created a Fashion Accessory</x:t>
  </x:si>
  <x:si>
    <x:t xml:space="preserve">https://www.neh.gov/article/how-kodak-created-fashion-accessory</x:t>
  </x:si>
  <x:si>
    <x:t xml:space="preserve">Brownie 1900, $1 camera, mass-market amateur camera, middle/working-class and children context</x:t>
  </x:si>
  <x:si>
    <x:t xml:space="preserve">культурно-исторический источник</x:t>
  </x:si>
  <x:si>
    <x:t xml:space="preserve">snapshot photography as vernacular/cultural archive from Kodak roll-film era onward</x:t>
  </x:si>
  <x:si>
    <x:t xml:space="preserve">No. 2 Brownie camera, 120 rollfilm, simple box-form camera details</x:t>
  </x:si>
  <x:si>
    <x:t xml:space="preserve">Leica 1(A), commercial 35mm camera, Barnack, 1924/1925 and popularization of 35mm film photography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</x:si>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</x:sst>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4">
    <x:numFmt numFmtId="42" formatCode="_-* #,##0\ &quot;₽&quot;_-;\-* #,##0\ &quot;₽&quot;_-;_-* &quot;-&quot;\ &quot;₽&quot;_-;_-@_-"/>
    <x:numFmt numFmtId="41" formatCode="_-* #,##0_-;\-* #,##0_-;_-* &quot;-&quot;_-;_-@_-"/>
    <x:numFmt numFmtId="44" formatCode="_-* #,##0.00\ &quot;₽&quot;_-;\-* #,##0.00\ &quot;₽&quot;_-;_-* &quot;-&quot;??\ &quot;₽&quot;_-;_-@_-"/>
    <x:numFmt numFmtId="43" formatCode="_-* #,##0.00_-;\-* #,##0.00_-;_-* &quot;-&quot;??_-;_-@_-"/>
  </x:numFmts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0" fillId="0" borderId="1"/>
    <x:xf numFmtId="43" fontId="1" fillId="0" borderId="1"/>
    <x:xf numFmtId="41" fontId="1" fillId="0" borderId="1"/>
    <x:xf numFmtId="44" fontId="1" fillId="0" borderId="1"/>
    <x:xf numFmtId="42" fontId="1" fillId="0" borderId="1"/>
    <x:xf numFmtId="9" fontId="1" fillId="0" borderId="1"/>
    <x:xf numFmtId="0" fontId="9" fillId="0" borderId="1"/>
  </x:cellStyleXfs>
  <x:cellXfs count="41">
    <x:xf numFmtId="0" fontId="0" fillId="0" borderId="0" xfId="0" applyBorder="1"/>
    <x:xf numFmtId="0" fontId="3" fillId="3" borderId="0" xfId="6" applyFont="1" applyFill="1" applyBorder="1" applyAlignment="1">
      <x:alignment horizontal="center" vertical="center" wrapText="1"/>
    </x:xf>
    <x:xf numFmtId="0" fontId="4" fillId="3" borderId="0" xfId="6" applyFont="1" applyFill="1" applyBorder="1" applyAlignment="1">
      <x:alignment horizontal="center" vertical="center" wrapText="1"/>
    </x:xf>
    <x:xf numFmtId="0" fontId="5" fillId="0" borderId="0" xfId="6" applyFont="1" applyBorder="1" applyAlignment="1">
      <x:alignment vertical="top" wrapText="1"/>
    </x:xf>
    <x:xf numFmtId="0" fontId="6" fillId="0" borderId="0" xfId="6" applyFont="1" applyBorder="1" applyAlignment="1">
      <x:alignment horizontal="center" vertical="top" wrapText="1"/>
    </x:xf>
    <x:xf numFmtId="0" fontId="1" fillId="0" borderId="0" xfId="6" applyFont="1" applyBorder="1" applyAlignment="1">
      <x:alignment wrapText="1"/>
    </x:xf>
    <x:xf numFmtId="0" fontId="5" fillId="0" borderId="0" xfId="6" applyFont="1" applyBorder="1" applyAlignment="1">
      <x:alignment wrapText="1"/>
    </x:xf>
    <x:xf numFmtId="0" fontId="7" fillId="0" borderId="0" xfId="6" applyFont="1" applyBorder="1" applyAlignment="1">
      <x:alignment vertical="top" wrapText="1"/>
    </x:xf>
    <x:xf numFmtId="0" fontId="7" fillId="0" borderId="0" xfId="6" applyFont="1" applyBorder="1" applyAlignment="1">
      <x:alignment horizontal="center" vertical="top" wrapText="1"/>
    </x:xf>
    <x:xf numFmtId="0" fontId="3" fillId="4" borderId="0" xfId="6" applyFont="1" applyFill="1" applyBorder="1" applyAlignment="1">
      <x:alignment horizontal="center" vertical="center" wrapText="1"/>
    </x:xf>
    <x:xf numFmtId="0" fontId="8" fillId="5" borderId="0" xfId="6" applyFont="1" applyFill="1" applyBorder="1" applyAlignment="1">
      <x:alignment vertical="top" wrapText="1"/>
    </x:xf>
    <x:xf numFmtId="0" fontId="0" fillId="0" borderId="0" xfId="6" applyFont="1" applyBorder="1" applyAlignment="1">
      <x:alignment wrapText="1"/>
    </x:xf>
    <x:xf numFmtId="0" fontId="2" fillId="2" borderId="1" xfId="6" applyFont="1" applyFill="1" applyAlignment="1">
      <x:alignment horizontal="center" vertical="center" wrapText="1"/>
    </x:xf>
    <x:xf numFmtId="0" fontId="0" fillId="0" borderId="1" xfId="6" applyFont="1"/>
    <x:xf numFmtId="0" fontId="2" fillId="3" borderId="1" xfId="6" applyFont="1" applyFill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Normal" xfId="6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761ddbdb1743a0" /><Relationship Type="http://schemas.openxmlformats.org/officeDocument/2006/relationships/theme" Target="/xl/theme/theme1.xml" Id="R0e7cd0bbbaef4be8" /><Relationship Type="http://schemas.openxmlformats.org/officeDocument/2006/relationships/sharedStrings" Target="/xl/sharedStrings.xml" Id="Rdb08080d22fc423c" /><Relationship Type="http://schemas.openxmlformats.org/officeDocument/2006/relationships/worksheet" Target="/xl/worksheets/sheet1.xml" Id="R89bc147ec81d4166" /><Relationship Type="http://schemas.openxmlformats.org/officeDocument/2006/relationships/worksheet" Target="/xl/worksheets/sheet2.xml" Id="Rcae5aa9a01104fb7" /><Relationship Type="http://schemas.openxmlformats.org/officeDocument/2006/relationships/worksheet" Target="/xl/worksheets/sheet3.xml" Id="Rfb28ea5c5c7246e8" /><Relationship Type="http://schemas.openxmlformats.org/officeDocument/2006/relationships/worksheet" Target="/xl/worksheets/sheet4.xml" Id="R41a94ce12af846ef" /><Relationship Type="http://schemas.openxmlformats.org/officeDocument/2006/relationships/worksheet" Target="/xl/worksheets/sheet5.xml" Id="R17f69793fedb41b2" /><Relationship Type="http://schemas.openxmlformats.org/officeDocument/2006/relationships/worksheet" Target="/xl/worksheets/sheet6.xml" Id="R8f7418347b3b429e" /><Relationship Type="http://schemas.openxmlformats.org/officeDocument/2006/relationships/worksheet" Target="/xl/worksheets/sheet7.xml" Id="R6823f14f8b7e4a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cb1fa2f44e4f69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5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>Тип узла</c:v>
                </c:pt>
                <c:pt idx="14">
                  <c:v>Фундаментальная предпосылка</c:v>
                </c:pt>
                <c:pt idx="15">
                  <c:v>Технология / процесс</c:v>
                </c:pt>
                <c:pt idx="16">
                  <c:v>Инструмент / устройство</c:v>
                </c:pt>
                <c:pt idx="17">
                  <c:v>Публикация / объявление</c:v>
                </c:pt>
                <c:pt idx="18">
                  <c:v>Терминология / язык</c:v>
                </c:pt>
                <c:pt idx="19">
                  <c:v>Связь / переход</c:v>
                </c:pt>
                <c:pt idx="20">
                  <c:v>Тиражирование / публикация</c:v>
                </c:pt>
                <c:pt idx="21">
                  <c:v>Распространение / коммерциализация</c:v>
                </c:pt>
                <c:pt idx="22">
                  <c:v>Научное применение / пример</c:v>
                </c:pt>
                <c:pt idx="23">
                  <c:v>Применение / жанр</c:v>
                </c:pt>
                <c:pt idx="24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25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29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4</c:v>
                </c:pt>
                <c:pt idx="15">
                  <c:v>24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8</c:v>
                </c:pt>
                <c:pt idx="20">
                  <c:v>5</c:v>
                </c:pt>
                <c:pt idx="21">
                  <c:v>11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cb1fa2f44e4f6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2" name="BranchesTable" displayName="BranchesTable" ref="A1:E14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3" name="LessonsTable" displayName="LessonsTable" ref="A1:E7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6d48fd5b55248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890d577a2349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153f6431224d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3660eaa7e6944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64bb8c9dd7f4843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customWidth="1"/>
    <x:col min="2" max="2" width="14.6640625" customWidth="1"/>
    <x:col min="3" max="3" width="50.5" customWidth="1"/>
    <x:col min="4" max="5" width="14.6640625" customWidth="1"/>
  </x:cols>
  <x:sheetData>
    <x:row r="1" ht="30" customHeight="1">
      <x:c r="A1" s="29" t="str">
        <x:v>PHOTO LAB — Master Timeline v0.7</x:v>
      </x:c>
      <x:c r="B1" s="28"/>
      <x:c r="C1" s="28"/>
      <x:c r="D1" s="28"/>
      <x:c r="E1" s="28"/>
      <x:c r="F1" s="13"/>
    </x:row>
    <x:row r="2" ht="27.75" customHeight="1">
      <x:c r="A2" s="30" t="s">
        <x:v>0</x:v>
      </x:c>
      <x:c r="B2" s="30" t="s">
        <x:v>1</x:v>
      </x:c>
      <x:c r="C2" s="30" t="s">
        <x:v>2</x:v>
      </x:c>
      <x:c r="D2" s="31"/>
      <x:c r="E2" s="31"/>
    </x:row>
    <x:row r="3" ht="15.75" customHeight="1">
      <x:c r="A3" s="32" t="s">
        <x:v>3</x:v>
      </x:c>
      <x:c r="B3" s="33" t="n">
        <x:f>COUNTA('01_Master_Facts'!$A$2:$A$500)</x:f>
        <x:v>98</x:v>
      </x:c>
      <x:c r="C3" s="32" t="s">
        <x:v>4</x:v>
      </x:c>
      <x:c r="D3" s="28"/>
      <x:c r="E3" s="28"/>
    </x:row>
    <x:row r="4" ht="15.75" customHeight="1">
      <x:c r="A4" s="32" t="s">
        <x:v>5</x:v>
      </x:c>
      <x:c r="B4" s="33" t="n">
        <x:f>COUNTIF('01_Master_Facts'!$N$2:$N$500,5)</x:f>
        <x:v>44</x:v>
      </x:c>
      <x:c r="C4" s="32" t="s">
        <x:v>6</x:v>
      </x:c>
      <x:c r="D4" s="28"/>
      <x:c r="E4" s="28"/>
    </x:row>
    <x:row r="5" ht="15.75" customHeight="1">
      <x:c r="A5" s="32" t="str">
        <x:v>Узлов для PL-001–PL-010</x:v>
      </x:c>
      <x:c r="B5" s="33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)</x:f>
        <x:v>87</x:v>
      </x:c>
      <x:c r="C5" s="32" t="str">
        <x:v>Без будущих PL и межурочных узлов</x:v>
      </x:c>
      <x:c r="D5" s="28"/>
      <x:c r="E5" s="28"/>
    </x:row>
    <x:row r="6" ht="31.5" customHeight="1">
      <x:c r="A6" s="32" t="s">
        <x:v>7</x:v>
      </x:c>
      <x:c r="B6" s="33" t="n">
        <x:f>COUNTIF('01_Master_Facts'!$W$2:$W$500,"&lt;&gt;")</x:f>
        <x:v>32</x:v>
      </x:c>
      <x:c r="C6" s="32" t="s">
        <x:v>8</x:v>
      </x:c>
      <x:c r="D6" s="28"/>
      <x:c r="E6" s="28"/>
    </x:row>
    <x:row r="7" ht="12.75" customHeight="1">
      <x:c r="A7" s="28"/>
      <x:c r="B7" s="28"/>
      <x:c r="C7" s="28"/>
      <x:c r="D7" s="28"/>
      <x:c r="E7" s="28"/>
    </x:row>
    <x:row r="8" ht="12.75" customHeight="1">
      <x:c r="A8" s="28"/>
      <x:c r="B8" s="28"/>
      <x:c r="C8" s="28"/>
      <x:c r="D8" s="28"/>
      <x:c r="E8" s="28"/>
    </x:row>
    <x:row r="9" ht="27.75" customHeight="1">
      <x:c r="A9" s="30" t="s">
        <x:v>9</x:v>
      </x:c>
      <x:c r="B9" s="30" t="s">
        <x:v>10</x:v>
      </x:c>
      <x:c r="C9" s="28"/>
      <x:c r="D9" s="30" t="s">
        <x:v>11</x:v>
      </x:c>
      <x:c r="E9" s="30" t="s">
        <x:v>10</x:v>
      </x:c>
    </x:row>
    <x:row r="10" ht="15.75" customHeight="1">
      <x:c r="A10" s="34" t="s">
        <x:v>12</x:v>
      </x:c>
      <x:c r="B10" s="34" t="n">
        <x:f>COUNTIF('01_Master_Facts'!$H$2:$H$500,A10)</x:f>
        <x:v>6</x:v>
      </x:c>
      <x:c r="C10" s="28"/>
      <x:c r="D10" s="34" t="s">
        <x:v>13</x:v>
      </x:c>
      <x:c r="E10" s="34" t="n">
        <x:f>COUNTIF('01_Master_Facts'!$O$2:$O$500,D10)</x:f>
        <x:v>8</x:v>
      </x:c>
    </x:row>
    <x:row r="11" ht="15.75" customHeight="1">
      <x:c r="A11" s="34" t="s">
        <x:v>14</x:v>
      </x:c>
      <x:c r="B11" s="34" t="n">
        <x:f>COUNTIF('01_Master_Facts'!$H$2:$H$500,A11)</x:f>
        <x:v>15</x:v>
      </x:c>
      <x:c r="C11" s="28"/>
      <x:c r="D11" s="34" t="s">
        <x:v>15</x:v>
      </x:c>
      <x:c r="E11" s="34" t="n">
        <x:f>COUNTIF('01_Master_Facts'!$O$2:$O$500,D11)</x:f>
        <x:v>7</x:v>
      </x:c>
    </x:row>
    <x:row r="12" ht="15.75" customHeight="1">
      <x:c r="A12" s="34" t="s">
        <x:v>16</x:v>
      </x:c>
      <x:c r="B12" s="34" t="n">
        <x:f>COUNTIF('01_Master_Facts'!$H$2:$H$500,A12)</x:f>
        <x:v>4</x:v>
      </x:c>
      <x:c r="C12" s="28"/>
      <x:c r="D12" s="34" t="s">
        <x:v>17</x:v>
      </x:c>
      <x:c r="E12" s="34" t="n">
        <x:f>COUNTIF('01_Master_Facts'!$O$2:$O$500,D12)</x:f>
        <x:v>5</x:v>
      </x:c>
    </x:row>
    <x:row r="13" ht="15.75" customHeight="1">
      <x:c r="A13" s="34" t="s">
        <x:v>18</x:v>
      </x:c>
      <x:c r="B13" s="34" t="n">
        <x:f>COUNTIF('01_Master_Facts'!$H$2:$H$500,A13)</x:f>
        <x:v>3</x:v>
      </x:c>
      <x:c r="C13" s="28"/>
      <x:c r="D13" s="34" t="s">
        <x:v>19</x:v>
      </x:c>
      <x:c r="E13" s="34" t="n">
        <x:f>COUNTIF('01_Master_Facts'!$O$2:$O$500,D13)</x:f>
        <x:v>9</x:v>
      </x:c>
    </x:row>
    <x:row r="14" ht="15.75" customHeight="1">
      <x:c r="A14" s="34" t="s">
        <x:v>20</x:v>
      </x:c>
      <x:c r="B14" s="34" t="n">
        <x:f>COUNTIF('01_Master_Facts'!$H$2:$H$500,A14)</x:f>
        <x:v>7</x:v>
      </x:c>
      <x:c r="C14" s="28"/>
      <x:c r="D14" s="34" t="s">
        <x:v>21</x:v>
      </x:c>
      <x:c r="E14" s="34" t="n">
        <x:f>COUNTIF('01_Master_Facts'!$O$2:$O$500,D14)</x:f>
        <x:v>8</x:v>
      </x:c>
    </x:row>
    <x:row r="15" ht="15.75" customHeight="1">
      <x:c r="A15" s="34" t="s">
        <x:v>22</x:v>
      </x:c>
      <x:c r="B15" s="34" t="n">
        <x:f>COUNTIF('01_Master_Facts'!$H$2:$H$500,A15)</x:f>
        <x:v>2</x:v>
      </x:c>
      <x:c r="C15" s="28"/>
      <x:c r="D15" s="34" t="s">
        <x:v>23</x:v>
      </x:c>
      <x:c r="E15" s="34" t="n">
        <x:f>COUNTIF('01_Master_Facts'!$O$2:$O$500,D15)</x:f>
        <x:v>10</x:v>
      </x:c>
    </x:row>
    <x:row r="16" ht="15.75" customHeight="1">
      <x:c r="A16" s="34" t="s">
        <x:v>24</x:v>
      </x:c>
      <x:c r="B16" s="34" t="n">
        <x:f>COUNTIF('01_Master_Facts'!$H$2:$H$500,A16)</x:f>
        <x:v>34</x:v>
      </x:c>
      <x:c r="C16" s="28"/>
      <x:c r="D16" s="34" t="s">
        <x:v>25</x:v>
      </x:c>
      <x:c r="E16" s="34" t="n">
        <x:f>COUNTIF('01_Master_Facts'!$O$2:$O$500,D16)</x:f>
        <x:v>10</x:v>
      </x:c>
    </x:row>
    <x:row r="17" ht="31.5" customHeight="1">
      <x:c r="A17" s="34" t="s">
        <x:v>26</x:v>
      </x:c>
      <x:c r="B17" s="34" t="n">
        <x:f>COUNTIF('01_Master_Facts'!$H$2:$H$500,A17)</x:f>
        <x:v>2</x:v>
      </x:c>
      <x:c r="C17" s="28"/>
      <x:c r="D17" s="34" t="s">
        <x:v>27</x:v>
      </x:c>
      <x:c r="E17" s="34" t="n">
        <x:f>COUNTIF('01_Master_Facts'!$O$2:$O$500,D17)</x:f>
        <x:v>10</x:v>
      </x:c>
    </x:row>
    <x:row r="18" ht="15.75" customHeight="1">
      <x:c r="A18" s="34" t="s">
        <x:v>28</x:v>
      </x:c>
      <x:c r="B18" s="34" t="n">
        <x:f>COUNTIF('01_Master_Facts'!$H$2:$H$500,A18)</x:f>
        <x:v>10</x:v>
      </x:c>
      <x:c r="C18" s="28"/>
      <x:c r="D18" s="28" t="str">
        <x:v>PL-009</x:v>
      </x:c>
      <x:c r="E18" s="28" t="n">
        <x:f>COUNTIF('01_Master_Facts'!$O$2:$O$500,D18)</x:f>
        <x:v>10</x:v>
      </x:c>
    </x:row>
    <x:row r="19" ht="15.75" customHeight="1">
      <x:c r="A19" s="34" t="s">
        <x:v>29</x:v>
      </x:c>
      <x:c r="B19" s="34" t="n">
        <x:f>COUNTIF('01_Master_Facts'!$H$2:$H$500,A19)</x:f>
        <x:v>5</x:v>
      </x:c>
      <x:c r="C19" s="28"/>
      <x:c r="D19" s="28" t="str">
        <x:v>PL-010</x:v>
      </x:c>
      <x:c r="E19" s="28" t="n">
        <x:f>COUNTIF('01_Master_Facts'!$O$2:$O$500,D19)</x:f>
        <x:v>10</x:v>
      </x:c>
    </x:row>
    <x:row r="20" ht="15.75" customHeight="1">
      <x:c r="A20" s="34" t="s">
        <x:v>30</x:v>
      </x:c>
      <x:c r="B20" s="34" t="n">
        <x:f>COUNTIF('01_Master_Facts'!$H$2:$H$500,A20)</x:f>
        <x:v>4</x:v>
      </x:c>
      <x:c r="C20" s="28"/>
      <x:c r="D20" s="28" t="str">
        <x:v>будущие PL</x:v>
      </x:c>
      <x:c r="E20" s="28" t="n">
        <x:f>COUNTIF('01_Master_Facts'!$O$2:$O$500,D20)</x:f>
        <x:v>9</x:v>
      </x:c>
    </x:row>
    <x:row r="21" ht="15.75" customHeight="1">
      <x:c r="A21" s="34" t="s">
        <x:v>31</x:v>
      </x:c>
      <x:c r="B21" s="34" t="n">
        <x:f>COUNTIF('01_Master_Facts'!$H$2:$H$500,A21)</x:f>
        <x:v>1</x:v>
      </x:c>
      <x:c r="C21" s="28"/>
      <x:c r="D21" s="28" t="str">
        <x:v>межурочный узел</x:v>
      </x:c>
      <x:c r="E21" s="28" t="n">
        <x:f>COUNTIF('01_Master_Facts'!$O$2:$O$500,D21)</x:f>
        <x:v>2</x:v>
      </x:c>
    </x:row>
    <x:row r="22" ht="15.75" customHeight="1">
      <x:c r="A22" s="34" t="s">
        <x:v>32</x:v>
      </x:c>
      <x:c r="B22" s="34" t="n">
        <x:f>COUNTIF('01_Master_Facts'!$H$2:$H$500,A22)</x:f>
        <x:v>5</x:v>
      </x:c>
      <x:c r="C22" s="28"/>
      <x:c r="D22" s="28" t="str">
        <x:v>проверить</x:v>
      </x:c>
      <x:c r="E22" s="28" t="n">
        <x:f>COUNTIF('01_Master_Facts'!$O$2:$O$500,D22)</x:f>
        <x:v>0</x:v>
      </x:c>
    </x:row>
    <x:row r="23" ht="15" customHeight="1">
      <x:c r="A23" s="34"/>
      <x:c r="B23" s="34"/>
      <x:c r="C23" s="28"/>
      <x:c r="D23" s="28"/>
      <x:c r="E23" s="28"/>
    </x:row>
    <x:row r="24" ht="15" customHeight="1">
      <x:c r="A24" s="34"/>
      <x:c r="B24" s="34"/>
      <x:c r="C24" s="28"/>
      <x:c r="D24" s="28"/>
      <x:c r="E24" s="28"/>
    </x:row>
    <x:row r="25" ht="31.5" customHeight="1">
      <x:c r="A25" s="30" t="s">
        <x:v>33</x:v>
      </x:c>
      <x:c r="B25" s="30" t="s">
        <x:v>10</x:v>
      </x:c>
      <x:c r="C25" s="28"/>
      <x:c r="D25" s="28"/>
      <x:c r="E25" s="28"/>
    </x:row>
    <x:row r="26" ht="15.75" customHeight="1">
      <x:c r="A26" s="34" t="s">
        <x:v>34</x:v>
      </x:c>
      <x:c r="B26" s="34" t="n">
        <x:f>COUNTIF('01_Master_Facts'!$Z$2:$Z$500,A26)</x:f>
        <x:v>4</x:v>
      </x:c>
      <x:c r="C26" s="28"/>
      <x:c r="D26" s="28"/>
      <x:c r="E26" s="28"/>
    </x:row>
    <x:row r="27" ht="15.75" customHeight="1">
      <x:c r="A27" s="34" t="s">
        <x:v>35</x:v>
      </x:c>
      <x:c r="B27" s="34" t="n">
        <x:f>COUNTIF('01_Master_Facts'!$Z$2:$Z$500,A27)</x:f>
        <x:v>26</x:v>
      </x:c>
      <x:c r="C27" s="28"/>
      <x:c r="D27" s="28"/>
      <x:c r="E27" s="28"/>
    </x:row>
    <x:row r="28" ht="15.75" customHeight="1">
      <x:c r="A28" s="34" t="s">
        <x:v>36</x:v>
      </x:c>
      <x:c r="B28" s="34" t="n">
        <x:f>COUNTIF('01_Master_Facts'!$Z$2:$Z$500,A28)</x:f>
        <x:v>11</x:v>
      </x:c>
      <x:c r="C28" s="28"/>
      <x:c r="D28" s="28"/>
      <x:c r="E28" s="28"/>
    </x:row>
    <x:row r="29" ht="15.75" customHeight="1">
      <x:c r="A29" s="34" t="s">
        <x:v>37</x:v>
      </x:c>
      <x:c r="B29" s="34" t="n">
        <x:f>COUNTIF('01_Master_Facts'!$Z$2:$Z$500,A29)</x:f>
        <x:v>5</x:v>
      </x:c>
      <x:c r="C29" s="28"/>
      <x:c r="D29" s="28"/>
      <x:c r="E29" s="28"/>
    </x:row>
    <x:row r="30" ht="15.75" customHeight="1">
      <x:c r="A30" s="34" t="s">
        <x:v>38</x:v>
      </x:c>
      <x:c r="B30" s="34" t="n">
        <x:f>COUNTIF('01_Master_Facts'!$Z$2:$Z$500,A30)</x:f>
        <x:v>2</x:v>
      </x:c>
      <x:c r="C30" s="28"/>
      <x:c r="D30" s="28"/>
      <x:c r="E30" s="28"/>
    </x:row>
    <x:row r="31" ht="15.75" customHeight="1">
      <x:c r="A31" s="34" t="s">
        <x:v>39</x:v>
      </x:c>
      <x:c r="B31" s="34" t="n">
        <x:f>COUNTIF('01_Master_Facts'!$Z$2:$Z$500,A31)</x:f>
        <x:v>13</x:v>
      </x:c>
      <x:c r="C31" s="28"/>
      <x:c r="D31" s="28"/>
      <x:c r="E31" s="28"/>
    </x:row>
    <x:row r="32" ht="15.75" customHeight="1">
      <x:c r="A32" s="34" t="s">
        <x:v>40</x:v>
      </x:c>
      <x:c r="B32" s="34" t="n">
        <x:f>COUNTIF('01_Master_Facts'!$Z$2:$Z$500,A32)</x:f>
        <x:v>5</x:v>
      </x:c>
      <x:c r="C32" s="28"/>
      <x:c r="D32" s="28"/>
      <x:c r="E32" s="28"/>
    </x:row>
    <x:row r="33" ht="15.75" customHeight="1">
      <x:c r="A33" s="34" t="s">
        <x:v>41</x:v>
      </x:c>
      <x:c r="B33" s="34" t="n">
        <x:f>COUNTIF('01_Master_Facts'!$Z$2:$Z$500,A33)</x:f>
        <x:v>15</x:v>
      </x:c>
      <x:c r="C33" s="28"/>
      <x:c r="D33" s="28"/>
      <x:c r="E33" s="28"/>
    </x:row>
    <x:row r="34" ht="15.75" customHeight="1">
      <x:c r="A34" s="34" t="s">
        <x:v>42</x:v>
      </x:c>
      <x:c r="B34" s="34" t="n">
        <x:f>COUNTIF('01_Master_Facts'!$Z$2:$Z$500,A34)</x:f>
        <x:v>2</x:v>
      </x:c>
      <x:c r="C34" s="28"/>
      <x:c r="D34" s="28"/>
      <x:c r="E34" s="28"/>
    </x:row>
    <x:row r="35" ht="15.75" customHeight="1">
      <x:c r="A35" s="34" t="s">
        <x:v>43</x:v>
      </x:c>
      <x:c r="B35" s="34" t="n">
        <x:f>COUNTIF('01_Master_Facts'!$Z$2:$Z$500,A35)</x:f>
        <x:v>7</x:v>
      </x:c>
      <x:c r="C35" s="28"/>
      <x:c r="D35" s="28"/>
      <x:c r="E35" s="28"/>
    </x:row>
    <x:row r="36" ht="15.75" customHeight="1">
      <x:c r="A36" s="34" t="s">
        <x:v>44</x:v>
      </x:c>
      <x:c r="B36" s="34" t="n">
        <x:f>COUNTIF('01_Master_Facts'!$Z$2:$Z$500,A36)</x:f>
        <x:v>8</x:v>
      </x:c>
      <x:c r="C36" s="28"/>
      <x:c r="D36" s="28"/>
      <x:c r="E36" s="28"/>
    </x:row>
    <x:row r="37" ht="15" customHeight="1">
      <x:c r="A37" s="6"/>
      <x:c r="B37" s="6"/>
      <x:c r="C37" s="11"/>
      <x:c r="D37" s="11"/>
      <x:c r="E37" s="11"/>
    </x:row>
    <x:row r="38" ht="15" customHeight="1">
      <x:c r="A38" s="6"/>
      <x:c r="B38" s="6"/>
      <x:c r="C38" s="11"/>
      <x:c r="D38" s="11"/>
      <x:c r="E38" s="11"/>
    </x:row>
    <x:row r="39" ht="15" customHeight="1">
      <x:c r="A39" s="6"/>
      <x:c r="B39" s="6"/>
      <x:c r="C39" s="11"/>
      <x:c r="D39" s="11"/>
      <x:c r="E39" s="11"/>
    </x:row>
    <x:row r="40" ht="15" customHeight="1">
      <x:c r="A40" s="6"/>
      <x:c r="B40" s="6"/>
      <x:c r="C40" s="11"/>
      <x:c r="D40" s="11"/>
      <x:c r="E40" s="11"/>
    </x:row>
    <x:row r="41" ht="15" customHeight="1">
      <x:c r="A41" s="6"/>
      <x:c r="B41" s="6"/>
    </x:row>
    <x:row r="42" ht="15" customHeight="1">
      <x:c r="A42" s="6"/>
      <x:c r="B42" s="6"/>
    </x:row>
    <x:row r="43" ht="15" customHeight="1">
      <x:c r="A43" s="6"/>
      <x:c r="B43" s="6"/>
    </x:row>
    <x:row r="44" ht="15" customHeight="1">
      <x:c r="A44" s="6"/>
      <x:c r="B44" s="6"/>
    </x:row>
    <x:row r="45" ht="15" customHeight="1">
      <x:c r="A45" s="6"/>
      <x:c r="B45" s="6"/>
    </x:row>
    <x:row r="46" ht="15" customHeight="1">
      <x:c r="A46" s="6"/>
      <x:c r="B46" s="6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d6d48fd5b5524888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3" width="16" customWidth="1"/>
    <x:col min="4" max="4" width="20" customWidth="1"/>
    <x:col min="5" max="5" width="22" customWidth="1"/>
    <x:col min="6" max="6" width="24" customWidth="1"/>
    <x:col min="7" max="7" width="44" customWidth="1"/>
    <x:col min="8" max="9" width="24" customWidth="1"/>
    <x:col min="10" max="10" width="46" customWidth="1"/>
    <x:col min="11" max="12" width="30" customWidth="1"/>
    <x:col min="13" max="13" width="26" customWidth="1"/>
    <x:col min="14" max="14" width="12" customWidth="1"/>
    <x:col min="15" max="15" width="18" customWidth="1"/>
    <x:col min="16" max="16" width="12" customWidth="1"/>
    <x:col min="17" max="17" width="34" customWidth="1"/>
    <x:col min="18" max="18" width="52" customWidth="1"/>
    <x:col min="19" max="19" width="14" customWidth="1"/>
    <x:col min="20" max="20" width="46" customWidth="1"/>
    <x:col min="21" max="21" width="38" customWidth="1"/>
    <x:col min="22" max="22" width="24" customWidth="1"/>
    <x:col min="23" max="23" width="34" customWidth="1"/>
    <x:col min="24" max="24" width="20" customWidth="1"/>
    <x:col min="25" max="25" width="28" customWidth="1"/>
    <x:col min="26" max="26" width="26" customWidth="1"/>
    <x:col min="27" max="27" width="16" customWidth="1"/>
  </x:cols>
  <x:sheetData>
    <x:row r="1" ht="27.75" customHeight="1">
      <x:c r="A1" s="1" t="s">
        <x:v>45</x:v>
      </x:c>
      <x:c r="B1" s="1" t="s">
        <x:v>46</x:v>
      </x:c>
      <x:c r="C1" s="1" t="s">
        <x:v>47</x:v>
      </x:c>
      <x:c r="D1" s="1" t="s">
        <x:v>48</x:v>
      </x:c>
      <x:c r="E1" s="1" t="s">
        <x:v>49</x:v>
      </x:c>
      <x:c r="F1" s="1" t="s">
        <x:v>50</x:v>
      </x:c>
      <x:c r="G1" s="1" t="s">
        <x:v>51</x:v>
      </x:c>
      <x:c r="H1" s="1" t="s">
        <x:v>9</x:v>
      </x:c>
      <x:c r="I1" s="1" t="s">
        <x:v>35</x:v>
      </x:c>
      <x:c r="J1" s="1" t="s">
        <x:v>52</x:v>
      </x:c>
      <x:c r="K1" s="1" t="s">
        <x:v>53</x:v>
      </x:c>
      <x:c r="L1" s="1" t="s">
        <x:v>54</x:v>
      </x:c>
      <x:c r="M1" s="1" t="s">
        <x:v>55</x:v>
      </x:c>
      <x:c r="N1" s="1" t="s">
        <x:v>56</x:v>
      </x:c>
      <x:c r="O1" s="1" t="s">
        <x:v>57</x:v>
      </x:c>
      <x:c r="P1" s="1" t="s">
        <x:v>58</x:v>
      </x:c>
      <x:c r="Q1" s="1" t="s">
        <x:v>59</x:v>
      </x:c>
      <x:c r="R1" s="1" t="s">
        <x:v>60</x:v>
      </x:c>
      <x:c r="S1" s="1" t="s">
        <x:v>61</x:v>
      </x:c>
      <x:c r="T1" s="1" t="s">
        <x:v>62</x:v>
      </x:c>
      <x:c r="U1" s="1" t="s">
        <x:v>63</x:v>
      </x:c>
      <x:c r="V1" s="1" t="s">
        <x:v>64</x:v>
      </x:c>
      <x:c r="W1" s="1" t="s">
        <x:v>65</x:v>
      </x:c>
      <x:c r="X1" s="2" t="s">
        <x:v>66</x:v>
      </x:c>
      <x:c r="Y1" s="2" t="s">
        <x:v>67</x:v>
      </x:c>
      <x:c r="Z1" s="2" t="s">
        <x:v>33</x:v>
      </x:c>
      <x:c r="AA1" t="s">
        <x:v>68</x:v>
      </x:c>
    </x:row>
    <x:row r="2" ht="45" customHeight="1">
      <x:c r="A2" s="7" t="s">
        <x:v>69</x:v>
      </x:c>
      <x:c r="B2" s="7" t="s">
        <x:v>70</x:v>
      </x:c>
      <x:c r="C2" s="7" t="s">
        <x:v>71</x:v>
      </x:c>
      <x:c r="D2" s="7" t="s">
        <x:v>72</x:v>
      </x:c>
      <x:c r="E2" s="7" t="s">
        <x:v>73</x:v>
      </x:c>
      <x:c r="F2" s="7" t="s">
        <x:v>74</x:v>
      </x:c>
      <x:c r="G2" s="7" t="s">
        <x:v>75</x:v>
      </x:c>
      <x:c r="H2" s="7" t="s">
        <x:v>12</x:v>
      </x:c>
      <x:c r="I2" s="7" t="s">
        <x:v>76</x:v>
      </x:c>
      <x:c r="J2" s="7" t="s">
        <x:v>77</x:v>
      </x:c>
      <x:c r="K2" s="7" t="s">
        <x:v>78</x:v>
      </x:c>
      <x:c r="L2" s="7" t="s">
        <x:v>79</x:v>
      </x:c>
      <x:c r="M2" s="7" t="s">
        <x:v>80</x:v>
      </x:c>
      <x:c r="N2" s="8">
        <x:v>5</x:v>
      </x:c>
      <x:c r="O2" s="7" t="s">
        <x:v>13</x:v>
      </x:c>
      <x:c r="P2" s="7" t="s">
        <x:v>81</x:v>
      </x:c>
      <x:c r="Q2" s="7" t="s">
        <x:v>82</x:v>
      </x:c>
      <x:c r="R2" s="7" t="s">
        <x:v>83</x:v>
      </x:c>
      <x:c r="S2" s="8">
        <x:v>4</x:v>
      </x:c>
      <x:c r="T2" s="7" t="s">
        <x:v>84</x:v>
      </x:c>
      <x:c r="U2" s="7" t="s">
        <x:v>85</x:v>
      </x:c>
      <x:c r="V2" s="7" t="s">
        <x:v>86</x:v>
      </x:c>
      <x:c r="W2" s="7" t="s">
        <x:v>87</x:v>
      </x:c>
      <x:c r="X2" t="s">
        <x:v>88</x:v>
      </x:c>
      <x:c r="Z2" t="s">
        <x:v>34</x:v>
      </x:c>
      <x:c r="AA2" t="s">
        <x:v>89</x:v>
      </x:c>
    </x:row>
    <x:row r="3" ht="45" customHeight="1">
      <x:c r="A3" s="7" t="s">
        <x:v>90</x:v>
      </x:c>
      <x:c r="B3" s="7" t="s">
        <x:v>91</x:v>
      </x:c>
      <x:c r="C3" s="7" t="s">
        <x:v>92</x:v>
      </x:c>
      <x:c r="D3" s="7" t="s">
        <x:v>93</x:v>
      </x:c>
      <x:c r="E3" s="7" t="s">
        <x:v>94</x:v>
      </x:c>
      <x:c r="F3" s="7" t="s">
        <x:v>95</x:v>
      </x:c>
      <x:c r="G3" s="7" t="s">
        <x:v>96</x:v>
      </x:c>
      <x:c r="H3" s="7" t="s">
        <x:v>12</x:v>
      </x:c>
      <x:c r="I3" s="7" t="s">
        <x:v>97</x:v>
      </x:c>
      <x:c r="J3" s="7" t="s">
        <x:v>98</x:v>
      </x:c>
      <x:c r="K3" s="7" t="s">
        <x:v>99</x:v>
      </x:c>
      <x:c r="L3" s="7" t="s">
        <x:v>100</x:v>
      </x:c>
      <x:c r="M3" s="7" t="s">
        <x:v>80</x:v>
      </x:c>
      <x:c r="N3" s="8">
        <x:v>3</x:v>
      </x:c>
      <x:c r="O3" s="7" t="s">
        <x:v>13</x:v>
      </x:c>
      <x:c r="P3" s="7" t="s">
        <x:v>101</x:v>
      </x:c>
      <x:c r="Q3" s="7" t="s">
        <x:v>102</x:v>
      </x:c>
      <x:c r="R3" s="7" t="s">
        <x:v>103</x:v>
      </x:c>
      <x:c r="S3" s="8">
        <x:v>3</x:v>
      </x:c>
      <x:c r="T3" s="7" t="s">
        <x:v>104</x:v>
      </x:c>
      <x:c r="U3" s="7" t="s">
        <x:v>105</x:v>
      </x:c>
      <x:c r="V3" s="7" t="s">
        <x:v>106</x:v>
      </x:c>
      <x:c r="W3" s="7" t="s">
        <x:v>107</x:v>
      </x:c>
      <x:c r="X3" t="s">
        <x:v>108</x:v>
      </x:c>
      <x:c r="Z3" t="s">
        <x:v>36</x:v>
      </x:c>
    </x:row>
    <x:row r="4" ht="45" customHeight="1">
      <x:c r="A4" s="7" t="s">
        <x:v>109</x:v>
      </x:c>
      <x:c r="B4" s="7" t="s">
        <x:v>110</x:v>
      </x:c>
      <x:c r="C4" s="7" t="s">
        <x:v>92</x:v>
      </x:c>
      <x:c r="D4" s="7" t="s">
        <x:v>111</x:v>
      </x:c>
      <x:c r="E4" s="7" t="s">
        <x:v>112</x:v>
      </x:c>
      <x:c r="F4" s="7" t="s">
        <x:v>113</x:v>
      </x:c>
      <x:c r="G4" s="7" t="s">
        <x:v>114</x:v>
      </x:c>
      <x:c r="H4" s="7" t="s">
        <x:v>12</x:v>
      </x:c>
      <x:c r="I4" s="7" t="s">
        <x:v>115</x:v>
      </x:c>
      <x:c r="J4" s="7" t="s">
        <x:v>116</x:v>
      </x:c>
      <x:c r="K4" s="7" t="s">
        <x:v>117</x:v>
      </x:c>
      <x:c r="L4" s="7" t="s">
        <x:v>118</x:v>
      </x:c>
      <x:c r="M4" s="7" t="s">
        <x:v>80</x:v>
      </x:c>
      <x:c r="N4" s="8">
        <x:v>4</x:v>
      </x:c>
      <x:c r="O4" s="7" t="s">
        <x:v>13</x:v>
      </x:c>
      <x:c r="P4" s="7" t="s">
        <x:v>119</x:v>
      </x:c>
      <x:c r="Q4" s="7" t="s">
        <x:v>120</x:v>
      </x:c>
      <x:c r="R4" s="7" t="s">
        <x:v>121</x:v>
      </x:c>
      <x:c r="S4" s="8">
        <x:v>4</x:v>
      </x:c>
      <x:c r="T4" s="7" t="s">
        <x:v>122</x:v>
      </x:c>
      <x:c r="U4" s="7" t="s">
        <x:v>123</x:v>
      </x:c>
      <x:c r="V4" s="7" t="s">
        <x:v>124</x:v>
      </x:c>
      <x:c r="W4" s="7"/>
      <x:c r="X4" t="s">
        <x:v>125</x:v>
      </x:c>
      <x:c r="Z4" t="s">
        <x:v>36</x:v>
      </x:c>
    </x:row>
    <x:row r="5" ht="45" customHeight="1">
      <x:c r="A5" s="7" t="s">
        <x:v>126</x:v>
      </x:c>
      <x:c r="B5" s="7" t="s">
        <x:v>127</x:v>
      </x:c>
      <x:c r="C5" s="7" t="s">
        <x:v>92</x:v>
      </x:c>
      <x:c r="D5" s="7" t="s">
        <x:v>111</x:v>
      </x:c>
      <x:c r="E5" s="7" t="s">
        <x:v>128</x:v>
      </x:c>
      <x:c r="F5" s="7" t="s">
        <x:v>129</x:v>
      </x:c>
      <x:c r="G5" s="7" t="s">
        <x:v>130</x:v>
      </x:c>
      <x:c r="H5" s="7" t="s">
        <x:v>12</x:v>
      </x:c>
      <x:c r="I5" s="7" t="s">
        <x:v>131</x:v>
      </x:c>
      <x:c r="J5" s="7" t="s">
        <x:v>132</x:v>
      </x:c>
      <x:c r="K5" s="7" t="s">
        <x:v>133</x:v>
      </x:c>
      <x:c r="L5" s="7" t="s">
        <x:v>134</x:v>
      </x:c>
      <x:c r="M5" s="7" t="s">
        <x:v>80</x:v>
      </x:c>
      <x:c r="N5" s="8">
        <x:v>4</x:v>
      </x:c>
      <x:c r="O5" s="7" t="s">
        <x:v>13</x:v>
      </x:c>
      <x:c r="P5" s="7" t="s">
        <x:v>119</x:v>
      </x:c>
      <x:c r="Q5" s="7" t="s">
        <x:v>120</x:v>
      </x:c>
      <x:c r="R5" s="7" t="s">
        <x:v>121</x:v>
      </x:c>
      <x:c r="S5" s="8">
        <x:v>4</x:v>
      </x:c>
      <x:c r="T5" s="7" t="s">
        <x:v>135</x:v>
      </x:c>
      <x:c r="U5" s="7" t="s">
        <x:v>136</x:v>
      </x:c>
      <x:c r="V5" s="7" t="s">
        <x:v>137</x:v>
      </x:c>
      <x:c r="W5" s="7"/>
      <x:c r="X5" t="s">
        <x:v>138</x:v>
      </x:c>
      <x:c r="Z5" t="s">
        <x:v>43</x:v>
      </x:c>
    </x:row>
    <x:row r="6" ht="30" customHeight="1">
      <x:c r="A6" s="7" t="s">
        <x:v>139</x:v>
      </x:c>
      <x:c r="B6" s="7" t="s">
        <x:v>140</x:v>
      </x:c>
      <x:c r="C6" s="7" t="s">
        <x:v>92</x:v>
      </x:c>
      <x:c r="D6" s="7" t="s">
        <x:v>141</x:v>
      </x:c>
      <x:c r="E6" s="7" t="s">
        <x:v>142</x:v>
      </x:c>
      <x:c r="F6" s="7" t="s">
        <x:v>143</x:v>
      </x:c>
      <x:c r="G6" s="7" t="s">
        <x:v>144</x:v>
      </x:c>
      <x:c r="H6" s="7" t="s">
        <x:v>12</x:v>
      </x:c>
      <x:c r="I6" s="7" t="s">
        <x:v>145</x:v>
      </x:c>
      <x:c r="J6" s="7" t="s">
        <x:v>146</x:v>
      </x:c>
      <x:c r="K6" s="7" t="s">
        <x:v>147</x:v>
      </x:c>
      <x:c r="L6" s="7" t="s">
        <x:v>148</x:v>
      </x:c>
      <x:c r="M6" s="7" t="s">
        <x:v>80</x:v>
      </x:c>
      <x:c r="N6" s="8">
        <x:v>3</x:v>
      </x:c>
      <x:c r="O6" s="7" t="s">
        <x:v>13</x:v>
      </x:c>
      <x:c r="P6" s="7" t="s">
        <x:v>101</x:v>
      </x:c>
      <x:c r="Q6" s="7" t="s">
        <x:v>102</x:v>
      </x:c>
      <x:c r="R6" s="7" t="s">
        <x:v>103</x:v>
      </x:c>
      <x:c r="S6" s="8">
        <x:v>4</x:v>
      </x:c>
      <x:c r="T6" s="7" t="s">
        <x:v>149</x:v>
      </x:c>
      <x:c r="U6" s="7" t="s">
        <x:v>150</x:v>
      </x:c>
      <x:c r="V6" s="7" t="s">
        <x:v>151</x:v>
      </x:c>
      <x:c r="W6" s="7"/>
      <x:c r="X6" t="s">
        <x:v>152</x:v>
      </x:c>
      <x:c r="Y6" t="s">
        <x:v>153</x:v>
      </x:c>
      <x:c r="Z6" t="s">
        <x:v>38</x:v>
      </x:c>
    </x:row>
    <x:row r="7" ht="30" customHeight="1">
      <x:c r="A7" s="7" t="s">
        <x:v>154</x:v>
      </x:c>
      <x:c r="B7" s="7" t="s">
        <x:v>155</x:v>
      </x:c>
      <x:c r="C7" s="7" t="s">
        <x:v>92</x:v>
      </x:c>
      <x:c r="D7" s="7" t="s">
        <x:v>141</x:v>
      </x:c>
      <x:c r="E7" s="7" t="s">
        <x:v>156</x:v>
      </x:c>
      <x:c r="F7" s="7" t="s">
        <x:v>143</x:v>
      </x:c>
      <x:c r="G7" s="7" t="s">
        <x:v>157</x:v>
      </x:c>
      <x:c r="H7" s="7" t="s">
        <x:v>12</x:v>
      </x:c>
      <x:c r="I7" s="7" t="s">
        <x:v>158</x:v>
      </x:c>
      <x:c r="J7" s="7" t="s">
        <x:v>159</x:v>
      </x:c>
      <x:c r="K7" s="7" t="s">
        <x:v>160</x:v>
      </x:c>
      <x:c r="L7" s="7" t="s">
        <x:v>161</x:v>
      </x:c>
      <x:c r="M7" s="7" t="s">
        <x:v>80</x:v>
      </x:c>
      <x:c r="N7" s="8">
        <x:v>4</x:v>
      </x:c>
      <x:c r="O7" s="7" t="s">
        <x:v>13</x:v>
      </x:c>
      <x:c r="P7" s="7" t="s">
        <x:v>101</x:v>
      </x:c>
      <x:c r="Q7" s="7" t="s">
        <x:v>102</x:v>
      </x:c>
      <x:c r="R7" s="7" t="s">
        <x:v>103</x:v>
      </x:c>
      <x:c r="S7" s="8">
        <x:v>3</x:v>
      </x:c>
      <x:c r="T7" s="7" t="s">
        <x:v>162</x:v>
      </x:c>
      <x:c r="U7" s="7" t="s">
        <x:v>163</x:v>
      </x:c>
      <x:c r="V7" s="7" t="s">
        <x:v>164</x:v>
      </x:c>
      <x:c r="W7" s="7" t="s">
        <x:v>165</x:v>
      </x:c>
      <x:c r="X7" t="s">
        <x:v>166</x:v>
      </x:c>
      <x:c r="Y7" t="s">
        <x:v>167</x:v>
      </x:c>
      <x:c r="Z7" t="s">
        <x:v>34</x:v>
      </x:c>
    </x:row>
    <x:row r="8" ht="30" customHeight="1">
      <x:c r="A8" s="7" t="s">
        <x:v>168</x:v>
      </x:c>
      <x:c r="B8" s="7" t="s">
        <x:v>169</x:v>
      </x:c>
      <x:c r="C8" s="7" t="s">
        <x:v>170</x:v>
      </x:c>
      <x:c r="D8" s="7" t="s">
        <x:v>171</x:v>
      </x:c>
      <x:c r="E8" s="7" t="s">
        <x:v>172</x:v>
      </x:c>
      <x:c r="F8" s="7" t="s">
        <x:v>143</x:v>
      </x:c>
      <x:c r="G8" s="7" t="s">
        <x:v>173</x:v>
      </x:c>
      <x:c r="H8" s="7" t="s">
        <x:v>14</x:v>
      </x:c>
      <x:c r="I8" s="7" t="s">
        <x:v>174</x:v>
      </x:c>
      <x:c r="J8" s="7" t="s">
        <x:v>175</x:v>
      </x:c>
      <x:c r="K8" s="7" t="s">
        <x:v>158</x:v>
      </x:c>
      <x:c r="L8" s="7" t="s">
        <x:v>176</x:v>
      </x:c>
      <x:c r="M8" s="7" t="s">
        <x:v>80</x:v>
      </x:c>
      <x:c r="N8" s="8">
        <x:v>3</x:v>
      </x:c>
      <x:c r="O8" s="7" t="s">
        <x:v>13</x:v>
      </x:c>
      <x:c r="P8" s="7" t="s">
        <x:v>101</x:v>
      </x:c>
      <x:c r="Q8" s="7" t="s">
        <x:v>102</x:v>
      </x:c>
      <x:c r="R8" s="7" t="s">
        <x:v>103</x:v>
      </x:c>
      <x:c r="S8" s="8">
        <x:v>3</x:v>
      </x:c>
      <x:c r="T8" s="7" t="s">
        <x:v>177</x:v>
      </x:c>
      <x:c r="U8" s="7" t="s">
        <x:v>178</x:v>
      </x:c>
      <x:c r="V8" s="7" t="s">
        <x:v>179</x:v>
      </x:c>
      <x:c r="W8" s="7" t="s">
        <x:v>180</x:v>
      </x:c>
      <x:c r="X8" t="s">
        <x:v>166</x:v>
      </x:c>
      <x:c r="Z8" t="s">
        <x:v>36</x:v>
      </x:c>
    </x:row>
    <x:row r="9" ht="45" customHeight="1">
      <x:c r="A9" s="7" t="s">
        <x:v>181</x:v>
      </x:c>
      <x:c r="B9" s="7" t="s">
        <x:v>182</x:v>
      </x:c>
      <x:c r="C9" s="7" t="s">
        <x:v>92</x:v>
      </x:c>
      <x:c r="D9" s="7" t="s">
        <x:v>141</x:v>
      </x:c>
      <x:c r="E9" s="7" t="s">
        <x:v>183</x:v>
      </x:c>
      <x:c r="F9" s="7" t="s">
        <x:v>184</x:v>
      </x:c>
      <x:c r="G9" s="7" t="s">
        <x:v>185</x:v>
      </x:c>
      <x:c r="H9" s="7" t="s">
        <x:v>14</x:v>
      </x:c>
      <x:c r="I9" s="7" t="s">
        <x:v>186</x:v>
      </x:c>
      <x:c r="J9" s="7" t="s">
        <x:v>187</x:v>
      </x:c>
      <x:c r="K9" s="7" t="s">
        <x:v>188</x:v>
      </x:c>
      <x:c r="L9" s="7" t="s">
        <x:v>189</x:v>
      </x:c>
      <x:c r="M9" s="7" t="s">
        <x:v>80</x:v>
      </x:c>
      <x:c r="N9" s="8">
        <x:v>4</x:v>
      </x:c>
      <x:c r="O9" s="7" t="s">
        <x:v>13</x:v>
      </x:c>
      <x:c r="P9" s="7" t="s">
        <x:v>190</x:v>
      </x:c>
      <x:c r="Q9" s="7" t="s">
        <x:v>191</x:v>
      </x:c>
      <x:c r="R9" s="7" t="s">
        <x:v>192</x:v>
      </x:c>
      <x:c r="S9" s="8">
        <x:v>4</x:v>
      </x:c>
      <x:c r="T9" s="7" t="s">
        <x:v>193</x:v>
      </x:c>
      <x:c r="U9" s="7" t="s">
        <x:v>194</x:v>
      </x:c>
      <x:c r="V9" s="7" t="s">
        <x:v>195</x:v>
      </x:c>
      <x:c r="W9" s="7"/>
      <x:c r="X9" t="s">
        <x:v>196</x:v>
      </x:c>
      <x:c r="Z9" t="s">
        <x:v>36</x:v>
      </x:c>
    </x:row>
    <x:row r="10" ht="30" customHeight="1">
      <x:c r="A10" s="7" t="s">
        <x:v>197</x:v>
      </x:c>
      <x:c r="B10" s="7" t="s">
        <x:v>198</x:v>
      </x:c>
      <x:c r="C10" s="7" t="s">
        <x:v>92</x:v>
      </x:c>
      <x:c r="D10" s="7" t="s">
        <x:v>141</x:v>
      </x:c>
      <x:c r="E10" s="7" t="s">
        <x:v>199</x:v>
      </x:c>
      <x:c r="F10" s="7" t="s">
        <x:v>200</x:v>
      </x:c>
      <x:c r="G10" s="7" t="s">
        <x:v>201</x:v>
      </x:c>
      <x:c r="H10" s="7" t="s">
        <x:v>16</x:v>
      </x:c>
      <x:c r="I10" s="7" t="s">
        <x:v>202</x:v>
      </x:c>
      <x:c r="J10" s="7" t="s">
        <x:v>203</x:v>
      </x:c>
      <x:c r="K10" s="7" t="s">
        <x:v>204</x:v>
      </x:c>
      <x:c r="L10" s="7" t="s">
        <x:v>205</x:v>
      </x:c>
      <x:c r="M10" s="7" t="s">
        <x:v>206</x:v>
      </x:c>
      <x:c r="N10" s="8">
        <x:v>5</x:v>
      </x:c>
      <x:c r="O10" s="7" t="s">
        <x:v>15</x:v>
      </x:c>
      <x:c r="P10" s="7" t="s">
        <x:v>207</x:v>
      </x:c>
      <x:c r="Q10" s="7" t="s">
        <x:v>208</x:v>
      </x:c>
      <x:c r="R10" s="7" t="s">
        <x:v>209</x:v>
      </x:c>
      <x:c r="S10" s="8">
        <x:v>5</x:v>
      </x:c>
      <x:c r="T10" s="7" t="s">
        <x:v>210</x:v>
      </x:c>
      <x:c r="U10" s="7" t="s">
        <x:v>211</x:v>
      </x:c>
      <x:c r="V10" s="7" t="s">
        <x:v>212</x:v>
      </x:c>
      <x:c r="W10" s="7"/>
      <x:c r="X10" t="s">
        <x:v>213</x:v>
      </x:c>
      <x:c r="Z10" t="s">
        <x:v>34</x:v>
      </x:c>
    </x:row>
    <x:row r="11" ht="45" customHeight="1">
      <x:c r="A11" s="7" t="s">
        <x:v>214</x:v>
      </x:c>
      <x:c r="B11" s="7" t="s">
        <x:v>215</x:v>
      </x:c>
      <x:c r="C11" s="7" t="s">
        <x:v>92</x:v>
      </x:c>
      <x:c r="D11" s="7" t="s">
        <x:v>216</x:v>
      </x:c>
      <x:c r="E11" s="7" t="s">
        <x:v>217</x:v>
      </x:c>
      <x:c r="F11" s="7" t="s">
        <x:v>218</x:v>
      </x:c>
      <x:c r="G11" s="7" t="s">
        <x:v>219</x:v>
      </x:c>
      <x:c r="H11" s="7" t="s">
        <x:v>16</x:v>
      </x:c>
      <x:c r="I11" s="7" t="s">
        <x:v>220</x:v>
      </x:c>
      <x:c r="J11" s="7" t="s">
        <x:v>221</x:v>
      </x:c>
      <x:c r="K11" s="7" t="s">
        <x:v>222</x:v>
      </x:c>
      <x:c r="L11" s="7" t="s">
        <x:v>223</x:v>
      </x:c>
      <x:c r="M11" s="7" t="s">
        <x:v>206</x:v>
      </x:c>
      <x:c r="N11" s="8">
        <x:v>4</x:v>
      </x:c>
      <x:c r="O11" s="7" t="s">
        <x:v>15</x:v>
      </x:c>
      <x:c r="P11" s="7" t="s">
        <x:v>224</x:v>
      </x:c>
      <x:c r="Q11" s="7" t="s">
        <x:v>225</x:v>
      </x:c>
      <x:c r="R11" s="7" t="s">
        <x:v>226</x:v>
      </x:c>
      <x:c r="S11" s="8">
        <x:v>4</x:v>
      </x:c>
      <x:c r="T11" s="7" t="s">
        <x:v>227</x:v>
      </x:c>
      <x:c r="U11" s="7" t="s">
        <x:v>228</x:v>
      </x:c>
      <x:c r="V11" s="7" t="s">
        <x:v>229</x:v>
      </x:c>
      <x:c r="W11" s="7" t="s">
        <x:v>230</x:v>
      </x:c>
      <x:c r="X11" t="s">
        <x:v>231</x:v>
      </x:c>
      <x:c r="Y11" t="s">
        <x:v>232</x:v>
      </x:c>
      <x:c r="Z11" t="s">
        <x:v>34</x:v>
      </x:c>
    </x:row>
    <x:row r="12" ht="30" customHeight="1">
      <x:c r="A12" s="7" t="s">
        <x:v>233</x:v>
      </x:c>
      <x:c r="B12" s="7" t="s">
        <x:v>234</x:v>
      </x:c>
      <x:c r="C12" s="7" t="s">
        <x:v>170</x:v>
      </x:c>
      <x:c r="D12" s="7" t="s">
        <x:v>235</x:v>
      </x:c>
      <x:c r="E12" s="7" t="s">
        <x:v>236</x:v>
      </x:c>
      <x:c r="F12" s="7" t="s">
        <x:v>237</x:v>
      </x:c>
      <x:c r="G12" s="7" t="s">
        <x:v>238</x:v>
      </x:c>
      <x:c r="H12" s="7" t="s">
        <x:v>16</x:v>
      </x:c>
      <x:c r="I12" s="7" t="s">
        <x:v>239</x:v>
      </x:c>
      <x:c r="J12" s="7" t="s">
        <x:v>240</x:v>
      </x:c>
      <x:c r="K12" s="7" t="s">
        <x:v>241</x:v>
      </x:c>
      <x:c r="L12" s="7" t="s">
        <x:v>242</x:v>
      </x:c>
      <x:c r="M12" s="7" t="s">
        <x:v>243</x:v>
      </x:c>
      <x:c r="N12" s="8">
        <x:v>4</x:v>
      </x:c>
      <x:c r="O12" s="7" t="s">
        <x:v>15</x:v>
      </x:c>
      <x:c r="P12" s="7" t="s">
        <x:v>244</x:v>
      </x:c>
      <x:c r="Q12" s="7" t="s">
        <x:v>245</x:v>
      </x:c>
      <x:c r="R12" s="7" t="s">
        <x:v>246</x:v>
      </x:c>
      <x:c r="S12" s="8">
        <x:v>4</x:v>
      </x:c>
      <x:c r="T12" s="7" t="s">
        <x:v>247</x:v>
      </x:c>
      <x:c r="U12" s="7" t="s">
        <x:v>248</x:v>
      </x:c>
      <x:c r="V12" s="7" t="s">
        <x:v>249</x:v>
      </x:c>
      <x:c r="W12" s="7"/>
      <x:c r="X12" t="s">
        <x:v>250</x:v>
      </x:c>
      <x:c r="Y12" t="s">
        <x:v>251</x:v>
      </x:c>
      <x:c r="Z12" t="s">
        <x:v>35</x:v>
      </x:c>
    </x:row>
    <x:row r="13" ht="30" customHeight="1">
      <x:c r="A13" s="7" t="s">
        <x:v>252</x:v>
      </x:c>
      <x:c r="B13" s="7" t="s">
        <x:v>253</x:v>
      </x:c>
      <x:c r="C13" s="7" t="s">
        <x:v>92</x:v>
      </x:c>
      <x:c r="D13" s="7" t="s">
        <x:v>235</x:v>
      </x:c>
      <x:c r="E13" s="7" t="s">
        <x:v>254</x:v>
      </x:c>
      <x:c r="F13" s="7" t="s">
        <x:v>255</x:v>
      </x:c>
      <x:c r="G13" s="7" t="s">
        <x:v>256</x:v>
      </x:c>
      <x:c r="H13" s="7" t="s">
        <x:v>16</x:v>
      </x:c>
      <x:c r="I13" s="7" t="s">
        <x:v>257</x:v>
      </x:c>
      <x:c r="J13" s="7" t="s">
        <x:v>258</x:v>
      </x:c>
      <x:c r="K13" s="7" t="s">
        <x:v>259</x:v>
      </x:c>
      <x:c r="L13" s="7" t="s">
        <x:v>260</x:v>
      </x:c>
      <x:c r="M13" s="7" t="s">
        <x:v>243</x:v>
      </x:c>
      <x:c r="N13" s="8">
        <x:v>4</x:v>
      </x:c>
      <x:c r="O13" s="7" t="s">
        <x:v>15</x:v>
      </x:c>
      <x:c r="P13" s="7" t="s">
        <x:v>261</x:v>
      </x:c>
      <x:c r="Q13" s="7" t="s">
        <x:v>262</x:v>
      </x:c>
      <x:c r="R13" s="7" t="s">
        <x:v>263</x:v>
      </x:c>
      <x:c r="S13" s="8">
        <x:v>4</x:v>
      </x:c>
      <x:c r="T13" s="7" t="s">
        <x:v>264</x:v>
      </x:c>
      <x:c r="U13" s="7" t="s">
        <x:v>265</x:v>
      </x:c>
      <x:c r="V13" s="7" t="s">
        <x:v>266</x:v>
      </x:c>
      <x:c r="W13" s="7" t="s">
        <x:v>267</x:v>
      </x:c>
      <x:c r="X13" t="s">
        <x:v>268</x:v>
      </x:c>
      <x:c r="Y13" t="s">
        <x:v>269</x:v>
      </x:c>
      <x:c r="Z13" t="s">
        <x:v>37</x:v>
      </x:c>
    </x:row>
    <x:row r="14" ht="30" customHeight="1">
      <x:c r="A14" s="7" t="s">
        <x:v>270</x:v>
      </x:c>
      <x:c r="B14" s="7" t="s">
        <x:v>271</x:v>
      </x:c>
      <x:c r="C14" s="7" t="s">
        <x:v>71</x:v>
      </x:c>
      <x:c r="D14" s="7" t="s">
        <x:v>235</x:v>
      </x:c>
      <x:c r="E14" s="7" t="s">
        <x:v>272</x:v>
      </x:c>
      <x:c r="F14" s="7" t="s">
        <x:v>273</x:v>
      </x:c>
      <x:c r="G14" s="7" t="s">
        <x:v>274</x:v>
      </x:c>
      <x:c r="H14" s="7" t="s">
        <x:v>14</x:v>
      </x:c>
      <x:c r="I14" s="7" t="s">
        <x:v>275</x:v>
      </x:c>
      <x:c r="J14" s="7" t="s">
        <x:v>276</x:v>
      </x:c>
      <x:c r="K14" s="7" t="s">
        <x:v>277</x:v>
      </x:c>
      <x:c r="L14" s="7" t="s">
        <x:v>278</x:v>
      </x:c>
      <x:c r="M14" s="7" t="s">
        <x:v>80</x:v>
      </x:c>
      <x:c r="N14" s="8">
        <x:v>3</x:v>
      </x:c>
      <x:c r="O14" s="7" t="s">
        <x:v>279</x:v>
      </x:c>
      <x:c r="P14" s="7" t="s">
        <x:v>280</x:v>
      </x:c>
      <x:c r="Q14" s="7" t="s">
        <x:v>281</x:v>
      </x:c>
      <x:c r="R14" s="7" t="s">
        <x:v>282</x:v>
      </x:c>
      <x:c r="S14" s="8">
        <x:v>5</x:v>
      </x:c>
      <x:c r="T14" s="7" t="s">
        <x:v>283</x:v>
      </x:c>
      <x:c r="U14" s="7" t="s">
        <x:v>284</x:v>
      </x:c>
      <x:c r="V14" s="7" t="s">
        <x:v>285</x:v>
      </x:c>
      <x:c r="W14" s="7"/>
      <x:c r="X14" t="s">
        <x:v>268</x:v>
      </x:c>
      <x:c r="Z14" t="s">
        <x:v>36</x:v>
      </x:c>
    </x:row>
    <x:row r="15" ht="30" customHeight="1">
      <x:c r="A15" s="7" t="s">
        <x:v>286</x:v>
      </x:c>
      <x:c r="B15" s="7" t="s">
        <x:v>287</x:v>
      </x:c>
      <x:c r="C15" s="7" t="s">
        <x:v>92</x:v>
      </x:c>
      <x:c r="D15" s="7" t="s">
        <x:v>288</x:v>
      </x:c>
      <x:c r="E15" s="7" t="s">
        <x:v>289</x:v>
      </x:c>
      <x:c r="F15" s="7" t="s">
        <x:v>290</x:v>
      </x:c>
      <x:c r="G15" s="7" t="s">
        <x:v>291</x:v>
      </x:c>
      <x:c r="H15" s="7" t="s">
        <x:v>18</x:v>
      </x:c>
      <x:c r="I15" s="7" t="s">
        <x:v>292</x:v>
      </x:c>
      <x:c r="J15" s="7" t="s">
        <x:v>293</x:v>
      </x:c>
      <x:c r="K15" s="7" t="s">
        <x:v>294</x:v>
      </x:c>
      <x:c r="L15" s="7" t="s">
        <x:v>295</x:v>
      </x:c>
      <x:c r="M15" s="7" t="s">
        <x:v>296</x:v>
      </x:c>
      <x:c r="N15" s="8">
        <x:v>5</x:v>
      </x:c>
      <x:c r="O15" s="7" t="s">
        <x:v>15</x:v>
      </x:c>
      <x:c r="P15" s="7" t="s">
        <x:v>297</x:v>
      </x:c>
      <x:c r="Q15" s="7" t="s">
        <x:v>298</x:v>
      </x:c>
      <x:c r="R15" s="7" t="s">
        <x:v>299</x:v>
      </x:c>
      <x:c r="S15" s="8">
        <x:v>4</x:v>
      </x:c>
      <x:c r="T15" s="7" t="s">
        <x:v>300</x:v>
      </x:c>
      <x:c r="U15" s="7" t="s">
        <x:v>301</x:v>
      </x:c>
      <x:c r="V15" s="7" t="s">
        <x:v>302</x:v>
      </x:c>
      <x:c r="W15" s="7"/>
      <x:c r="X15" t="s">
        <x:v>303</x:v>
      </x:c>
      <x:c r="Y15" t="s">
        <x:v>304</x:v>
      </x:c>
      <x:c r="Z15" t="s">
        <x:v>35</x:v>
      </x:c>
    </x:row>
    <x:row r="16" ht="45" customHeight="1">
      <x:c r="A16" s="7" t="s">
        <x:v>305</x:v>
      </x:c>
      <x:c r="B16" s="7" t="s">
        <x:v>306</x:v>
      </x:c>
      <x:c r="C16" s="7" t="s">
        <x:v>71</x:v>
      </x:c>
      <x:c r="D16" s="7" t="s">
        <x:v>288</x:v>
      </x:c>
      <x:c r="E16" s="7" t="s">
        <x:v>289</x:v>
      </x:c>
      <x:c r="F16" s="7" t="s">
        <x:v>290</x:v>
      </x:c>
      <x:c r="G16" s="7" t="s">
        <x:v>307</x:v>
      </x:c>
      <x:c r="H16" s="7" t="s">
        <x:v>18</x:v>
      </x:c>
      <x:c r="I16" s="7" t="s">
        <x:v>308</x:v>
      </x:c>
      <x:c r="J16" s="7" t="s">
        <x:v>309</x:v>
      </x:c>
      <x:c r="K16" s="7" t="s">
        <x:v>310</x:v>
      </x:c>
      <x:c r="L16" s="7" t="s">
        <x:v>311</x:v>
      </x:c>
      <x:c r="M16" s="7" t="s">
        <x:v>296</x:v>
      </x:c>
      <x:c r="N16" s="8">
        <x:v>4</x:v>
      </x:c>
      <x:c r="O16" s="7" t="s">
        <x:v>15</x:v>
      </x:c>
      <x:c r="P16" s="7" t="s">
        <x:v>312</x:v>
      </x:c>
      <x:c r="Q16" s="7" t="s">
        <x:v>313</x:v>
      </x:c>
      <x:c r="R16" s="7" t="s">
        <x:v>314</x:v>
      </x:c>
      <x:c r="S16" s="8">
        <x:v>4</x:v>
      </x:c>
      <x:c r="T16" s="7" t="s">
        <x:v>315</x:v>
      </x:c>
      <x:c r="U16" s="7" t="s">
        <x:v>316</x:v>
      </x:c>
      <x:c r="V16" s="7" t="s">
        <x:v>317</x:v>
      </x:c>
      <x:c r="W16" s="7" t="s">
        <x:v>318</x:v>
      </x:c>
      <x:c r="X16" t="s">
        <x:v>303</x:v>
      </x:c>
      <x:c r="Z16" t="s">
        <x:v>35</x:v>
      </x:c>
    </x:row>
    <x:row r="17" ht="45" customHeight="1">
      <x:c r="A17" s="7" t="s">
        <x:v>319</x:v>
      </x:c>
      <x:c r="B17" s="7" t="s">
        <x:v>320</x:v>
      </x:c>
      <x:c r="C17" s="7" t="s">
        <x:v>321</x:v>
      </x:c>
      <x:c r="D17" s="7" t="s">
        <x:v>288</x:v>
      </x:c>
      <x:c r="E17" s="7" t="s">
        <x:v>322</x:v>
      </x:c>
      <x:c r="F17" s="7" t="s">
        <x:v>290</x:v>
      </x:c>
      <x:c r="G17" s="7" t="s">
        <x:v>323</x:v>
      </x:c>
      <x:c r="H17" s="7" t="s">
        <x:v>18</x:v>
      </x:c>
      <x:c r="I17" s="7" t="s">
        <x:v>324</x:v>
      </x:c>
      <x:c r="J17" s="7" t="s">
        <x:v>325</x:v>
      </x:c>
      <x:c r="K17" s="7" t="s">
        <x:v>326</x:v>
      </x:c>
      <x:c r="L17" s="7" t="s">
        <x:v>327</x:v>
      </x:c>
      <x:c r="M17" s="7" t="s">
        <x:v>328</x:v>
      </x:c>
      <x:c r="N17" s="8">
        <x:v>5</x:v>
      </x:c>
      <x:c r="O17" s="7" t="s">
        <x:v>15</x:v>
      </x:c>
      <x:c r="P17" s="7" t="s">
        <x:v>312</x:v>
      </x:c>
      <x:c r="Q17" s="7" t="s">
        <x:v>313</x:v>
      </x:c>
      <x:c r="R17" s="7" t="s">
        <x:v>314</x:v>
      </x:c>
      <x:c r="S17" s="8">
        <x:v>5</x:v>
      </x:c>
      <x:c r="T17" s="7" t="s">
        <x:v>329</x:v>
      </x:c>
      <x:c r="U17" s="7" t="s">
        <x:v>330</x:v>
      </x:c>
      <x:c r="V17" s="7" t="s">
        <x:v>331</x:v>
      </x:c>
      <x:c r="W17" s="7" t="s">
        <x:v>332</x:v>
      </x:c>
      <x:c r="X17" t="s">
        <x:v>303</x:v>
      </x:c>
      <x:c r="Y17" t="s">
        <x:v>333</x:v>
      </x:c>
      <x:c r="Z17" t="s">
        <x:v>44</x:v>
      </x:c>
      <x:c r="AA17" t="s">
        <x:v>89</x:v>
      </x:c>
    </x:row>
    <x:row r="18" ht="30" customHeight="1">
      <x:c r="A18" s="7" t="s">
        <x:v>334</x:v>
      </x:c>
      <x:c r="B18" s="7" t="s">
        <x:v>335</x:v>
      </x:c>
      <x:c r="C18" s="7" t="s">
        <x:v>92</x:v>
      </x:c>
      <x:c r="D18" s="7" t="s">
        <x:v>288</x:v>
      </x:c>
      <x:c r="E18" s="7" t="s">
        <x:v>336</x:v>
      </x:c>
      <x:c r="F18" s="7" t="s">
        <x:v>337</x:v>
      </x:c>
      <x:c r="G18" s="7" t="s">
        <x:v>338</x:v>
      </x:c>
      <x:c r="H18" s="7" t="s">
        <x:v>20</x:v>
      </x:c>
      <x:c r="I18" s="7" t="s">
        <x:v>339</x:v>
      </x:c>
      <x:c r="J18" s="7" t="s">
        <x:v>340</x:v>
      </x:c>
      <x:c r="K18" s="7" t="s">
        <x:v>341</x:v>
      </x:c>
      <x:c r="L18" s="7" t="s">
        <x:v>342</x:v>
      </x:c>
      <x:c r="M18" s="7" t="s">
        <x:v>328</x:v>
      </x:c>
      <x:c r="N18" s="8">
        <x:v>4</x:v>
      </x:c>
      <x:c r="O18" s="7" t="s">
        <x:v>17</x:v>
      </x:c>
      <x:c r="P18" s="7" t="s">
        <x:v>312</x:v>
      </x:c>
      <x:c r="Q18" s="7" t="s">
        <x:v>313</x:v>
      </x:c>
      <x:c r="R18" s="7" t="s">
        <x:v>314</x:v>
      </x:c>
      <x:c r="S18" s="8">
        <x:v>5</x:v>
      </x:c>
      <x:c r="T18" s="7" t="s">
        <x:v>343</x:v>
      </x:c>
      <x:c r="U18" s="7" t="s">
        <x:v>344</x:v>
      </x:c>
      <x:c r="V18" s="7" t="s">
        <x:v>345</x:v>
      </x:c>
      <x:c r="W18" s="7"/>
      <x:c r="X18" t="s">
        <x:v>346</x:v>
      </x:c>
      <x:c r="Y18" t="s">
        <x:v>347</x:v>
      </x:c>
      <x:c r="Z18" t="s">
        <x:v>39</x:v>
      </x:c>
    </x:row>
    <x:row r="19" ht="30" customHeight="1">
      <x:c r="A19" s="7" t="s">
        <x:v>348</x:v>
      </x:c>
      <x:c r="B19" s="7" t="s">
        <x:v>349</x:v>
      </x:c>
      <x:c r="C19" s="7" t="s">
        <x:v>92</x:v>
      </x:c>
      <x:c r="D19" s="7" t="s">
        <x:v>288</x:v>
      </x:c>
      <x:c r="E19" s="7" t="s">
        <x:v>350</x:v>
      </x:c>
      <x:c r="F19" s="7" t="s">
        <x:v>351</x:v>
      </x:c>
      <x:c r="G19" s="7" t="s">
        <x:v>352</x:v>
      </x:c>
      <x:c r="H19" s="7" t="s">
        <x:v>20</x:v>
      </x:c>
      <x:c r="I19" s="7" t="s">
        <x:v>353</x:v>
      </x:c>
      <x:c r="J19" s="7" t="s">
        <x:v>354</x:v>
      </x:c>
      <x:c r="K19" s="7" t="s">
        <x:v>355</x:v>
      </x:c>
      <x:c r="L19" s="7" t="s">
        <x:v>356</x:v>
      </x:c>
      <x:c r="M19" s="7" t="s">
        <x:v>328</x:v>
      </x:c>
      <x:c r="N19" s="8">
        <x:v>3</x:v>
      </x:c>
      <x:c r="O19" s="7" t="s">
        <x:v>17</x:v>
      </x:c>
      <x:c r="P19" s="7" t="s">
        <x:v>312</x:v>
      </x:c>
      <x:c r="Q19" s="7" t="s">
        <x:v>313</x:v>
      </x:c>
      <x:c r="R19" s="7" t="s">
        <x:v>314</x:v>
      </x:c>
      <x:c r="S19" s="8">
        <x:v>4</x:v>
      </x:c>
      <x:c r="T19" s="7" t="s">
        <x:v>357</x:v>
      </x:c>
      <x:c r="U19" s="7" t="s">
        <x:v>358</x:v>
      </x:c>
      <x:c r="V19" s="7" t="s">
        <x:v>359</x:v>
      </x:c>
      <x:c r="W19" s="7"/>
      <x:c r="X19" t="s">
        <x:v>303</x:v>
      </x:c>
      <x:c r="Y19" t="s">
        <x:v>347</x:v>
      </x:c>
      <x:c r="Z19" t="s">
        <x:v>39</x:v>
      </x:c>
    </x:row>
    <x:row r="20" ht="30" customHeight="1">
      <x:c r="A20" s="7" t="s">
        <x:v>360</x:v>
      </x:c>
      <x:c r="B20" s="7" t="s">
        <x:v>361</x:v>
      </x:c>
      <x:c r="C20" s="7" t="s">
        <x:v>92</x:v>
      </x:c>
      <x:c r="D20" s="7" t="s">
        <x:v>235</x:v>
      </x:c>
      <x:c r="E20" s="7" t="s">
        <x:v>362</x:v>
      </x:c>
      <x:c r="F20" s="7" t="s">
        <x:v>363</x:v>
      </x:c>
      <x:c r="G20" s="7" t="s">
        <x:v>364</x:v>
      </x:c>
      <x:c r="H20" s="7" t="s">
        <x:v>22</x:v>
      </x:c>
      <x:c r="I20" s="7" t="s">
        <x:v>365</x:v>
      </x:c>
      <x:c r="J20" s="7" t="s">
        <x:v>366</x:v>
      </x:c>
      <x:c r="K20" s="7" t="s">
        <x:v>367</x:v>
      </x:c>
      <x:c r="L20" s="7" t="s">
        <x:v>368</x:v>
      </x:c>
      <x:c r="M20" s="7" t="s">
        <x:v>328</x:v>
      </x:c>
      <x:c r="N20" s="8">
        <x:v>5</x:v>
      </x:c>
      <x:c r="O20" s="7" t="s">
        <x:v>19</x:v>
      </x:c>
      <x:c r="P20" s="7" t="s">
        <x:v>369</x:v>
      </x:c>
      <x:c r="Q20" s="7" t="s">
        <x:v>370</x:v>
      </x:c>
      <x:c r="R20" s="7" t="s">
        <x:v>371</x:v>
      </x:c>
      <x:c r="S20" s="8">
        <x:v>4</x:v>
      </x:c>
      <x:c r="T20" s="7" t="s">
        <x:v>372</x:v>
      </x:c>
      <x:c r="U20" s="7" t="s">
        <x:v>373</x:v>
      </x:c>
      <x:c r="V20" s="7" t="s">
        <x:v>374</x:v>
      </x:c>
      <x:c r="W20" s="7"/>
      <x:c r="X20" t="s">
        <x:v>375</x:v>
      </x:c>
      <x:c r="Z20" t="s">
        <x:v>35</x:v>
      </x:c>
    </x:row>
    <x:row r="21" ht="30" customHeight="1">
      <x:c r="A21" s="7" t="s">
        <x:v>376</x:v>
      </x:c>
      <x:c r="B21" s="7" t="s">
        <x:v>377</x:v>
      </x:c>
      <x:c r="C21" s="7" t="s">
        <x:v>92</x:v>
      </x:c>
      <x:c r="D21" s="7" t="s">
        <x:v>235</x:v>
      </x:c>
      <x:c r="E21" s="7" t="s">
        <x:v>362</x:v>
      </x:c>
      <x:c r="F21" s="7" t="s">
        <x:v>363</x:v>
      </x:c>
      <x:c r="G21" s="7" t="s">
        <x:v>378</x:v>
      </x:c>
      <x:c r="H21" s="7" t="s">
        <x:v>24</x:v>
      </x:c>
      <x:c r="I21" s="7" t="s">
        <x:v>379</x:v>
      </x:c>
      <x:c r="J21" s="7" t="s">
        <x:v>380</x:v>
      </x:c>
      <x:c r="K21" s="7" t="s">
        <x:v>381</x:v>
      </x:c>
      <x:c r="L21" s="7" t="s">
        <x:v>382</x:v>
      </x:c>
      <x:c r="M21" s="7" t="s">
        <x:v>328</x:v>
      </x:c>
      <x:c r="N21" s="8">
        <x:v>4</x:v>
      </x:c>
      <x:c r="O21" s="7" t="s">
        <x:v>19</x:v>
      </x:c>
      <x:c r="P21" s="7" t="s">
        <x:v>383</x:v>
      </x:c>
      <x:c r="Q21" s="7" t="s">
        <x:v>384</x:v>
      </x:c>
      <x:c r="R21" s="7" t="s">
        <x:v>385</x:v>
      </x:c>
      <x:c r="S21" s="8">
        <x:v>4</x:v>
      </x:c>
      <x:c r="T21" s="7" t="s">
        <x:v>386</x:v>
      </x:c>
      <x:c r="U21" s="7" t="s">
        <x:v>387</x:v>
      </x:c>
      <x:c r="V21" s="7" t="s">
        <x:v>388</x:v>
      </x:c>
      <x:c r="W21" s="7" t="s">
        <x:v>389</x:v>
      </x:c>
      <x:c r="X21" t="s">
        <x:v>375</x:v>
      </x:c>
      <x:c r="Z21" t="s">
        <x:v>35</x:v>
      </x:c>
    </x:row>
    <x:row r="22" ht="45" customHeight="1">
      <x:c r="A22" s="7" t="s">
        <x:v>390</x:v>
      </x:c>
      <x:c r="B22" s="7" t="s">
        <x:v>391</x:v>
      </x:c>
      <x:c r="C22" s="7" t="s">
        <x:v>92</x:v>
      </x:c>
      <x:c r="D22" s="7" t="s">
        <x:v>288</x:v>
      </x:c>
      <x:c r="E22" s="7" t="s">
        <x:v>392</x:v>
      </x:c>
      <x:c r="F22" s="7" t="s">
        <x:v>393</x:v>
      </x:c>
      <x:c r="G22" s="7" t="s">
        <x:v>394</x:v>
      </x:c>
      <x:c r="H22" s="7" t="s">
        <x:v>20</x:v>
      </x:c>
      <x:c r="I22" s="7" t="s">
        <x:v>395</x:v>
      </x:c>
      <x:c r="J22" s="7" t="s">
        <x:v>396</x:v>
      </x:c>
      <x:c r="K22" s="7" t="s">
        <x:v>397</x:v>
      </x:c>
      <x:c r="L22" s="7" t="s">
        <x:v>398</x:v>
      </x:c>
      <x:c r="M22" s="7" t="s">
        <x:v>399</x:v>
      </x:c>
      <x:c r="N22" s="8">
        <x:v>4</x:v>
      </x:c>
      <x:c r="O22" s="7" t="s">
        <x:v>17</x:v>
      </x:c>
      <x:c r="P22" s="7" t="s">
        <x:v>400</x:v>
      </x:c>
      <x:c r="Q22" s="7" t="s">
        <x:v>401</x:v>
      </x:c>
      <x:c r="R22" s="7" t="s">
        <x:v>402</x:v>
      </x:c>
      <x:c r="S22" s="8">
        <x:v>3</x:v>
      </x:c>
      <x:c r="T22" s="7" t="s">
        <x:v>403</x:v>
      </x:c>
      <x:c r="U22" s="7" t="s">
        <x:v>404</x:v>
      </x:c>
      <x:c r="V22" s="7" t="s">
        <x:v>405</x:v>
      </x:c>
      <x:c r="W22" s="7" t="s">
        <x:v>406</x:v>
      </x:c>
      <x:c r="X22" t="s">
        <x:v>346</x:v>
      </x:c>
      <x:c r="Z22" t="s">
        <x:v>35</x:v>
      </x:c>
      <x:c r="AA22" t="s">
        <x:v>89</x:v>
      </x:c>
    </x:row>
    <x:row r="23" ht="30" customHeight="1">
      <x:c r="A23" s="7" t="s">
        <x:v>407</x:v>
      </x:c>
      <x:c r="B23" s="7" t="s">
        <x:v>408</x:v>
      </x:c>
      <x:c r="C23" s="7" t="s">
        <x:v>409</x:v>
      </x:c>
      <x:c r="D23" s="7" t="s">
        <x:v>288</x:v>
      </x:c>
      <x:c r="E23" s="7" t="s">
        <x:v>392</x:v>
      </x:c>
      <x:c r="F23" s="7" t="s">
        <x:v>410</x:v>
      </x:c>
      <x:c r="G23" s="7" t="s">
        <x:v>411</x:v>
      </x:c>
      <x:c r="H23" s="7" t="s">
        <x:v>20</x:v>
      </x:c>
      <x:c r="I23" s="7" t="s">
        <x:v>412</x:v>
      </x:c>
      <x:c r="J23" s="7" t="s">
        <x:v>413</x:v>
      </x:c>
      <x:c r="K23" s="7" t="s">
        <x:v>414</x:v>
      </x:c>
      <x:c r="L23" s="7" t="s">
        <x:v>415</x:v>
      </x:c>
      <x:c r="M23" s="7" t="s">
        <x:v>416</x:v>
      </x:c>
      <x:c r="N23" s="8">
        <x:v>5</x:v>
      </x:c>
      <x:c r="O23" s="7" t="s">
        <x:v>17</x:v>
      </x:c>
      <x:c r="P23" s="7" t="s">
        <x:v>400</x:v>
      </x:c>
      <x:c r="Q23" s="7" t="s">
        <x:v>401</x:v>
      </x:c>
      <x:c r="R23" s="7" t="s">
        <x:v>402</x:v>
      </x:c>
      <x:c r="S23" s="8">
        <x:v>5</x:v>
      </x:c>
      <x:c r="T23" s="7" t="s">
        <x:v>417</x:v>
      </x:c>
      <x:c r="U23" s="7" t="s">
        <x:v>418</x:v>
      </x:c>
      <x:c r="V23" s="7" t="s">
        <x:v>419</x:v>
      </x:c>
      <x:c r="W23" s="7"/>
      <x:c r="X23" t="s">
        <x:v>346</x:v>
      </x:c>
      <x:c r="Y23" t="s">
        <x:v>420</x:v>
      </x:c>
      <x:c r="Z23" t="s">
        <x:v>37</x:v>
      </x:c>
    </x:row>
    <x:row r="24" ht="30" customHeight="1">
      <x:c r="A24" s="7" t="s">
        <x:v>421</x:v>
      </x:c>
      <x:c r="B24" s="7" t="s">
        <x:v>422</x:v>
      </x:c>
      <x:c r="C24" s="7" t="s">
        <x:v>409</x:v>
      </x:c>
      <x:c r="D24" s="7" t="s">
        <x:v>288</x:v>
      </x:c>
      <x:c r="E24" s="7" t="s">
        <x:v>392</x:v>
      </x:c>
      <x:c r="F24" s="7" t="s">
        <x:v>423</x:v>
      </x:c>
      <x:c r="G24" s="7" t="s">
        <x:v>424</x:v>
      </x:c>
      <x:c r="H24" s="7" t="s">
        <x:v>20</x:v>
      </x:c>
      <x:c r="I24" s="7" t="s">
        <x:v>412</x:v>
      </x:c>
      <x:c r="J24" s="7" t="s">
        <x:v>425</x:v>
      </x:c>
      <x:c r="K24" s="7" t="s">
        <x:v>426</x:v>
      </x:c>
      <x:c r="L24" s="7" t="s">
        <x:v>427</x:v>
      </x:c>
      <x:c r="M24" s="7" t="s">
        <x:v>416</x:v>
      </x:c>
      <x:c r="N24" s="8">
        <x:v>5</x:v>
      </x:c>
      <x:c r="O24" s="7" t="s">
        <x:v>17</x:v>
      </x:c>
      <x:c r="P24" s="7" t="s">
        <x:v>428</x:v>
      </x:c>
      <x:c r="Q24" s="7" t="s">
        <x:v>429</x:v>
      </x:c>
      <x:c r="R24" s="7" t="s">
        <x:v>430</x:v>
      </x:c>
      <x:c r="S24" s="8">
        <x:v>5</x:v>
      </x:c>
      <x:c r="T24" s="7" t="s">
        <x:v>431</x:v>
      </x:c>
      <x:c r="U24" s="7" t="s">
        <x:v>432</x:v>
      </x:c>
      <x:c r="V24" s="7" t="s">
        <x:v>433</x:v>
      </x:c>
      <x:c r="W24" s="7"/>
      <x:c r="X24" t="s">
        <x:v>346</x:v>
      </x:c>
      <x:c r="Y24" t="s">
        <x:v>434</x:v>
      </x:c>
      <x:c r="Z24" t="s">
        <x:v>37</x:v>
      </x:c>
    </x:row>
    <x:row r="25" ht="45" customHeight="1">
      <x:c r="A25" s="7" t="s">
        <x:v>435</x:v>
      </x:c>
      <x:c r="B25" s="7" t="s">
        <x:v>436</x:v>
      </x:c>
      <x:c r="C25" s="7" t="s">
        <x:v>92</x:v>
      </x:c>
      <x:c r="D25" s="7" t="s">
        <x:v>235</x:v>
      </x:c>
      <x:c r="E25" s="7" t="s">
        <x:v>272</x:v>
      </x:c>
      <x:c r="F25" s="7" t="s">
        <x:v>363</x:v>
      </x:c>
      <x:c r="G25" s="7" t="s">
        <x:v>437</x:v>
      </x:c>
      <x:c r="H25" s="7" t="s">
        <x:v>22</x:v>
      </x:c>
      <x:c r="I25" s="7" t="s">
        <x:v>365</x:v>
      </x:c>
      <x:c r="J25" s="7" t="s">
        <x:v>438</x:v>
      </x:c>
      <x:c r="K25" s="7" t="s">
        <x:v>439</x:v>
      </x:c>
      <x:c r="L25" s="7" t="s">
        <x:v>440</x:v>
      </x:c>
      <x:c r="M25" s="7" t="s">
        <x:v>328</x:v>
      </x:c>
      <x:c r="N25" s="8">
        <x:v>5</x:v>
      </x:c>
      <x:c r="O25" s="7" t="s">
        <x:v>19</x:v>
      </x:c>
      <x:c r="P25" s="7" t="s">
        <x:v>428</x:v>
      </x:c>
      <x:c r="Q25" s="7" t="s">
        <x:v>429</x:v>
      </x:c>
      <x:c r="R25" s="7" t="s">
        <x:v>430</x:v>
      </x:c>
      <x:c r="S25" s="8">
        <x:v>5</x:v>
      </x:c>
      <x:c r="T25" s="7" t="s">
        <x:v>441</x:v>
      </x:c>
      <x:c r="U25" s="7" t="s">
        <x:v>442</x:v>
      </x:c>
      <x:c r="V25" s="7" t="s">
        <x:v>443</x:v>
      </x:c>
      <x:c r="W25" s="7"/>
      <x:c r="X25" t="s">
        <x:v>268</x:v>
      </x:c>
      <x:c r="Y25" t="s">
        <x:v>444</x:v>
      </x:c>
      <x:c r="Z25" t="s">
        <x:v>37</x:v>
      </x:c>
    </x:row>
    <x:row r="26" ht="45" customHeight="1">
      <x:c r="A26" s="7" t="s">
        <x:v>445</x:v>
      </x:c>
      <x:c r="B26" s="7" t="s">
        <x:v>436</x:v>
      </x:c>
      <x:c r="C26" s="7" t="s">
        <x:v>92</x:v>
      </x:c>
      <x:c r="D26" s="7" t="s">
        <x:v>235</x:v>
      </x:c>
      <x:c r="E26" s="7" t="s">
        <x:v>446</x:v>
      </x:c>
      <x:c r="F26" s="7" t="s">
        <x:v>447</x:v>
      </x:c>
      <x:c r="G26" s="7" t="s">
        <x:v>448</x:v>
      </x:c>
      <x:c r="H26" s="7" t="s">
        <x:v>26</x:v>
      </x:c>
      <x:c r="I26" s="7" t="s">
        <x:v>449</x:v>
      </x:c>
      <x:c r="J26" s="7" t="s">
        <x:v>450</x:v>
      </x:c>
      <x:c r="K26" s="7" t="s">
        <x:v>451</x:v>
      </x:c>
      <x:c r="L26" s="7" t="s">
        <x:v>452</x:v>
      </x:c>
      <x:c r="M26" s="7" t="s">
        <x:v>328</x:v>
      </x:c>
      <x:c r="N26" s="8">
        <x:v>5</x:v>
      </x:c>
      <x:c r="O26" s="7" t="s">
        <x:v>19</x:v>
      </x:c>
      <x:c r="P26" s="7" t="s">
        <x:v>383</x:v>
      </x:c>
      <x:c r="Q26" s="7" t="s">
        <x:v>384</x:v>
      </x:c>
      <x:c r="R26" s="7" t="s">
        <x:v>385</x:v>
      </x:c>
      <x:c r="S26" s="8">
        <x:v>5</x:v>
      </x:c>
      <x:c r="T26" s="7" t="s">
        <x:v>453</x:v>
      </x:c>
      <x:c r="U26" s="7" t="s">
        <x:v>454</x:v>
      </x:c>
      <x:c r="V26" s="7" t="s">
        <x:v>455</x:v>
      </x:c>
      <x:c r="W26" s="7"/>
      <x:c r="X26" t="s">
        <x:v>268</x:v>
      </x:c>
      <x:c r="Z26" t="s">
        <x:v>35</x:v>
      </x:c>
    </x:row>
    <x:row r="27" ht="45" customHeight="1">
      <x:c r="A27" s="7" t="s">
        <x:v>456</x:v>
      </x:c>
      <x:c r="B27" s="7" t="s">
        <x:v>436</x:v>
      </x:c>
      <x:c r="C27" s="7" t="s">
        <x:v>92</x:v>
      </x:c>
      <x:c r="D27" s="7" t="s">
        <x:v>235</x:v>
      </x:c>
      <x:c r="E27" s="7" t="s">
        <x:v>272</x:v>
      </x:c>
      <x:c r="F27" s="7" t="s">
        <x:v>447</x:v>
      </x:c>
      <x:c r="G27" s="7" t="s">
        <x:v>457</x:v>
      </x:c>
      <x:c r="H27" s="7" t="s">
        <x:v>26</x:v>
      </x:c>
      <x:c r="I27" s="7" t="s">
        <x:v>458</x:v>
      </x:c>
      <x:c r="J27" s="7" t="s">
        <x:v>459</x:v>
      </x:c>
      <x:c r="K27" s="7" t="s">
        <x:v>460</x:v>
      </x:c>
      <x:c r="L27" s="7" t="s">
        <x:v>461</x:v>
      </x:c>
      <x:c r="M27" s="7" t="s">
        <x:v>328</x:v>
      </x:c>
      <x:c r="N27" s="8">
        <x:v>4</x:v>
      </x:c>
      <x:c r="O27" s="7" t="s">
        <x:v>19</x:v>
      </x:c>
      <x:c r="P27" s="7" t="s">
        <x:v>462</x:v>
      </x:c>
      <x:c r="Q27" s="7" t="s">
        <x:v>463</x:v>
      </x:c>
      <x:c r="R27" s="7" t="s">
        <x:v>464</x:v>
      </x:c>
      <x:c r="S27" s="8">
        <x:v>4</x:v>
      </x:c>
      <x:c r="T27" s="7" t="s">
        <x:v>465</x:v>
      </x:c>
      <x:c r="U27" s="7" t="s">
        <x:v>466</x:v>
      </x:c>
      <x:c r="V27" s="7" t="s">
        <x:v>467</x:v>
      </x:c>
      <x:c r="W27" s="7" t="s">
        <x:v>468</x:v>
      </x:c>
      <x:c r="X27" t="s">
        <x:v>268</x:v>
      </x:c>
      <x:c r="Z27" t="s">
        <x:v>38</x:v>
      </x:c>
    </x:row>
    <x:row r="28" ht="30" customHeight="1">
      <x:c r="A28" s="7" t="s">
        <x:v>469</x:v>
      </x:c>
      <x:c r="B28" s="7" t="s">
        <x:v>470</x:v>
      </x:c>
      <x:c r="C28" s="7" t="s">
        <x:v>71</x:v>
      </x:c>
      <x:c r="D28" s="7" t="s">
        <x:v>288</x:v>
      </x:c>
      <x:c r="E28" s="7" t="s">
        <x:v>392</x:v>
      </x:c>
      <x:c r="F28" s="7" t="s">
        <x:v>471</x:v>
      </x:c>
      <x:c r="G28" s="7" t="s">
        <x:v>472</x:v>
      </x:c>
      <x:c r="H28" s="7" t="s">
        <x:v>30</x:v>
      </x:c>
      <x:c r="I28" s="7" t="s">
        <x:v>473</x:v>
      </x:c>
      <x:c r="J28" s="7" t="s">
        <x:v>474</x:v>
      </x:c>
      <x:c r="K28" s="7" t="s">
        <x:v>475</x:v>
      </x:c>
      <x:c r="L28" s="7" t="s">
        <x:v>476</x:v>
      </x:c>
      <x:c r="M28" s="7" t="s">
        <x:v>399</x:v>
      </x:c>
      <x:c r="N28" s="8">
        <x:v>3</x:v>
      </x:c>
      <x:c r="O28" s="7" t="s">
        <x:v>279</x:v>
      </x:c>
      <x:c r="P28" s="7" t="s">
        <x:v>462</x:v>
      </x:c>
      <x:c r="Q28" s="7" t="s">
        <x:v>463</x:v>
      </x:c>
      <x:c r="R28" s="7" t="s">
        <x:v>464</x:v>
      </x:c>
      <x:c r="S28" s="8">
        <x:v>3</x:v>
      </x:c>
      <x:c r="T28" s="7" t="s">
        <x:v>477</x:v>
      </x:c>
      <x:c r="U28" s="7" t="s">
        <x:v>478</x:v>
      </x:c>
      <x:c r="V28" s="7" t="s">
        <x:v>479</x:v>
      </x:c>
      <x:c r="W28" s="7" t="s">
        <x:v>480</x:v>
      </x:c>
      <x:c r="X28" t="s">
        <x:v>346</x:v>
      </x:c>
      <x:c r="Z28" t="s">
        <x:v>35</x:v>
      </x:c>
    </x:row>
    <x:row r="29" ht="45" customHeight="1">
      <x:c r="A29" s="7" t="s">
        <x:v>481</x:v>
      </x:c>
      <x:c r="B29" s="7" t="s">
        <x:v>482</x:v>
      </x:c>
      <x:c r="C29" s="7" t="s">
        <x:v>92</x:v>
      </x:c>
      <x:c r="D29" s="7" t="s">
        <x:v>235</x:v>
      </x:c>
      <x:c r="E29" s="7" t="s">
        <x:v>272</x:v>
      </x:c>
      <x:c r="F29" s="7" t="s">
        <x:v>483</x:v>
      </x:c>
      <x:c r="G29" s="7" t="s">
        <x:v>484</x:v>
      </x:c>
      <x:c r="H29" s="7" t="s">
        <x:v>14</x:v>
      </x:c>
      <x:c r="I29" s="7" t="s">
        <x:v>485</x:v>
      </x:c>
      <x:c r="J29" s="7" t="s">
        <x:v>486</x:v>
      </x:c>
      <x:c r="K29" s="7" t="s">
        <x:v>487</x:v>
      </x:c>
      <x:c r="L29" s="7" t="s">
        <x:v>488</x:v>
      </x:c>
      <x:c r="M29" s="7" t="s">
        <x:v>80</x:v>
      </x:c>
      <x:c r="N29" s="8">
        <x:v>3</x:v>
      </x:c>
      <x:c r="O29" s="7" t="s">
        <x:v>489</x:v>
      </x:c>
      <x:c r="P29" s="7" t="s">
        <x:v>490</x:v>
      </x:c>
      <x:c r="Q29" s="7" t="s">
        <x:v>491</x:v>
      </x:c>
      <x:c r="R29" s="7" t="s">
        <x:v>492</x:v>
      </x:c>
      <x:c r="S29" s="8">
        <x:v>4</x:v>
      </x:c>
      <x:c r="T29" s="7" t="s">
        <x:v>493</x:v>
      </x:c>
      <x:c r="U29" s="7" t="s">
        <x:v>494</x:v>
      </x:c>
      <x:c r="V29" s="7" t="s">
        <x:v>495</x:v>
      </x:c>
      <x:c r="W29" s="7"/>
      <x:c r="X29" t="s">
        <x:v>268</x:v>
      </x:c>
      <x:c r="Y29" t="s">
        <x:v>496</x:v>
      </x:c>
      <x:c r="Z29" t="s">
        <x:v>36</x:v>
      </x:c>
    </x:row>
    <x:row r="30" ht="45" customHeight="1">
      <x:c r="A30" s="7" t="s">
        <x:v>497</x:v>
      </x:c>
      <x:c r="B30" s="7" t="s">
        <x:v>498</x:v>
      </x:c>
      <x:c r="C30" s="7" t="s">
        <x:v>92</x:v>
      </x:c>
      <x:c r="D30" s="7" t="s">
        <x:v>235</x:v>
      </x:c>
      <x:c r="E30" s="7" t="s">
        <x:v>362</x:v>
      </x:c>
      <x:c r="F30" s="7" t="s">
        <x:v>363</x:v>
      </x:c>
      <x:c r="G30" s="7" t="s">
        <x:v>499</x:v>
      </x:c>
      <x:c r="H30" s="7" t="s">
        <x:v>24</x:v>
      </x:c>
      <x:c r="I30" s="7" t="s">
        <x:v>500</x:v>
      </x:c>
      <x:c r="J30" s="7" t="s">
        <x:v>501</x:v>
      </x:c>
      <x:c r="K30" s="7" t="s">
        <x:v>502</x:v>
      </x:c>
      <x:c r="L30" s="7" t="s">
        <x:v>440</x:v>
      </x:c>
      <x:c r="M30" s="7" t="s">
        <x:v>328</x:v>
      </x:c>
      <x:c r="N30" s="8">
        <x:v>5</x:v>
      </x:c>
      <x:c r="O30" s="7" t="s">
        <x:v>19</x:v>
      </x:c>
      <x:c r="P30" s="7" t="s">
        <x:v>383</x:v>
      </x:c>
      <x:c r="Q30" s="7" t="s">
        <x:v>384</x:v>
      </x:c>
      <x:c r="R30" s="7" t="s">
        <x:v>385</x:v>
      </x:c>
      <x:c r="S30" s="8">
        <x:v>5</x:v>
      </x:c>
      <x:c r="T30" s="7" t="s">
        <x:v>503</x:v>
      </x:c>
      <x:c r="U30" s="7" t="s">
        <x:v>504</x:v>
      </x:c>
      <x:c r="V30" s="7" t="s">
        <x:v>505</x:v>
      </x:c>
      <x:c r="W30" s="7"/>
      <x:c r="X30" t="s">
        <x:v>375</x:v>
      </x:c>
      <x:c r="Y30" t="s">
        <x:v>506</x:v>
      </x:c>
      <x:c r="Z30" t="s">
        <x:v>35</x:v>
      </x:c>
    </x:row>
    <x:row r="31" ht="60" customHeight="1">
      <x:c r="A31" s="7" t="s">
        <x:v>507</x:v>
      </x:c>
      <x:c r="B31" s="7" t="s">
        <x:v>498</x:v>
      </x:c>
      <x:c r="C31" s="7" t="s">
        <x:v>92</x:v>
      </x:c>
      <x:c r="D31" s="7" t="s">
        <x:v>508</x:v>
      </x:c>
      <x:c r="E31" s="7" t="s">
        <x:v>509</x:v>
      </x:c>
      <x:c r="F31" s="7" t="s">
        <x:v>510</x:v>
      </x:c>
      <x:c r="G31" s="7" t="s">
        <x:v>511</x:v>
      </x:c>
      <x:c r="H31" s="7" t="s">
        <x:v>20</x:v>
      </x:c>
      <x:c r="I31" s="7" t="s">
        <x:v>512</x:v>
      </x:c>
      <x:c r="J31" s="7" t="s">
        <x:v>513</x:v>
      </x:c>
      <x:c r="K31" s="7" t="s">
        <x:v>514</x:v>
      </x:c>
      <x:c r="L31" s="7" t="s">
        <x:v>515</x:v>
      </x:c>
      <x:c r="M31" s="7" t="s">
        <x:v>328</x:v>
      </x:c>
      <x:c r="N31" s="8">
        <x:v>3</x:v>
      </x:c>
      <x:c r="O31" s="7" t="s">
        <x:v>489</x:v>
      </x:c>
      <x:c r="P31" s="7" t="s">
        <x:v>428</x:v>
      </x:c>
      <x:c r="Q31" s="7" t="s">
        <x:v>429</x:v>
      </x:c>
      <x:c r="R31" s="7" t="s">
        <x:v>430</x:v>
      </x:c>
      <x:c r="S31" s="8">
        <x:v>3</x:v>
      </x:c>
      <x:c r="T31" s="7" t="s">
        <x:v>516</x:v>
      </x:c>
      <x:c r="U31" s="7" t="s">
        <x:v>517</x:v>
      </x:c>
      <x:c r="V31" s="7" t="s">
        <x:v>518</x:v>
      </x:c>
      <x:c r="W31" s="7" t="s">
        <x:v>519</x:v>
      </x:c>
      <x:c r="X31" t="s">
        <x:v>520</x:v>
      </x:c>
      <x:c r="Y31" t="s">
        <x:v>521</x:v>
      </x:c>
      <x:c r="Z31" t="s">
        <x:v>42</x:v>
      </x:c>
    </x:row>
    <x:row r="32" ht="30" customHeight="1">
      <x:c r="A32" s="7" t="s">
        <x:v>522</x:v>
      </x:c>
      <x:c r="B32" s="7" t="s">
        <x:v>523</x:v>
      </x:c>
      <x:c r="C32" s="7" t="s">
        <x:v>92</x:v>
      </x:c>
      <x:c r="D32" s="7" t="s">
        <x:v>235</x:v>
      </x:c>
      <x:c r="E32" s="7" t="s">
        <x:v>524</x:v>
      </x:c>
      <x:c r="F32" s="7" t="s">
        <x:v>363</x:v>
      </x:c>
      <x:c r="G32" s="7" t="s">
        <x:v>525</x:v>
      </x:c>
      <x:c r="H32" s="7" t="s">
        <x:v>24</x:v>
      </x:c>
      <x:c r="I32" s="7" t="s">
        <x:v>526</x:v>
      </x:c>
      <x:c r="J32" s="7" t="s">
        <x:v>527</x:v>
      </x:c>
      <x:c r="K32" s="7" t="s">
        <x:v>528</x:v>
      </x:c>
      <x:c r="L32" s="7" t="s">
        <x:v>529</x:v>
      </x:c>
      <x:c r="M32" s="7" t="s">
        <x:v>328</x:v>
      </x:c>
      <x:c r="N32" s="8">
        <x:v>5</x:v>
      </x:c>
      <x:c r="O32" s="7" t="s">
        <x:v>19</x:v>
      </x:c>
      <x:c r="P32" s="7" t="s">
        <x:v>530</x:v>
      </x:c>
      <x:c r="Q32" s="7" t="s">
        <x:v>531</x:v>
      </x:c>
      <x:c r="R32" s="7" t="s">
        <x:v>532</x:v>
      </x:c>
      <x:c r="S32" s="8">
        <x:v>5</x:v>
      </x:c>
      <x:c r="T32" s="7" t="s">
        <x:v>533</x:v>
      </x:c>
      <x:c r="U32" s="7" t="s">
        <x:v>534</x:v>
      </x:c>
      <x:c r="V32" s="7" t="s">
        <x:v>535</x:v>
      </x:c>
      <x:c r="W32" s="7"/>
      <x:c r="X32" t="s">
        <x:v>268</x:v>
      </x:c>
      <x:c r="Z32" t="s">
        <x:v>35</x:v>
      </x:c>
      <x:c r="AA32" t="s">
        <x:v>89</x:v>
      </x:c>
    </x:row>
    <x:row r="33" ht="30" customHeight="1">
      <x:c r="A33" s="7" t="s">
        <x:v>536</x:v>
      </x:c>
      <x:c r="B33" s="7" t="s">
        <x:v>523</x:v>
      </x:c>
      <x:c r="C33" s="7" t="s">
        <x:v>92</x:v>
      </x:c>
      <x:c r="D33" s="7" t="s">
        <x:v>235</x:v>
      </x:c>
      <x:c r="E33" s="7" t="s">
        <x:v>524</x:v>
      </x:c>
      <x:c r="F33" s="7" t="s">
        <x:v>363</x:v>
      </x:c>
      <x:c r="G33" s="7" t="s">
        <x:v>537</x:v>
      </x:c>
      <x:c r="H33" s="7" t="s">
        <x:v>28</x:v>
      </x:c>
      <x:c r="I33" s="7" t="s">
        <x:v>538</x:v>
      </x:c>
      <x:c r="J33" s="7" t="s">
        <x:v>539</x:v>
      </x:c>
      <x:c r="K33" s="7" t="s">
        <x:v>540</x:v>
      </x:c>
      <x:c r="L33" s="7" t="s">
        <x:v>541</x:v>
      </x:c>
      <x:c r="M33" s="7" t="s">
        <x:v>328</x:v>
      </x:c>
      <x:c r="N33" s="8">
        <x:v>4</x:v>
      </x:c>
      <x:c r="O33" s="7" t="s">
        <x:v>19</x:v>
      </x:c>
      <x:c r="P33" s="7" t="s">
        <x:v>542</x:v>
      </x:c>
      <x:c r="Q33" s="7" t="s">
        <x:v>543</x:v>
      </x:c>
      <x:c r="R33" s="7" t="s">
        <x:v>544</x:v>
      </x:c>
      <x:c r="S33" s="8">
        <x:v>4</x:v>
      </x:c>
      <x:c r="T33" s="7" t="s">
        <x:v>545</x:v>
      </x:c>
      <x:c r="U33" s="7" t="s">
        <x:v>546</x:v>
      </x:c>
      <x:c r="V33" s="7" t="s">
        <x:v>547</x:v>
      </x:c>
      <x:c r="W33" s="7"/>
      <x:c r="X33" t="s">
        <x:v>268</x:v>
      </x:c>
      <x:c r="Z33" t="s">
        <x:v>40</x:v>
      </x:c>
    </x:row>
    <x:row r="34" ht="45" customHeight="1">
      <x:c r="A34" s="7" t="s">
        <x:v>548</x:v>
      </x:c>
      <x:c r="B34" s="7" t="s">
        <x:v>549</x:v>
      </x:c>
      <x:c r="C34" s="7" t="s">
        <x:v>92</x:v>
      </x:c>
      <x:c r="D34" s="7" t="s">
        <x:v>235</x:v>
      </x:c>
      <x:c r="E34" s="7" t="s">
        <x:v>446</x:v>
      </x:c>
      <x:c r="F34" s="7" t="s">
        <x:v>447</x:v>
      </x:c>
      <x:c r="G34" s="7" t="s">
        <x:v>550</x:v>
      </x:c>
      <x:c r="H34" s="7" t="s">
        <x:v>28</x:v>
      </x:c>
      <x:c r="I34" s="7" t="s">
        <x:v>551</x:v>
      </x:c>
      <x:c r="J34" s="7" t="s">
        <x:v>552</x:v>
      </x:c>
      <x:c r="K34" s="7" t="s">
        <x:v>553</x:v>
      </x:c>
      <x:c r="L34" s="7" t="s">
        <x:v>554</x:v>
      </x:c>
      <x:c r="M34" s="7" t="s">
        <x:v>555</x:v>
      </x:c>
      <x:c r="N34" s="8">
        <x:v>4</x:v>
      </x:c>
      <x:c r="O34" s="7" t="s">
        <x:v>489</x:v>
      </x:c>
      <x:c r="P34" s="7" t="s">
        <x:v>556</x:v>
      </x:c>
      <x:c r="Q34" s="7" t="s">
        <x:v>557</x:v>
      </x:c>
      <x:c r="R34" s="7" t="s">
        <x:v>558</x:v>
      </x:c>
      <x:c r="S34" s="8">
        <x:v>5</x:v>
      </x:c>
      <x:c r="T34" s="7" t="s">
        <x:v>559</x:v>
      </x:c>
      <x:c r="U34" s="7" t="s">
        <x:v>560</x:v>
      </x:c>
      <x:c r="V34" s="7" t="s">
        <x:v>561</x:v>
      </x:c>
      <x:c r="W34" s="7" t="s">
        <x:v>562</x:v>
      </x:c>
      <x:c r="X34" t="s">
        <x:v>268</x:v>
      </x:c>
      <x:c r="Y34" t="s">
        <x:v>563</x:v>
      </x:c>
      <x:c r="Z34" t="s">
        <x:v>35</x:v>
      </x:c>
    </x:row>
    <x:row r="35" ht="45" customHeight="1">
      <x:c r="A35" s="7" t="s">
        <x:v>564</x:v>
      </x:c>
      <x:c r="B35" s="7" t="s">
        <x:v>565</x:v>
      </x:c>
      <x:c r="C35" s="7" t="s">
        <x:v>92</x:v>
      </x:c>
      <x:c r="D35" s="7" t="s">
        <x:v>235</x:v>
      </x:c>
      <x:c r="E35" s="7" t="s">
        <x:v>566</x:v>
      </x:c>
      <x:c r="F35" s="7" t="s">
        <x:v>567</x:v>
      </x:c>
      <x:c r="G35" s="7" t="s">
        <x:v>568</x:v>
      </x:c>
      <x:c r="H35" s="7" t="s">
        <x:v>28</x:v>
      </x:c>
      <x:c r="I35" s="7" t="s">
        <x:v>569</x:v>
      </x:c>
      <x:c r="J35" s="7" t="s">
        <x:v>570</x:v>
      </x:c>
      <x:c r="K35" s="7" t="s">
        <x:v>571</x:v>
      </x:c>
      <x:c r="L35" s="7" t="s">
        <x:v>572</x:v>
      </x:c>
      <x:c r="M35" s="7" t="s">
        <x:v>328</x:v>
      </x:c>
      <x:c r="N35" s="8">
        <x:v>4</x:v>
      </x:c>
      <x:c r="O35" s="7" t="s">
        <x:v>489</x:v>
      </x:c>
      <x:c r="P35" s="7" t="s">
        <x:v>573</x:v>
      </x:c>
      <x:c r="Q35" s="7" t="s">
        <x:v>574</x:v>
      </x:c>
      <x:c r="R35" s="7" t="s">
        <x:v>575</x:v>
      </x:c>
      <x:c r="S35" s="8">
        <x:v>5</x:v>
      </x:c>
      <x:c r="T35" s="7" t="s">
        <x:v>576</x:v>
      </x:c>
      <x:c r="U35" s="7" t="s">
        <x:v>577</x:v>
      </x:c>
      <x:c r="V35" s="7" t="s">
        <x:v>578</x:v>
      </x:c>
      <x:c r="W35" s="7"/>
      <x:c r="X35" t="s">
        <x:v>579</x:v>
      </x:c>
      <x:c r="Y35" t="s">
        <x:v>580</x:v>
      </x:c>
      <x:c r="Z35" t="s">
        <x:v>40</x:v>
      </x:c>
    </x:row>
    <x:row r="36" ht="45" customHeight="1">
      <x:c r="A36" s="7" t="s">
        <x:v>581</x:v>
      </x:c>
      <x:c r="B36" s="7" t="s">
        <x:v>582</x:v>
      </x:c>
      <x:c r="C36" s="7" t="s">
        <x:v>92</x:v>
      </x:c>
      <x:c r="D36" s="7" t="s">
        <x:v>235</x:v>
      </x:c>
      <x:c r="E36" s="7" t="s">
        <x:v>272</x:v>
      </x:c>
      <x:c r="F36" s="7" t="s">
        <x:v>363</x:v>
      </x:c>
      <x:c r="G36" s="7" t="s">
        <x:v>583</x:v>
      </x:c>
      <x:c r="H36" s="7" t="s">
        <x:v>28</x:v>
      </x:c>
      <x:c r="I36" s="7" t="s">
        <x:v>584</x:v>
      </x:c>
      <x:c r="J36" s="7" t="s">
        <x:v>585</x:v>
      </x:c>
      <x:c r="K36" s="7" t="s">
        <x:v>586</x:v>
      </x:c>
      <x:c r="L36" s="7" t="s">
        <x:v>587</x:v>
      </x:c>
      <x:c r="M36" s="7" t="s">
        <x:v>328</x:v>
      </x:c>
      <x:c r="N36" s="8">
        <x:v>5</x:v>
      </x:c>
      <x:c r="O36" s="7" t="s">
        <x:v>19</x:v>
      </x:c>
      <x:c r="P36" s="7" t="s">
        <x:v>383</x:v>
      </x:c>
      <x:c r="Q36" s="7" t="s">
        <x:v>384</x:v>
      </x:c>
      <x:c r="R36" s="7" t="s">
        <x:v>385</x:v>
      </x:c>
      <x:c r="S36" s="8">
        <x:v>5</x:v>
      </x:c>
      <x:c r="T36" s="7" t="s">
        <x:v>588</x:v>
      </x:c>
      <x:c r="U36" s="7" t="s">
        <x:v>589</x:v>
      </x:c>
      <x:c r="V36" s="7" t="s">
        <x:v>590</x:v>
      </x:c>
      <x:c r="W36" s="7"/>
      <x:c r="X36" t="s">
        <x:v>268</x:v>
      </x:c>
      <x:c r="Y36" t="s">
        <x:v>591</x:v>
      </x:c>
      <x:c r="Z36" t="s">
        <x:v>40</x:v>
      </x:c>
    </x:row>
    <x:row r="37" ht="45" customHeight="1">
      <x:c r="A37" s="7" t="s">
        <x:v>592</x:v>
      </x:c>
      <x:c r="B37" s="7" t="s">
        <x:v>593</x:v>
      </x:c>
      <x:c r="C37" s="7" t="s">
        <x:v>92</x:v>
      </x:c>
      <x:c r="D37" s="7" t="s">
        <x:v>508</x:v>
      </x:c>
      <x:c r="E37" s="7" t="s">
        <x:v>594</x:v>
      </x:c>
      <x:c r="F37" s="7" t="s">
        <x:v>595</x:v>
      </x:c>
      <x:c r="G37" s="7" t="s">
        <x:v>596</x:v>
      </x:c>
      <x:c r="H37" s="7" t="s">
        <x:v>20</x:v>
      </x:c>
      <x:c r="I37" s="7" t="s">
        <x:v>597</x:v>
      </x:c>
      <x:c r="J37" s="7" t="s">
        <x:v>598</x:v>
      </x:c>
      <x:c r="K37" s="7" t="s">
        <x:v>599</x:v>
      </x:c>
      <x:c r="L37" s="7" t="s">
        <x:v>600</x:v>
      </x:c>
      <x:c r="M37" s="7" t="s">
        <x:v>328</x:v>
      </x:c>
      <x:c r="N37" s="8">
        <x:v>3</x:v>
      </x:c>
      <x:c r="O37" s="7" t="s">
        <x:v>489</x:v>
      </x:c>
      <x:c r="P37" s="7" t="s">
        <x:v>428</x:v>
      </x:c>
      <x:c r="Q37" s="7" t="s">
        <x:v>429</x:v>
      </x:c>
      <x:c r="R37" s="7" t="s">
        <x:v>430</x:v>
      </x:c>
      <x:c r="S37" s="8">
        <x:v>4</x:v>
      </x:c>
      <x:c r="T37" s="7" t="s">
        <x:v>601</x:v>
      </x:c>
      <x:c r="U37" s="7" t="s">
        <x:v>602</x:v>
      </x:c>
      <x:c r="V37" s="7" t="s">
        <x:v>603</x:v>
      </x:c>
      <x:c r="W37" s="7" t="s">
        <x:v>562</x:v>
      </x:c>
      <x:c r="X37" t="s">
        <x:v>604</x:v>
      </x:c>
      <x:c r="Y37" t="s">
        <x:v>605</x:v>
      </x:c>
      <x:c r="Z37" t="s">
        <x:v>42</x:v>
      </x:c>
    </x:row>
    <x:row r="38" ht="30" customHeight="1">
      <x:c r="A38" s="7" t="s">
        <x:v>606</x:v>
      </x:c>
      <x:c r="B38" s="7" t="s">
        <x:v>593</x:v>
      </x:c>
      <x:c r="C38" s="7" t="s">
        <x:v>92</x:v>
      </x:c>
      <x:c r="D38" s="7" t="s">
        <x:v>288</x:v>
      </x:c>
      <x:c r="E38" s="7" t="s">
        <x:v>607</x:v>
      </x:c>
      <x:c r="F38" s="7" t="s">
        <x:v>608</x:v>
      </x:c>
      <x:c r="G38" s="7" t="s">
        <x:v>609</x:v>
      </x:c>
      <x:c r="H38" s="7" t="s">
        <x:v>28</x:v>
      </x:c>
      <x:c r="I38" s="7" t="s">
        <x:v>610</x:v>
      </x:c>
      <x:c r="J38" s="7" t="s">
        <x:v>611</x:v>
      </x:c>
      <x:c r="K38" s="7" t="s">
        <x:v>612</x:v>
      </x:c>
      <x:c r="L38" s="7" t="s">
        <x:v>613</x:v>
      </x:c>
      <x:c r="M38" s="7" t="s">
        <x:v>328</x:v>
      </x:c>
      <x:c r="N38" s="8">
        <x:v>3</x:v>
      </x:c>
      <x:c r="O38" s="7" t="s">
        <x:v>489</x:v>
      </x:c>
      <x:c r="P38" s="7" t="s">
        <x:v>462</x:v>
      </x:c>
      <x:c r="Q38" s="7" t="s">
        <x:v>463</x:v>
      </x:c>
      <x:c r="R38" s="7" t="s">
        <x:v>464</x:v>
      </x:c>
      <x:c r="S38" s="8">
        <x:v>2</x:v>
      </x:c>
      <x:c r="T38" s="7" t="s">
        <x:v>614</x:v>
      </x:c>
      <x:c r="U38" s="7" t="s">
        <x:v>615</x:v>
      </x:c>
      <x:c r="V38" s="7" t="s">
        <x:v>616</x:v>
      </x:c>
      <x:c r="W38" s="7" t="s">
        <x:v>617</x:v>
      </x:c>
      <x:c r="X38" t="s">
        <x:v>618</x:v>
      </x:c>
      <x:c r="Z38" t="s">
        <x:v>41</x:v>
      </x:c>
    </x:row>
    <x:row r="39" ht="30" customHeight="1">
      <x:c r="A39" s="7" t="s">
        <x:v>619</x:v>
      </x:c>
      <x:c r="B39" s="7" t="s">
        <x:v>620</x:v>
      </x:c>
      <x:c r="C39" s="7" t="s">
        <x:v>92</x:v>
      </x:c>
      <x:c r="D39" s="7" t="s">
        <x:v>288</x:v>
      </x:c>
      <x:c r="E39" s="7" t="s">
        <x:v>392</x:v>
      </x:c>
      <x:c r="F39" s="7" t="s">
        <x:v>621</x:v>
      </x:c>
      <x:c r="G39" s="7" t="s">
        <x:v>622</x:v>
      </x:c>
      <x:c r="H39" s="7" t="s">
        <x:v>31</x:v>
      </x:c>
      <x:c r="I39" s="7" t="s">
        <x:v>623</x:v>
      </x:c>
      <x:c r="J39" s="7" t="s">
        <x:v>624</x:v>
      </x:c>
      <x:c r="K39" s="7" t="s">
        <x:v>625</x:v>
      </x:c>
      <x:c r="L39" s="7" t="s">
        <x:v>626</x:v>
      </x:c>
      <x:c r="M39" s="7" t="s">
        <x:v>399</x:v>
      </x:c>
      <x:c r="N39" s="8">
        <x:v>3</x:v>
      </x:c>
      <x:c r="O39" s="7" t="s">
        <x:v>489</x:v>
      </x:c>
      <x:c r="P39" s="7" t="s">
        <x:v>627</x:v>
      </x:c>
      <x:c r="Q39" s="7" t="s">
        <x:v>628</x:v>
      </x:c>
      <x:c r="R39" s="7" t="s">
        <x:v>629</x:v>
      </x:c>
      <x:c r="S39" s="8">
        <x:v>3</x:v>
      </x:c>
      <x:c r="T39" s="7" t="s">
        <x:v>630</x:v>
      </x:c>
      <x:c r="U39" s="7" t="s">
        <x:v>631</x:v>
      </x:c>
      <x:c r="V39" s="7" t="s">
        <x:v>632</x:v>
      </x:c>
      <x:c r="W39" s="7" t="s">
        <x:v>633</x:v>
      </x:c>
      <x:c r="X39" t="s">
        <x:v>346</x:v>
      </x:c>
      <x:c r="Z39" t="s">
        <x:v>35</x:v>
      </x:c>
    </x:row>
    <x:row r="40" ht="30" customHeight="1">
      <x:c r="A40" s="7" t="s">
        <x:v>634</x:v>
      </x:c>
      <x:c r="B40" s="7" t="s">
        <x:v>620</x:v>
      </x:c>
      <x:c r="C40" s="7" t="s">
        <x:v>92</x:v>
      </x:c>
      <x:c r="D40" s="7" t="s">
        <x:v>508</x:v>
      </x:c>
      <x:c r="E40" s="7" t="s">
        <x:v>635</x:v>
      </x:c>
      <x:c r="F40" s="7" t="s">
        <x:v>636</x:v>
      </x:c>
      <x:c r="G40" s="7" t="s">
        <x:v>637</x:v>
      </x:c>
      <x:c r="H40" s="7" t="s">
        <x:v>32</x:v>
      </x:c>
      <x:c r="I40" s="7" t="s">
        <x:v>638</x:v>
      </x:c>
      <x:c r="J40" s="7" t="s">
        <x:v>639</x:v>
      </x:c>
      <x:c r="K40" s="7" t="s">
        <x:v>640</x:v>
      </x:c>
      <x:c r="L40" s="7" t="s">
        <x:v>641</x:v>
      </x:c>
      <x:c r="M40" s="7" t="s">
        <x:v>296</x:v>
      </x:c>
      <x:c r="N40" s="8">
        <x:v>3</x:v>
      </x:c>
      <x:c r="O40" s="7" t="s">
        <x:v>489</x:v>
      </x:c>
      <x:c r="P40" s="7" t="s">
        <x:v>428</x:v>
      </x:c>
      <x:c r="Q40" s="7" t="s">
        <x:v>429</x:v>
      </x:c>
      <x:c r="R40" s="7" t="s">
        <x:v>430</x:v>
      </x:c>
      <x:c r="S40" s="8">
        <x:v>4</x:v>
      </x:c>
      <x:c r="T40" s="7" t="s">
        <x:v>642</x:v>
      </x:c>
      <x:c r="U40" s="7" t="s">
        <x:v>643</x:v>
      </x:c>
      <x:c r="V40" s="7" t="s">
        <x:v>644</x:v>
      </x:c>
      <x:c r="W40" s="7"/>
      <x:c r="X40" t="s">
        <x:v>645</x:v>
      </x:c>
      <x:c r="Z40" t="s">
        <x:v>41</x:v>
      </x:c>
    </x:row>
    <x:row r="41" ht="30" customHeight="1">
      <x:c r="A41" s="7" t="s">
        <x:v>646</x:v>
      </x:c>
      <x:c r="B41" s="7" t="s">
        <x:v>647</x:v>
      </x:c>
      <x:c r="C41" s="7" t="s">
        <x:v>92</x:v>
      </x:c>
      <x:c r="D41" s="7" t="s">
        <x:v>288</x:v>
      </x:c>
      <x:c r="E41" s="7" t="s">
        <x:v>648</x:v>
      </x:c>
      <x:c r="F41" s="7" t="s">
        <x:v>608</x:v>
      </x:c>
      <x:c r="G41" s="7" t="s">
        <x:v>649</x:v>
      </x:c>
      <x:c r="H41" s="7" t="s">
        <x:v>28</x:v>
      </x:c>
      <x:c r="I41" s="7" t="s">
        <x:v>650</x:v>
      </x:c>
      <x:c r="J41" s="7" t="s">
        <x:v>651</x:v>
      </x:c>
      <x:c r="K41" s="7" t="s">
        <x:v>538</x:v>
      </x:c>
      <x:c r="L41" s="7" t="s">
        <x:v>652</x:v>
      </x:c>
      <x:c r="M41" s="7" t="s">
        <x:v>328</x:v>
      </x:c>
      <x:c r="N41" s="8">
        <x:v>5</x:v>
      </x:c>
      <x:c r="O41" s="7" t="s">
        <x:v>489</x:v>
      </x:c>
      <x:c r="P41" s="7" t="s">
        <x:v>542</x:v>
      </x:c>
      <x:c r="Q41" s="7" t="s">
        <x:v>543</x:v>
      </x:c>
      <x:c r="R41" s="7" t="s">
        <x:v>544</x:v>
      </x:c>
      <x:c r="S41" s="8">
        <x:v>5</x:v>
      </x:c>
      <x:c r="T41" s="7" t="s">
        <x:v>653</x:v>
      </x:c>
      <x:c r="U41" s="7" t="s">
        <x:v>654</x:v>
      </x:c>
      <x:c r="V41" s="7" t="s">
        <x:v>655</x:v>
      </x:c>
      <x:c r="W41" s="7"/>
      <x:c r="X41" t="s">
        <x:v>618</x:v>
      </x:c>
      <x:c r="Z41" t="s">
        <x:v>40</x:v>
      </x:c>
    </x:row>
    <x:row r="42" ht="45" customHeight="1">
      <x:c r="A42" s="7" t="s">
        <x:v>656</x:v>
      </x:c>
      <x:c r="B42" s="7" t="s">
        <x:v>657</x:v>
      </x:c>
      <x:c r="C42" s="7" t="s">
        <x:v>92</x:v>
      </x:c>
      <x:c r="D42" s="7" t="s">
        <x:v>235</x:v>
      </x:c>
      <x:c r="E42" s="7" t="s">
        <x:v>272</x:v>
      </x:c>
      <x:c r="F42" s="7" t="s">
        <x:v>658</x:v>
      </x:c>
      <x:c r="G42" s="7" t="s">
        <x:v>659</x:v>
      </x:c>
      <x:c r="H42" s="7" t="s">
        <x:v>29</x:v>
      </x:c>
      <x:c r="I42" s="7" t="s">
        <x:v>660</x:v>
      </x:c>
      <x:c r="J42" s="7" t="s">
        <x:v>661</x:v>
      </x:c>
      <x:c r="K42" s="7" t="s">
        <x:v>662</x:v>
      </x:c>
      <x:c r="L42" s="7" t="s">
        <x:v>663</x:v>
      </x:c>
      <x:c r="M42" s="7" t="s">
        <x:v>664</x:v>
      </x:c>
      <x:c r="N42" s="8">
        <x:v>5</x:v>
      </x:c>
      <x:c r="O42" s="7" t="s">
        <x:v>21</x:v>
      </x:c>
      <x:c r="P42" s="7" t="s">
        <x:v>665</x:v>
      </x:c>
      <x:c r="Q42" s="7" t="s">
        <x:v>666</x:v>
      </x:c>
      <x:c r="R42" s="7" t="s">
        <x:v>667</x:v>
      </x:c>
      <x:c r="S42" s="8">
        <x:v>5</x:v>
      </x:c>
      <x:c r="T42" s="7" t="s">
        <x:v>668</x:v>
      </x:c>
      <x:c r="U42" s="7" t="s">
        <x:v>669</x:v>
      </x:c>
      <x:c r="V42" s="7" t="s">
        <x:v>670</x:v>
      </x:c>
      <x:c r="W42" s="7"/>
      <x:c r="X42" t="s">
        <x:v>268</x:v>
      </x:c>
      <x:c r="Z42" t="s">
        <x:v>35</x:v>
      </x:c>
      <x:c r="AA42" t="s">
        <x:v>89</x:v>
      </x:c>
    </x:row>
    <x:row r="43" ht="45" customHeight="1">
      <x:c r="A43" s="7" t="s">
        <x:v>671</x:v>
      </x:c>
      <x:c r="B43" s="7" t="s">
        <x:v>672</x:v>
      </x:c>
      <x:c r="C43" s="7" t="s">
        <x:v>71</x:v>
      </x:c>
      <x:c r="D43" s="7" t="s">
        <x:v>673</x:v>
      </x:c>
      <x:c r="E43" s="7" t="s">
        <x:v>674</x:v>
      </x:c>
      <x:c r="F43" s="7" t="s">
        <x:v>675</x:v>
      </x:c>
      <x:c r="G43" s="7" t="s">
        <x:v>676</x:v>
      </x:c>
      <x:c r="H43" s="7" t="s">
        <x:v>29</x:v>
      </x:c>
      <x:c r="I43" s="7" t="s">
        <x:v>677</x:v>
      </x:c>
      <x:c r="J43" s="7" t="s">
        <x:v>678</x:v>
      </x:c>
      <x:c r="K43" s="7" t="s">
        <x:v>679</x:v>
      </x:c>
      <x:c r="L43" s="7" t="s">
        <x:v>680</x:v>
      </x:c>
      <x:c r="M43" s="7" t="s">
        <x:v>416</x:v>
      </x:c>
      <x:c r="N43" s="8">
        <x:v>5</x:v>
      </x:c>
      <x:c r="O43" s="7" t="s">
        <x:v>21</x:v>
      </x:c>
      <x:c r="P43" s="7" t="s">
        <x:v>665</x:v>
      </x:c>
      <x:c r="Q43" s="7" t="s">
        <x:v>666</x:v>
      </x:c>
      <x:c r="R43" s="7" t="s">
        <x:v>667</x:v>
      </x:c>
      <x:c r="S43" s="8">
        <x:v>5</x:v>
      </x:c>
      <x:c r="T43" s="7" t="s">
        <x:v>681</x:v>
      </x:c>
      <x:c r="U43" s="7" t="s">
        <x:v>682</x:v>
      </x:c>
      <x:c r="V43" s="7" t="s">
        <x:v>683</x:v>
      </x:c>
      <x:c r="W43" s="7"/>
      <x:c r="X43" t="s">
        <x:v>268</x:v>
      </x:c>
      <x:c r="Y43" t="s">
        <x:v>684</x:v>
      </x:c>
      <x:c r="Z43" t="s">
        <x:v>41</x:v>
      </x:c>
    </x:row>
    <x:row r="44" ht="45" customHeight="1">
      <x:c r="A44" s="7" t="s">
        <x:v>685</x:v>
      </x:c>
      <x:c r="B44" s="7" t="s">
        <x:v>657</x:v>
      </x:c>
      <x:c r="C44" s="7" t="s">
        <x:v>92</x:v>
      </x:c>
      <x:c r="D44" s="7" t="s">
        <x:v>235</x:v>
      </x:c>
      <x:c r="E44" s="7" t="s">
        <x:v>272</x:v>
      </x:c>
      <x:c r="F44" s="7" t="s">
        <x:v>658</x:v>
      </x:c>
      <x:c r="G44" s="7" t="s">
        <x:v>686</x:v>
      </x:c>
      <x:c r="H44" s="7" t="s">
        <x:v>29</x:v>
      </x:c>
      <x:c r="I44" s="7" t="s">
        <x:v>687</x:v>
      </x:c>
      <x:c r="J44" s="7" t="s">
        <x:v>688</x:v>
      </x:c>
      <x:c r="K44" s="7" t="s">
        <x:v>689</x:v>
      </x:c>
      <x:c r="L44" s="7" t="s">
        <x:v>690</x:v>
      </x:c>
      <x:c r="M44" s="7" t="s">
        <x:v>664</x:v>
      </x:c>
      <x:c r="N44" s="8">
        <x:v>5</x:v>
      </x:c>
      <x:c r="O44" s="7" t="s">
        <x:v>21</x:v>
      </x:c>
      <x:c r="P44" s="7" t="s">
        <x:v>665</x:v>
      </x:c>
      <x:c r="Q44" s="7" t="s">
        <x:v>666</x:v>
      </x:c>
      <x:c r="R44" s="7" t="s">
        <x:v>667</x:v>
      </x:c>
      <x:c r="S44" s="8">
        <x:v>5</x:v>
      </x:c>
      <x:c r="T44" s="7" t="s">
        <x:v>691</x:v>
      </x:c>
      <x:c r="U44" s="7" t="s">
        <x:v>692</x:v>
      </x:c>
      <x:c r="V44" s="7" t="s">
        <x:v>693</x:v>
      </x:c>
      <x:c r="W44" s="7"/>
      <x:c r="X44" t="s">
        <x:v>268</x:v>
      </x:c>
      <x:c r="Y44" t="s">
        <x:v>694</x:v>
      </x:c>
      <x:c r="Z44" t="s">
        <x:v>35</x:v>
      </x:c>
    </x:row>
    <x:row r="45" ht="30" customHeight="1">
      <x:c r="A45" s="7" t="s">
        <x:v>695</x:v>
      </x:c>
      <x:c r="B45" s="7" t="s">
        <x:v>696</x:v>
      </x:c>
      <x:c r="C45" s="7" t="s">
        <x:v>92</x:v>
      </x:c>
      <x:c r="D45" s="7" t="s">
        <x:v>235</x:v>
      </x:c>
      <x:c r="E45" s="7" t="s">
        <x:v>272</x:v>
      </x:c>
      <x:c r="F45" s="7" t="s">
        <x:v>658</x:v>
      </x:c>
      <x:c r="G45" s="7" t="s">
        <x:v>697</x:v>
      </x:c>
      <x:c r="H45" s="7" t="s">
        <x:v>29</x:v>
      </x:c>
      <x:c r="I45" s="7" t="s">
        <x:v>698</x:v>
      </x:c>
      <x:c r="J45" s="7" t="s">
        <x:v>699</x:v>
      </x:c>
      <x:c r="K45" s="7" t="s">
        <x:v>700</x:v>
      </x:c>
      <x:c r="L45" s="7" t="s">
        <x:v>701</x:v>
      </x:c>
      <x:c r="M45" s="7" t="s">
        <x:v>296</x:v>
      </x:c>
      <x:c r="N45" s="8">
        <x:v>4</x:v>
      </x:c>
      <x:c r="O45" s="7" t="s">
        <x:v>21</x:v>
      </x:c>
      <x:c r="P45" s="7" t="s">
        <x:v>665</x:v>
      </x:c>
      <x:c r="Q45" s="7" t="s">
        <x:v>666</x:v>
      </x:c>
      <x:c r="R45" s="7" t="s">
        <x:v>667</x:v>
      </x:c>
      <x:c r="S45" s="8">
        <x:v>5</x:v>
      </x:c>
      <x:c r="T45" s="7" t="s">
        <x:v>702</x:v>
      </x:c>
      <x:c r="U45" s="7" t="s">
        <x:v>703</x:v>
      </x:c>
      <x:c r="V45" s="7" t="s">
        <x:v>704</x:v>
      </x:c>
      <x:c r="W45" s="7"/>
      <x:c r="X45" t="s">
        <x:v>268</x:v>
      </x:c>
      <x:c r="Y45" t="s">
        <x:v>705</x:v>
      </x:c>
      <x:c r="Z45" t="s">
        <x:v>36</x:v>
      </x:c>
    </x:row>
    <x:row r="46" ht="30" customHeight="1">
      <x:c r="A46" s="7" t="s">
        <x:v>706</x:v>
      </x:c>
      <x:c r="B46" s="7" t="s">
        <x:v>707</x:v>
      </x:c>
      <x:c r="C46" s="7" t="s">
        <x:v>170</x:v>
      </x:c>
      <x:c r="D46" s="7" t="s">
        <x:v>708</x:v>
      </x:c>
      <x:c r="E46" s="7" t="s">
        <x:v>709</x:v>
      </x:c>
      <x:c r="F46" s="7" t="s">
        <x:v>710</x:v>
      </x:c>
      <x:c r="G46" s="7" t="s">
        <x:v>711</x:v>
      </x:c>
      <x:c r="H46" s="7" t="s">
        <x:v>30</x:v>
      </x:c>
      <x:c r="I46" s="7" t="s">
        <x:v>712</x:v>
      </x:c>
      <x:c r="J46" s="7" t="s">
        <x:v>713</x:v>
      </x:c>
      <x:c r="K46" s="7" t="s">
        <x:v>714</x:v>
      </x:c>
      <x:c r="L46" s="7" t="s">
        <x:v>715</x:v>
      </x:c>
      <x:c r="M46" s="7" t="s">
        <x:v>399</x:v>
      </x:c>
      <x:c r="N46" s="8">
        <x:v>4</x:v>
      </x:c>
      <x:c r="O46" s="7" t="s">
        <x:v>21</x:v>
      </x:c>
      <x:c r="P46" s="7" t="s">
        <x:v>716</x:v>
      </x:c>
      <x:c r="Q46" s="7" t="s">
        <x:v>717</x:v>
      </x:c>
      <x:c r="R46" s="7" t="s">
        <x:v>718</x:v>
      </x:c>
      <x:c r="S46" s="8">
        <x:v>4</x:v>
      </x:c>
      <x:c r="T46" s="7" t="s">
        <x:v>719</x:v>
      </x:c>
      <x:c r="U46" s="7" t="s">
        <x:v>720</x:v>
      </x:c>
      <x:c r="V46" s="7" t="s">
        <x:v>721</x:v>
      </x:c>
      <x:c r="W46" s="7"/>
      <x:c r="X46" t="s">
        <x:v>268</x:v>
      </x:c>
      <x:c r="Y46" t="s">
        <x:v>722</x:v>
      </x:c>
      <x:c r="Z46" t="s">
        <x:v>35</x:v>
      </x:c>
    </x:row>
    <x:row r="47" ht="30" customHeight="1">
      <x:c r="A47" s="7" t="s">
        <x:v>723</x:v>
      </x:c>
      <x:c r="B47" s="7" t="s">
        <x:v>724</x:v>
      </x:c>
      <x:c r="C47" s="7" t="s">
        <x:v>92</x:v>
      </x:c>
      <x:c r="D47" s="7" t="s">
        <x:v>508</x:v>
      </x:c>
      <x:c r="E47" s="7" t="s">
        <x:v>594</x:v>
      </x:c>
      <x:c r="F47" s="7" t="s">
        <x:v>725</x:v>
      </x:c>
      <x:c r="G47" s="7" t="s">
        <x:v>726</x:v>
      </x:c>
      <x:c r="H47" s="7" t="s">
        <x:v>30</x:v>
      </x:c>
      <x:c r="I47" s="7" t="s">
        <x:v>727</x:v>
      </x:c>
      <x:c r="J47" s="7" t="s">
        <x:v>728</x:v>
      </x:c>
      <x:c r="K47" s="7" t="s">
        <x:v>729</x:v>
      </x:c>
      <x:c r="L47" s="7" t="s">
        <x:v>730</x:v>
      </x:c>
      <x:c r="M47" s="7" t="s">
        <x:v>399</x:v>
      </x:c>
      <x:c r="N47" s="8">
        <x:v>3</x:v>
      </x:c>
      <x:c r="O47" s="7" t="s">
        <x:v>21</x:v>
      </x:c>
      <x:c r="P47" s="7" t="s">
        <x:v>716</x:v>
      </x:c>
      <x:c r="Q47" s="7" t="s">
        <x:v>717</x:v>
      </x:c>
      <x:c r="R47" s="7" t="s">
        <x:v>718</x:v>
      </x:c>
      <x:c r="S47" s="8">
        <x:v>5</x:v>
      </x:c>
      <x:c r="T47" s="7" t="s">
        <x:v>731</x:v>
      </x:c>
      <x:c r="U47" s="7" t="s">
        <x:v>732</x:v>
      </x:c>
      <x:c r="V47" s="7" t="s">
        <x:v>733</x:v>
      </x:c>
      <x:c r="W47" s="7"/>
      <x:c r="X47" t="s">
        <x:v>604</x:v>
      </x:c>
      <x:c r="Y47" t="s">
        <x:v>722</x:v>
      </x:c>
      <x:c r="Z47" t="s">
        <x:v>35</x:v>
      </x:c>
    </x:row>
    <x:row r="48" ht="45" customHeight="1">
      <x:c r="A48" s="7" t="s">
        <x:v>734</x:v>
      </x:c>
      <x:c r="B48" s="7" t="s">
        <x:v>735</x:v>
      </x:c>
      <x:c r="C48" s="7" t="s">
        <x:v>71</x:v>
      </x:c>
      <x:c r="D48" s="7" t="s">
        <x:v>736</x:v>
      </x:c>
      <x:c r="E48" s="7" t="s">
        <x:v>737</x:v>
      </x:c>
      <x:c r="F48" s="7" t="s">
        <x:v>675</x:v>
      </x:c>
      <x:c r="G48" s="7" t="s">
        <x:v>738</x:v>
      </x:c>
      <x:c r="H48" s="7" t="s">
        <x:v>29</x:v>
      </x:c>
      <x:c r="I48" s="7" t="s">
        <x:v>739</x:v>
      </x:c>
      <x:c r="J48" s="7" t="s">
        <x:v>740</x:v>
      </x:c>
      <x:c r="K48" s="7" t="s">
        <x:v>741</x:v>
      </x:c>
      <x:c r="L48" s="7" t="s">
        <x:v>742</x:v>
      </x:c>
      <x:c r="M48" s="7" t="s">
        <x:v>664</x:v>
      </x:c>
      <x:c r="N48" s="8">
        <x:v>5</x:v>
      </x:c>
      <x:c r="O48" s="7" t="s">
        <x:v>21</x:v>
      </x:c>
      <x:c r="P48" s="7" t="s">
        <x:v>542</x:v>
      </x:c>
      <x:c r="Q48" s="7" t="s">
        <x:v>543</x:v>
      </x:c>
      <x:c r="R48" s="7" t="s">
        <x:v>544</x:v>
      </x:c>
      <x:c r="S48" s="8">
        <x:v>5</x:v>
      </x:c>
      <x:c r="T48" s="7" t="s">
        <x:v>743</x:v>
      </x:c>
      <x:c r="U48" s="7" t="s">
        <x:v>744</x:v>
      </x:c>
      <x:c r="V48" s="7" t="s">
        <x:v>745</x:v>
      </x:c>
      <x:c r="W48" s="7"/>
      <x:c r="Y48" t="s">
        <x:v>746</x:v>
      </x:c>
      <x:c r="Z48" t="s">
        <x:v>40</x:v>
      </x:c>
    </x:row>
    <x:row r="49" ht="45" customHeight="1">
      <x:c r="A49" s="7" t="s">
        <x:v>747</x:v>
      </x:c>
      <x:c r="B49" s="7" t="s">
        <x:v>748</x:v>
      </x:c>
      <x:c r="C49" s="7" t="s">
        <x:v>92</x:v>
      </x:c>
      <x:c r="D49" s="7" t="s">
        <x:v>749</x:v>
      </x:c>
      <x:c r="E49" s="7" t="s">
        <x:v>749</x:v>
      </x:c>
      <x:c r="F49" s="7" t="s">
        <x:v>750</x:v>
      </x:c>
      <x:c r="G49" s="7" t="s">
        <x:v>751</x:v>
      </x:c>
      <x:c r="H49" s="7" t="s">
        <x:v>30</x:v>
      </x:c>
      <x:c r="I49" s="7" t="s">
        <x:v>752</x:v>
      </x:c>
      <x:c r="J49" s="7" t="s">
        <x:v>753</x:v>
      </x:c>
      <x:c r="K49" s="7" t="s">
        <x:v>754</x:v>
      </x:c>
      <x:c r="L49" s="7" t="s">
        <x:v>755</x:v>
      </x:c>
      <x:c r="M49" s="7" t="s">
        <x:v>756</x:v>
      </x:c>
      <x:c r="N49" s="8">
        <x:v>3</x:v>
      </x:c>
      <x:c r="O49" s="7" t="s">
        <x:v>21</x:v>
      </x:c>
      <x:c r="P49" s="7" t="s">
        <x:v>716</x:v>
      </x:c>
      <x:c r="Q49" s="7" t="s">
        <x:v>717</x:v>
      </x:c>
      <x:c r="R49" s="7" t="s">
        <x:v>718</x:v>
      </x:c>
      <x:c r="S49" s="8">
        <x:v>4</x:v>
      </x:c>
      <x:c r="T49" s="7" t="s">
        <x:v>757</x:v>
      </x:c>
      <x:c r="U49" s="7" t="s">
        <x:v>758</x:v>
      </x:c>
      <x:c r="V49" s="7" t="s">
        <x:v>759</x:v>
      </x:c>
      <x:c r="W49" s="7" t="s">
        <x:v>760</x:v>
      </x:c>
      <x:c r="Y49" t="s">
        <x:v>761</x:v>
      </x:c>
      <x:c r="Z49" t="s">
        <x:v>35</x:v>
      </x:c>
    </x:row>
    <x:row r="50" ht="45.75" customHeight="1">
      <x:c r="A50" s="5" t="s">
        <x:v>762</x:v>
      </x:c>
      <x:c r="B50" s="5" t="s">
        <x:v>763</x:v>
      </x:c>
      <x:c r="C50" s="5" t="s">
        <x:v>92</x:v>
      </x:c>
      <x:c r="D50" s="5" t="s">
        <x:v>235</x:v>
      </x:c>
      <x:c r="E50" s="5" t="s">
        <x:v>764</x:v>
      </x:c>
      <x:c r="F50" s="5" t="s">
        <x:v>765</x:v>
      </x:c>
      <x:c r="G50" s="5" t="s">
        <x:v>766</x:v>
      </x:c>
      <x:c r="H50" s="5" t="s">
        <x:v>24</x:v>
      </x:c>
      <x:c r="I50" s="5" t="s">
        <x:v>767</x:v>
      </x:c>
      <x:c r="J50" s="5" t="s">
        <x:v>768</x:v>
      </x:c>
      <x:c r="K50" s="5" t="s">
        <x:v>769</x:v>
      </x:c>
      <x:c r="L50" s="5" t="s">
        <x:v>770</x:v>
      </x:c>
      <x:c r="M50" s="5" t="s">
        <x:v>328</x:v>
      </x:c>
      <x:c r="N50" s="5">
        <x:v>5</x:v>
      </x:c>
      <x:c r="O50" s="5" t="s">
        <x:v>23</x:v>
      </x:c>
      <x:c r="P50" s="5" t="s">
        <x:v>771</x:v>
      </x:c>
      <x:c r="Q50" s="5" t="s">
        <x:v>772</x:v>
      </x:c>
      <x:c r="R50" s="5" t="s">
        <x:v>773</x:v>
      </x:c>
      <x:c r="S50" s="5">
        <x:v>5</x:v>
      </x:c>
      <x:c r="T50" s="5" t="s">
        <x:v>774</x:v>
      </x:c>
      <x:c r="U50" s="5" t="s">
        <x:v>775</x:v>
      </x:c>
      <x:c r="V50" s="5" t="s">
        <x:v>776</x:v>
      </x:c>
      <x:c r="W50" s="5" t="s">
        <x:v>777</x:v>
      </x:c>
      <x:c r="X50" s="5" t="s">
        <x:v>268</x:v>
      </x:c>
      <x:c r="Y50" s="5" t="s">
        <x:v>778</x:v>
      </x:c>
      <x:c r="Z50" s="5" t="s">
        <x:v>35</x:v>
      </x:c>
      <x:c r="AA50" t="s">
        <x:v>89</x:v>
      </x:c>
    </x:row>
    <x:row r="51" ht="45.75" customHeight="1">
      <x:c r="A51" s="5" t="s">
        <x:v>779</x:v>
      </x:c>
      <x:c r="B51" s="5" t="s">
        <x:v>780</x:v>
      </x:c>
      <x:c r="C51" s="5" t="s">
        <x:v>92</x:v>
      </x:c>
      <x:c r="D51" s="5" t="s">
        <x:v>235</x:v>
      </x:c>
      <x:c r="E51" s="5" t="s">
        <x:v>781</x:v>
      </x:c>
      <x:c r="F51" s="5" t="s">
        <x:v>782</x:v>
      </x:c>
      <x:c r="G51" s="5" t="s">
        <x:v>783</x:v>
      </x:c>
      <x:c r="H51" s="5" t="s">
        <x:v>24</x:v>
      </x:c>
      <x:c r="I51" s="5" t="s">
        <x:v>784</x:v>
      </x:c>
      <x:c r="J51" s="5" t="s">
        <x:v>785</x:v>
      </x:c>
      <x:c r="K51" s="5" t="s">
        <x:v>786</x:v>
      </x:c>
      <x:c r="L51" s="5" t="s">
        <x:v>787</x:v>
      </x:c>
      <x:c r="M51" s="5" t="s">
        <x:v>41</x:v>
      </x:c>
      <x:c r="N51" s="5">
        <x:v>4</x:v>
      </x:c>
      <x:c r="O51" s="5" t="s">
        <x:v>23</x:v>
      </x:c>
      <x:c r="P51" s="5" t="s">
        <x:v>771</x:v>
      </x:c>
      <x:c r="Q51" s="5" t="s">
        <x:v>772</x:v>
      </x:c>
      <x:c r="R51" s="5" t="s">
        <x:v>773</x:v>
      </x:c>
      <x:c r="S51" s="5">
        <x:v>4</x:v>
      </x:c>
      <x:c r="T51" s="5" t="s">
        <x:v>788</x:v>
      </x:c>
      <x:c r="U51" s="5" t="s">
        <x:v>789</x:v>
      </x:c>
      <x:c r="V51" s="5" t="s">
        <x:v>790</x:v>
      </x:c>
      <x:c r="W51" s="5" t="s">
        <x:v>791</x:v>
      </x:c>
      <x:c r="X51" s="5" t="s">
        <x:v>792</x:v>
      </x:c>
      <x:c r="Y51" s="5" t="s">
        <x:v>793</x:v>
      </x:c>
      <x:c r="Z51" s="5" t="s">
        <x:v>41</x:v>
      </x:c>
    </x:row>
    <x:row r="52" ht="34.5" customHeight="1">
      <x:c r="A52" s="5" t="s">
        <x:v>794</x:v>
      </x:c>
      <x:c r="B52" s="5" t="s">
        <x:v>795</x:v>
      </x:c>
      <x:c r="C52" s="5" t="s">
        <x:v>92</x:v>
      </x:c>
      <x:c r="D52" s="5" t="s">
        <x:v>235</x:v>
      </x:c>
      <x:c r="E52" s="5" t="s">
        <x:v>272</x:v>
      </x:c>
      <x:c r="F52" s="5" t="s">
        <x:v>796</x:v>
      </x:c>
      <x:c r="G52" s="5" t="s">
        <x:v>797</x:v>
      </x:c>
      <x:c r="H52" s="5" t="s">
        <x:v>24</x:v>
      </x:c>
      <x:c r="I52" s="5" t="s">
        <x:v>798</x:v>
      </x:c>
      <x:c r="J52" s="5" t="s">
        <x:v>799</x:v>
      </x:c>
      <x:c r="K52" s="5" t="s">
        <x:v>800</x:v>
      </x:c>
      <x:c r="L52" s="5" t="s">
        <x:v>801</x:v>
      </x:c>
      <x:c r="M52" s="5" t="s">
        <x:v>328</x:v>
      </x:c>
      <x:c r="N52" s="5">
        <x:v>5</x:v>
      </x:c>
      <x:c r="O52" s="5" t="s">
        <x:v>23</x:v>
      </x:c>
      <x:c r="P52" s="5" t="s">
        <x:v>802</x:v>
      </x:c>
      <x:c r="Q52" s="5" t="s">
        <x:v>803</x:v>
      </x:c>
      <x:c r="R52" s="5" t="s">
        <x:v>804</x:v>
      </x:c>
      <x:c r="S52" s="5">
        <x:v>5</x:v>
      </x:c>
      <x:c r="T52" s="5" t="s">
        <x:v>805</x:v>
      </x:c>
      <x:c r="U52" s="5" t="s">
        <x:v>806</x:v>
      </x:c>
      <x:c r="V52" s="5" t="s">
        <x:v>807</x:v>
      </x:c>
      <x:c r="W52" s="5"/>
      <x:c r="X52" s="5" t="s">
        <x:v>268</x:v>
      </x:c>
      <x:c r="Y52" s="5" t="s">
        <x:v>808</x:v>
      </x:c>
      <x:c r="Z52" s="5" t="s">
        <x:v>35</x:v>
      </x:c>
    </x:row>
    <x:row r="53" ht="34.5" customHeight="1">
      <x:c r="A53" s="5" t="s">
        <x:v>809</x:v>
      </x:c>
      <x:c r="B53" s="5" t="s">
        <x:v>795</x:v>
      </x:c>
      <x:c r="C53" s="5" t="s">
        <x:v>92</x:v>
      </x:c>
      <x:c r="D53" s="5" t="s">
        <x:v>810</x:v>
      </x:c>
      <x:c r="E53" s="5" t="s">
        <x:v>811</x:v>
      </x:c>
      <x:c r="F53" s="5" t="s">
        <x:v>812</x:v>
      </x:c>
      <x:c r="G53" s="5" t="s">
        <x:v>813</x:v>
      </x:c>
      <x:c r="H53" s="5" t="s">
        <x:v>24</x:v>
      </x:c>
      <x:c r="I53" s="5" t="s">
        <x:v>814</x:v>
      </x:c>
      <x:c r="J53" s="5" t="s">
        <x:v>815</x:v>
      </x:c>
      <x:c r="K53" s="5" t="s">
        <x:v>816</x:v>
      </x:c>
      <x:c r="L53" s="5" t="s">
        <x:v>817</x:v>
      </x:c>
      <x:c r="M53" s="5" t="s">
        <x:v>664</x:v>
      </x:c>
      <x:c r="N53" s="5">
        <x:v>5</x:v>
      </x:c>
      <x:c r="O53" s="5" t="s">
        <x:v>23</x:v>
      </x:c>
      <x:c r="P53" s="5" t="s">
        <x:v>818</x:v>
      </x:c>
      <x:c r="Q53" s="5" t="s">
        <x:v>819</x:v>
      </x:c>
      <x:c r="R53" s="5" t="s">
        <x:v>820</x:v>
      </x:c>
      <x:c r="S53" s="5">
        <x:v>5</x:v>
      </x:c>
      <x:c r="T53" s="5" t="s">
        <x:v>821</x:v>
      </x:c>
      <x:c r="U53" s="5" t="s">
        <x:v>822</x:v>
      </x:c>
      <x:c r="V53" s="5" t="s">
        <x:v>823</x:v>
      </x:c>
      <x:c r="W53" s="5"/>
      <x:c r="X53" s="5" t="s">
        <x:v>268</x:v>
      </x:c>
      <x:c r="Y53" s="5" t="s">
        <x:v>824</x:v>
      </x:c>
      <x:c r="Z53" s="5" t="s">
        <x:v>39</x:v>
      </x:c>
    </x:row>
    <x:row r="54" ht="45.75" customHeight="1">
      <x:c r="A54" s="5" t="s">
        <x:v>825</x:v>
      </x:c>
      <x:c r="B54" s="5" t="s">
        <x:v>826</x:v>
      </x:c>
      <x:c r="C54" s="5" t="s">
        <x:v>71</x:v>
      </x:c>
      <x:c r="D54" s="5" t="s">
        <x:v>736</x:v>
      </x:c>
      <x:c r="E54" s="5" t="s">
        <x:v>827</x:v>
      </x:c>
      <x:c r="F54" s="5" t="s">
        <x:v>828</x:v>
      </x:c>
      <x:c r="G54" s="5" t="s">
        <x:v>829</x:v>
      </x:c>
      <x:c r="H54" s="5" t="s">
        <x:v>24</x:v>
      </x:c>
      <x:c r="I54" s="5" t="s">
        <x:v>830</x:v>
      </x:c>
      <x:c r="J54" s="5" t="s">
        <x:v>831</x:v>
      </x:c>
      <x:c r="K54" s="5" t="s">
        <x:v>832</x:v>
      </x:c>
      <x:c r="L54" s="5" t="s">
        <x:v>833</x:v>
      </x:c>
      <x:c r="M54" s="5" t="s">
        <x:v>328</x:v>
      </x:c>
      <x:c r="N54" s="5">
        <x:v>4</x:v>
      </x:c>
      <x:c r="O54" s="5" t="s">
        <x:v>23</x:v>
      </x:c>
      <x:c r="P54" s="5" t="s">
        <x:v>834</x:v>
      </x:c>
      <x:c r="Q54" s="5" t="s">
        <x:v>835</x:v>
      </x:c>
      <x:c r="R54" s="5" t="s">
        <x:v>836</x:v>
      </x:c>
      <x:c r="S54" s="5">
        <x:v>4</x:v>
      </x:c>
      <x:c r="T54" s="5" t="s">
        <x:v>837</x:v>
      </x:c>
      <x:c r="U54" s="5" t="s">
        <x:v>838</x:v>
      </x:c>
      <x:c r="V54" s="5" t="s">
        <x:v>839</x:v>
      </x:c>
      <x:c r="W54" s="5"/>
      <x:c r="X54" s="5"/>
      <x:c r="Y54" s="5" t="s">
        <x:v>840</x:v>
      </x:c>
      <x:c r="Z54" s="5" t="s">
        <x:v>43</x:v>
      </x:c>
    </x:row>
    <x:row r="55" ht="34.5" customHeight="1">
      <x:c r="A55" s="5" t="s">
        <x:v>841</x:v>
      </x:c>
      <x:c r="B55" s="5" t="s">
        <x:v>842</x:v>
      </x:c>
      <x:c r="C55" s="5" t="s">
        <x:v>92</x:v>
      </x:c>
      <x:c r="D55" s="5" t="s">
        <x:v>508</x:v>
      </x:c>
      <x:c r="E55" s="5" t="s">
        <x:v>843</x:v>
      </x:c>
      <x:c r="F55" s="5" t="s">
        <x:v>844</x:v>
      </x:c>
      <x:c r="G55" s="5" t="s">
        <x:v>845</x:v>
      </x:c>
      <x:c r="H55" s="5" t="s">
        <x:v>24</x:v>
      </x:c>
      <x:c r="I55" s="5" t="s">
        <x:v>846</x:v>
      </x:c>
      <x:c r="J55" s="5" t="s">
        <x:v>847</x:v>
      </x:c>
      <x:c r="K55" s="5" t="s">
        <x:v>848</x:v>
      </x:c>
      <x:c r="L55" s="5" t="s">
        <x:v>849</x:v>
      </x:c>
      <x:c r="M55" s="5" t="s">
        <x:v>41</x:v>
      </x:c>
      <x:c r="N55" s="5">
        <x:v>4</x:v>
      </x:c>
      <x:c r="O55" s="5" t="s">
        <x:v>23</x:v>
      </x:c>
      <x:c r="P55" s="5" t="s">
        <x:v>850</x:v>
      </x:c>
      <x:c r="Q55" s="5" t="s">
        <x:v>851</x:v>
      </x:c>
      <x:c r="R55" s="5" t="s">
        <x:v>852</x:v>
      </x:c>
      <x:c r="S55" s="5">
        <x:v>5</x:v>
      </x:c>
      <x:c r="T55" s="5" t="s">
        <x:v>853</x:v>
      </x:c>
      <x:c r="U55" s="5" t="s">
        <x:v>854</x:v>
      </x:c>
      <x:c r="V55" s="5" t="s">
        <x:v>855</x:v>
      </x:c>
      <x:c r="W55" s="5"/>
      <x:c r="X55" s="5" t="s">
        <x:v>856</x:v>
      </x:c>
      <x:c r="Y55" s="5" t="s">
        <x:v>857</x:v>
      </x:c>
      <x:c r="Z55" s="5" t="s">
        <x:v>41</x:v>
      </x:c>
    </x:row>
    <x:row r="56" ht="34.5" customHeight="1">
      <x:c r="A56" s="5" t="s">
        <x:v>858</x:v>
      </x:c>
      <x:c r="B56" s="5" t="s">
        <x:v>859</x:v>
      </x:c>
      <x:c r="C56" s="5" t="s">
        <x:v>409</x:v>
      </x:c>
      <x:c r="D56" s="5" t="s">
        <x:v>508</x:v>
      </x:c>
      <x:c r="E56" s="5" t="s">
        <x:v>843</x:v>
      </x:c>
      <x:c r="F56" s="5" t="s">
        <x:v>860</x:v>
      </x:c>
      <x:c r="G56" s="5" t="s">
        <x:v>861</x:v>
      </x:c>
      <x:c r="H56" s="5" t="s">
        <x:v>24</x:v>
      </x:c>
      <x:c r="I56" s="5" t="s">
        <x:v>862</x:v>
      </x:c>
      <x:c r="J56" s="5" t="s">
        <x:v>863</x:v>
      </x:c>
      <x:c r="K56" s="5" t="s">
        <x:v>864</x:v>
      </x:c>
      <x:c r="L56" s="5" t="s">
        <x:v>865</x:v>
      </x:c>
      <x:c r="M56" s="5" t="s">
        <x:v>41</x:v>
      </x:c>
      <x:c r="N56" s="5">
        <x:v>4</x:v>
      </x:c>
      <x:c r="O56" s="5" t="s">
        <x:v>23</x:v>
      </x:c>
      <x:c r="P56" s="5" t="s">
        <x:v>866</x:v>
      </x:c>
      <x:c r="Q56" s="5" t="s">
        <x:v>867</x:v>
      </x:c>
      <x:c r="R56" s="5" t="s">
        <x:v>868</x:v>
      </x:c>
      <x:c r="S56" s="5">
        <x:v>5</x:v>
      </x:c>
      <x:c r="T56" s="5" t="s">
        <x:v>869</x:v>
      </x:c>
      <x:c r="U56" s="5" t="s">
        <x:v>870</x:v>
      </x:c>
      <x:c r="V56" s="5" t="s">
        <x:v>871</x:v>
      </x:c>
      <x:c r="W56" s="5"/>
      <x:c r="X56" s="5" t="s">
        <x:v>856</x:v>
      </x:c>
      <x:c r="Y56" s="5" t="s">
        <x:v>872</x:v>
      </x:c>
      <x:c r="Z56" s="5" t="s">
        <x:v>41</x:v>
      </x:c>
    </x:row>
    <x:row r="57" ht="34.5" customHeight="1">
      <x:c r="A57" s="5" t="s">
        <x:v>873</x:v>
      </x:c>
      <x:c r="B57" s="5" t="s">
        <x:v>874</x:v>
      </x:c>
      <x:c r="C57" s="5" t="s">
        <x:v>71</x:v>
      </x:c>
      <x:c r="D57" s="5" t="s">
        <x:v>736</x:v>
      </x:c>
      <x:c r="E57" s="5" t="s">
        <x:v>827</x:v>
      </x:c>
      <x:c r="F57" s="5" t="s">
        <x:v>875</x:v>
      </x:c>
      <x:c r="G57" s="5" t="s">
        <x:v>876</x:v>
      </x:c>
      <x:c r="H57" s="5" t="s">
        <x:v>24</x:v>
      </x:c>
      <x:c r="I57" s="5" t="s">
        <x:v>877</x:v>
      </x:c>
      <x:c r="J57" s="5" t="s">
        <x:v>878</x:v>
      </x:c>
      <x:c r="K57" s="5" t="s">
        <x:v>879</x:v>
      </x:c>
      <x:c r="L57" s="5" t="s">
        <x:v>880</x:v>
      </x:c>
      <x:c r="M57" s="5" t="s">
        <x:v>664</x:v>
      </x:c>
      <x:c r="N57" s="5">
        <x:v>4</x:v>
      </x:c>
      <x:c r="O57" s="5" t="s">
        <x:v>23</x:v>
      </x:c>
      <x:c r="P57" s="5" t="s">
        <x:v>881</x:v>
      </x:c>
      <x:c r="Q57" s="5" t="s">
        <x:v>882</x:v>
      </x:c>
      <x:c r="R57" s="5" t="s">
        <x:v>883</x:v>
      </x:c>
      <x:c r="S57" s="5">
        <x:v>5</x:v>
      </x:c>
      <x:c r="T57" s="5" t="s">
        <x:v>884</x:v>
      </x:c>
      <x:c r="U57" s="5" t="s">
        <x:v>885</x:v>
      </x:c>
      <x:c r="V57" s="5" t="s">
        <x:v>886</x:v>
      </x:c>
      <x:c r="W57" s="5"/>
      <x:c r="X57" s="5"/>
      <x:c r="Y57" s="5" t="s">
        <x:v>887</x:v>
      </x:c>
      <x:c r="Z57" s="5" t="s">
        <x:v>44</x:v>
      </x:c>
    </x:row>
    <x:row r="58" ht="45.75" customHeight="1">
      <x:c r="A58" s="5" t="s">
        <x:v>888</x:v>
      </x:c>
      <x:c r="B58" s="5" t="s">
        <x:v>889</x:v>
      </x:c>
      <x:c r="C58" s="5" t="s">
        <x:v>71</x:v>
      </x:c>
      <x:c r="D58" s="5" t="s">
        <x:v>736</x:v>
      </x:c>
      <x:c r="E58" s="5" t="s">
        <x:v>827</x:v>
      </x:c>
      <x:c r="F58" s="5" t="s">
        <x:v>890</x:v>
      </x:c>
      <x:c r="G58" s="5" t="s">
        <x:v>891</x:v>
      </x:c>
      <x:c r="H58" s="5" t="s">
        <x:v>24</x:v>
      </x:c>
      <x:c r="I58" s="5" t="s">
        <x:v>892</x:v>
      </x:c>
      <x:c r="J58" s="5" t="s">
        <x:v>893</x:v>
      </x:c>
      <x:c r="K58" s="5" t="s">
        <x:v>894</x:v>
      </x:c>
      <x:c r="L58" s="5" t="s">
        <x:v>895</x:v>
      </x:c>
      <x:c r="M58" s="5" t="s">
        <x:v>328</x:v>
      </x:c>
      <x:c r="N58" s="5">
        <x:v>5</x:v>
      </x:c>
      <x:c r="O58" s="5" t="s">
        <x:v>23</x:v>
      </x:c>
      <x:c r="P58" s="5" t="s">
        <x:v>896</x:v>
      </x:c>
      <x:c r="Q58" s="5" t="s">
        <x:v>897</x:v>
      </x:c>
      <x:c r="R58" s="5" t="s">
        <x:v>898</x:v>
      </x:c>
      <x:c r="S58" s="5">
        <x:v>5</x:v>
      </x:c>
      <x:c r="T58" s="5" t="s">
        <x:v>899</x:v>
      </x:c>
      <x:c r="U58" s="5" t="s">
        <x:v>900</x:v>
      </x:c>
      <x:c r="V58" s="5" t="s">
        <x:v>901</x:v>
      </x:c>
      <x:c r="W58" s="5"/>
      <x:c r="X58" s="5"/>
      <x:c r="Y58" s="5" t="s">
        <x:v>902</x:v>
      </x:c>
      <x:c r="Z58" s="5" t="s">
        <x:v>39</x:v>
      </x:c>
    </x:row>
    <x:row r="59" ht="45.75" customHeight="1">
      <x:c r="A59" s="5" t="s">
        <x:v>903</x:v>
      </x:c>
      <x:c r="B59" s="5" t="s">
        <x:v>889</x:v>
      </x:c>
      <x:c r="C59" s="5" t="s">
        <x:v>71</x:v>
      </x:c>
      <x:c r="D59" s="5" t="s">
        <x:v>749</x:v>
      </x:c>
      <x:c r="E59" s="5" t="s">
        <x:v>904</x:v>
      </x:c>
      <x:c r="F59" s="5" t="s">
        <x:v>905</x:v>
      </x:c>
      <x:c r="G59" s="5" t="s">
        <x:v>906</x:v>
      </x:c>
      <x:c r="H59" s="5" t="s">
        <x:v>24</x:v>
      </x:c>
      <x:c r="I59" s="5" t="s">
        <x:v>907</x:v>
      </x:c>
      <x:c r="J59" s="5" t="s">
        <x:v>908</x:v>
      </x:c>
      <x:c r="K59" s="5" t="s">
        <x:v>909</x:v>
      </x:c>
      <x:c r="L59" s="5" t="s">
        <x:v>910</x:v>
      </x:c>
      <x:c r="M59" s="5" t="s">
        <x:v>39</x:v>
      </x:c>
      <x:c r="N59" s="5">
        <x:v>5</x:v>
      </x:c>
      <x:c r="O59" s="5" t="s">
        <x:v>23</x:v>
      </x:c>
      <x:c r="P59" s="5" t="s">
        <x:v>850</x:v>
      </x:c>
      <x:c r="Q59" s="5" t="s">
        <x:v>851</x:v>
      </x:c>
      <x:c r="R59" s="5" t="s">
        <x:v>852</x:v>
      </x:c>
      <x:c r="S59" s="5">
        <x:v>4</x:v>
      </x:c>
      <x:c r="T59" s="5" t="s">
        <x:v>911</x:v>
      </x:c>
      <x:c r="U59" s="5" t="s">
        <x:v>912</x:v>
      </x:c>
      <x:c r="V59" s="5" t="s">
        <x:v>913</x:v>
      </x:c>
      <x:c r="W59" s="5" t="s">
        <x:v>914</x:v>
      </x:c>
      <x:c r="X59" s="5" t="s">
        <x:v>856</x:v>
      </x:c>
      <x:c r="Y59" s="5" t="s">
        <x:v>915</x:v>
      </x:c>
      <x:c r="Z59" s="5" t="s">
        <x:v>39</x:v>
      </x:c>
    </x:row>
    <x:row r="60" ht="12.75" customHeight="1">
      <x:c r="A60" s="11" t="s">
        <x:v>916</x:v>
      </x:c>
      <x:c r="B60" s="11" t="s">
        <x:v>917</x:v>
      </x:c>
      <x:c r="C60" s="11" t="s">
        <x:v>92</x:v>
      </x:c>
      <x:c r="D60" s="11" t="s">
        <x:v>508</x:v>
      </x:c>
      <x:c r="E60" s="11" t="s">
        <x:v>843</x:v>
      </x:c>
      <x:c r="F60" s="11" t="s">
        <x:v>918</x:v>
      </x:c>
      <x:c r="G60" s="11" t="s">
        <x:v>919</x:v>
      </x:c>
      <x:c r="H60" s="11" t="s">
        <x:v>24</x:v>
      </x:c>
      <x:c r="I60" s="11" t="s">
        <x:v>920</x:v>
      </x:c>
      <x:c r="J60" s="11" t="s">
        <x:v>921</x:v>
      </x:c>
      <x:c r="K60" s="11" t="s">
        <x:v>922</x:v>
      </x:c>
      <x:c r="L60" s="11" t="s">
        <x:v>923</x:v>
      </x:c>
      <x:c r="M60" s="11" t="s">
        <x:v>39</x:v>
      </x:c>
      <x:c r="N60" s="11">
        <x:v>4</x:v>
      </x:c>
      <x:c r="O60" s="11" t="s">
        <x:v>25</x:v>
      </x:c>
      <x:c r="P60" s="11" t="s">
        <x:v>850</x:v>
      </x:c>
      <x:c r="Q60" s="11" t="s">
        <x:v>851</x:v>
      </x:c>
      <x:c r="R60" s="11" t="s">
        <x:v>852</x:v>
      </x:c>
      <x:c r="S60" s="11">
        <x:v>4</x:v>
      </x:c>
      <x:c r="T60" s="11" t="s">
        <x:v>924</x:v>
      </x:c>
      <x:c r="U60" s="11" t="s">
        <x:v>925</x:v>
      </x:c>
      <x:c r="V60" s="11" t="s">
        <x:v>926</x:v>
      </x:c>
      <x:c r="W60" s="11" t="s">
        <x:v>927</x:v>
      </x:c>
      <x:c r="X60" s="11" t="s">
        <x:v>856</x:v>
      </x:c>
      <x:c r="Y60" s="11" t="s">
        <x:v>928</x:v>
      </x:c>
      <x:c r="Z60" s="11" t="s">
        <x:v>39</x:v>
      </x:c>
      <x:c r="AA60" s="11"/>
    </x:row>
    <x:row r="61" ht="12.75" customHeight="1">
      <x:c r="A61" s="11" t="s">
        <x:v>929</x:v>
      </x:c>
      <x:c r="B61" s="11" t="s">
        <x:v>930</x:v>
      </x:c>
      <x:c r="C61" s="11" t="s">
        <x:v>92</x:v>
      </x:c>
      <x:c r="D61" s="11" t="s">
        <x:v>508</x:v>
      </x:c>
      <x:c r="E61" s="11" t="s">
        <x:v>843</x:v>
      </x:c>
      <x:c r="F61" s="11" t="s">
        <x:v>931</x:v>
      </x:c>
      <x:c r="G61" s="11" t="s">
        <x:v>932</x:v>
      </x:c>
      <x:c r="H61" s="11" t="s">
        <x:v>24</x:v>
      </x:c>
      <x:c r="I61" s="11" t="s">
        <x:v>933</x:v>
      </x:c>
      <x:c r="J61" s="11" t="s">
        <x:v>934</x:v>
      </x:c>
      <x:c r="K61" s="11" t="s">
        <x:v>935</x:v>
      </x:c>
      <x:c r="L61" s="11" t="s">
        <x:v>936</x:v>
      </x:c>
      <x:c r="M61" s="11" t="s">
        <x:v>328</x:v>
      </x:c>
      <x:c r="N61" s="11">
        <x:v>5</x:v>
      </x:c>
      <x:c r="O61" s="11" t="s">
        <x:v>25</x:v>
      </x:c>
      <x:c r="P61" s="11" t="s">
        <x:v>937</x:v>
      </x:c>
      <x:c r="Q61" s="11" t="s">
        <x:v>938</x:v>
      </x:c>
      <x:c r="R61" s="11" t="s">
        <x:v>939</x:v>
      </x:c>
      <x:c r="S61" s="11">
        <x:v>5</x:v>
      </x:c>
      <x:c r="T61" s="11" t="s">
        <x:v>940</x:v>
      </x:c>
      <x:c r="U61" s="11" t="s">
        <x:v>941</x:v>
      </x:c>
      <x:c r="V61" s="11" t="s">
        <x:v>942</x:v>
      </x:c>
      <x:c r="W61" s="11"/>
      <x:c r="X61" s="11" t="s">
        <x:v>856</x:v>
      </x:c>
      <x:c r="Y61" s="11" t="s">
        <x:v>943</x:v>
      </x:c>
      <x:c r="Z61" s="11" t="s">
        <x:v>36</x:v>
      </x:c>
      <x:c r="AA61" s="11"/>
    </x:row>
    <x:row r="62" ht="12.75" customHeight="1">
      <x:c r="A62" s="11" t="s">
        <x:v>944</x:v>
      </x:c>
      <x:c r="B62" s="11" t="s">
        <x:v>930</x:v>
      </x:c>
      <x:c r="C62" s="11" t="s">
        <x:v>92</x:v>
      </x:c>
      <x:c r="D62" s="11" t="s">
        <x:v>508</x:v>
      </x:c>
      <x:c r="E62" s="11" t="s">
        <x:v>843</x:v>
      </x:c>
      <x:c r="F62" s="11" t="s">
        <x:v>918</x:v>
      </x:c>
      <x:c r="G62" s="11" t="s">
        <x:v>945</x:v>
      </x:c>
      <x:c r="H62" s="11" t="s">
        <x:v>24</x:v>
      </x:c>
      <x:c r="I62" s="11" t="s">
        <x:v>946</x:v>
      </x:c>
      <x:c r="J62" s="11" t="s">
        <x:v>947</x:v>
      </x:c>
      <x:c r="K62" s="11" t="s">
        <x:v>933</x:v>
      </x:c>
      <x:c r="L62" s="11" t="s">
        <x:v>948</x:v>
      </x:c>
      <x:c r="M62" s="11" t="s">
        <x:v>296</x:v>
      </x:c>
      <x:c r="N62" s="11">
        <x:v>4</x:v>
      </x:c>
      <x:c r="O62" s="11" t="s">
        <x:v>25</x:v>
      </x:c>
      <x:c r="P62" s="11" t="s">
        <x:v>949</x:v>
      </x:c>
      <x:c r="Q62" s="11" t="s">
        <x:v>950</x:v>
      </x:c>
      <x:c r="R62" s="11" t="s">
        <x:v>951</x:v>
      </x:c>
      <x:c r="S62" s="11">
        <x:v>5</x:v>
      </x:c>
      <x:c r="T62" s="11" t="s">
        <x:v>952</x:v>
      </x:c>
      <x:c r="U62" s="11" t="s">
        <x:v>953</x:v>
      </x:c>
      <x:c r="V62" s="11" t="s">
        <x:v>954</x:v>
      </x:c>
      <x:c r="W62" s="11"/>
      <x:c r="X62" s="11" t="s">
        <x:v>856</x:v>
      </x:c>
      <x:c r="Y62" s="11" t="s">
        <x:v>955</x:v>
      </x:c>
      <x:c r="Z62" s="11" t="s">
        <x:v>35</x:v>
      </x:c>
      <x:c r="AA62" s="11"/>
    </x:row>
    <x:row r="63" ht="12.75" customHeight="1">
      <x:c r="A63" s="11" t="s">
        <x:v>956</x:v>
      </x:c>
      <x:c r="B63" s="11" t="s">
        <x:v>957</x:v>
      </x:c>
      <x:c r="C63" s="11" t="s">
        <x:v>92</x:v>
      </x:c>
      <x:c r="D63" s="11" t="s">
        <x:v>508</x:v>
      </x:c>
      <x:c r="E63" s="11" t="s">
        <x:v>958</x:v>
      </x:c>
      <x:c r="F63" s="11" t="s">
        <x:v>959</x:v>
      </x:c>
      <x:c r="G63" s="11" t="s">
        <x:v>960</x:v>
      </x:c>
      <x:c r="H63" s="11" t="s">
        <x:v>24</x:v>
      </x:c>
      <x:c r="I63" s="11" t="s">
        <x:v>961</x:v>
      </x:c>
      <x:c r="J63" s="11" t="s">
        <x:v>962</x:v>
      </x:c>
      <x:c r="K63" s="11" t="s">
        <x:v>963</x:v>
      </x:c>
      <x:c r="L63" s="11" t="s">
        <x:v>964</x:v>
      </x:c>
      <x:c r="M63" s="11" t="s">
        <x:v>399</x:v>
      </x:c>
      <x:c r="N63" s="11">
        <x:v>4</x:v>
      </x:c>
      <x:c r="O63" s="11" t="s">
        <x:v>25</x:v>
      </x:c>
      <x:c r="P63" s="11" t="s">
        <x:v>965</x:v>
      </x:c>
      <x:c r="Q63" s="11" t="s">
        <x:v>966</x:v>
      </x:c>
      <x:c r="R63" s="11" t="s">
        <x:v>967</x:v>
      </x:c>
      <x:c r="S63" s="11">
        <x:v>4</x:v>
      </x:c>
      <x:c r="T63" s="11" t="s">
        <x:v>968</x:v>
      </x:c>
      <x:c r="U63" s="11" t="s">
        <x:v>969</x:v>
      </x:c>
      <x:c r="V63" s="11" t="s">
        <x:v>970</x:v>
      </x:c>
      <x:c r="W63" s="11" t="s">
        <x:v>971</x:v>
      </x:c>
      <x:c r="X63" s="11" t="s">
        <x:v>972</x:v>
      </x:c>
      <x:c r="Y63" s="11" t="s">
        <x:v>973</x:v>
      </x:c>
      <x:c r="Z63" s="11" t="s">
        <x:v>35</x:v>
      </x:c>
      <x:c r="AA63" s="11"/>
    </x:row>
    <x:row r="64" ht="12.75" customHeight="1">
      <x:c r="A64" s="11" t="s">
        <x:v>974</x:v>
      </x:c>
      <x:c r="B64" s="11" t="s">
        <x:v>975</x:v>
      </x:c>
      <x:c r="C64" s="11" t="s">
        <x:v>92</x:v>
      </x:c>
      <x:c r="D64" s="11" t="s">
        <x:v>508</x:v>
      </x:c>
      <x:c r="E64" s="11" t="s">
        <x:v>843</x:v>
      </x:c>
      <x:c r="F64" s="11" t="s">
        <x:v>976</x:v>
      </x:c>
      <x:c r="G64" s="11" t="s">
        <x:v>977</x:v>
      </x:c>
      <x:c r="H64" s="11" t="s">
        <x:v>24</x:v>
      </x:c>
      <x:c r="I64" s="11" t="s">
        <x:v>978</x:v>
      </x:c>
      <x:c r="J64" s="11" t="s">
        <x:v>979</x:v>
      </x:c>
      <x:c r="K64" s="11" t="s">
        <x:v>980</x:v>
      </x:c>
      <x:c r="L64" s="11" t="s">
        <x:v>981</x:v>
      </x:c>
      <x:c r="M64" s="11" t="s">
        <x:v>328</x:v>
      </x:c>
      <x:c r="N64" s="11">
        <x:v>5</x:v>
      </x:c>
      <x:c r="O64" s="11" t="s">
        <x:v>25</x:v>
      </x:c>
      <x:c r="P64" s="11" t="s">
        <x:v>982</x:v>
      </x:c>
      <x:c r="Q64" s="11" t="s">
        <x:v>983</x:v>
      </x:c>
      <x:c r="R64" s="11" t="s">
        <x:v>984</x:v>
      </x:c>
      <x:c r="S64" s="11">
        <x:v>5</x:v>
      </x:c>
      <x:c r="T64" s="11" t="s">
        <x:v>985</x:v>
      </x:c>
      <x:c r="U64" s="11" t="s">
        <x:v>986</x:v>
      </x:c>
      <x:c r="V64" s="11" t="s">
        <x:v>987</x:v>
      </x:c>
      <x:c r="W64" s="11"/>
      <x:c r="X64" s="11" t="s">
        <x:v>856</x:v>
      </x:c>
      <x:c r="Y64" s="11" t="s">
        <x:v>988</x:v>
      </x:c>
      <x:c r="Z64" s="11" t="s">
        <x:v>44</x:v>
      </x:c>
      <x:c r="AA64" s="11" t="s">
        <x:v>89</x:v>
      </x:c>
    </x:row>
    <x:row r="65" ht="12.75" customHeight="1">
      <x:c r="A65" s="11" t="s">
        <x:v>989</x:v>
      </x:c>
      <x:c r="B65" s="11" t="s">
        <x:v>975</x:v>
      </x:c>
      <x:c r="C65" s="11" t="s">
        <x:v>92</x:v>
      </x:c>
      <x:c r="D65" s="11" t="s">
        <x:v>508</x:v>
      </x:c>
      <x:c r="E65" s="11" t="s">
        <x:v>843</x:v>
      </x:c>
      <x:c r="F65" s="11" t="s">
        <x:v>976</x:v>
      </x:c>
      <x:c r="G65" s="11" t="s">
        <x:v>990</x:v>
      </x:c>
      <x:c r="H65" s="11" t="s">
        <x:v>24</x:v>
      </x:c>
      <x:c r="I65" s="11" t="s">
        <x:v>991</x:v>
      </x:c>
      <x:c r="J65" s="11" t="s">
        <x:v>992</x:v>
      </x:c>
      <x:c r="K65" s="11" t="s">
        <x:v>993</x:v>
      </x:c>
      <x:c r="L65" s="11" t="s">
        <x:v>994</x:v>
      </x:c>
      <x:c r="M65" s="11" t="s">
        <x:v>41</x:v>
      </x:c>
      <x:c r="N65" s="11">
        <x:v>5</x:v>
      </x:c>
      <x:c r="O65" s="11" t="s">
        <x:v>25</x:v>
      </x:c>
      <x:c r="P65" s="11" t="s">
        <x:v>995</x:v>
      </x:c>
      <x:c r="Q65" s="11" t="s">
        <x:v>996</x:v>
      </x:c>
      <x:c r="R65" s="11" t="s">
        <x:v>997</x:v>
      </x:c>
      <x:c r="S65" s="11">
        <x:v>5</x:v>
      </x:c>
      <x:c r="T65" s="11" t="s">
        <x:v>998</x:v>
      </x:c>
      <x:c r="U65" s="11" t="s">
        <x:v>999</x:v>
      </x:c>
      <x:c r="V65" s="11" t="s">
        <x:v>1000</x:v>
      </x:c>
      <x:c r="W65" s="11"/>
      <x:c r="X65" s="11" t="s">
        <x:v>856</x:v>
      </x:c>
      <x:c r="Y65" s="11" t="s">
        <x:v>1001</x:v>
      </x:c>
      <x:c r="Z65" s="11" t="s">
        <x:v>41</x:v>
      </x:c>
      <x:c r="AA65" s="11"/>
    </x:row>
    <x:row r="66" ht="12.75" customHeight="1">
      <x:c r="A66" s="11" t="s">
        <x:v>1002</x:v>
      </x:c>
      <x:c r="B66" s="11" t="s">
        <x:v>1003</x:v>
      </x:c>
      <x:c r="C66" s="11" t="s">
        <x:v>409</x:v>
      </x:c>
      <x:c r="D66" s="11" t="s">
        <x:v>508</x:v>
      </x:c>
      <x:c r="E66" s="11" t="s">
        <x:v>843</x:v>
      </x:c>
      <x:c r="F66" s="11" t="s">
        <x:v>976</x:v>
      </x:c>
      <x:c r="G66" s="11" t="s">
        <x:v>1004</x:v>
      </x:c>
      <x:c r="H66" s="11" t="s">
        <x:v>24</x:v>
      </x:c>
      <x:c r="I66" s="11" t="s">
        <x:v>1005</x:v>
      </x:c>
      <x:c r="J66" s="11" t="s">
        <x:v>1006</x:v>
      </x:c>
      <x:c r="K66" s="11" t="s">
        <x:v>993</x:v>
      </x:c>
      <x:c r="L66" s="11" t="s">
        <x:v>1007</x:v>
      </x:c>
      <x:c r="M66" s="11" t="s">
        <x:v>41</x:v>
      </x:c>
      <x:c r="N66" s="11">
        <x:v>4</x:v>
      </x:c>
      <x:c r="O66" s="11" t="s">
        <x:v>25</x:v>
      </x:c>
      <x:c r="P66" s="11" t="s">
        <x:v>1008</x:v>
      </x:c>
      <x:c r="Q66" s="11" t="s">
        <x:v>1009</x:v>
      </x:c>
      <x:c r="R66" s="11" t="s">
        <x:v>1010</x:v>
      </x:c>
      <x:c r="S66" s="11">
        <x:v>5</x:v>
      </x:c>
      <x:c r="T66" s="11" t="s">
        <x:v>1011</x:v>
      </x:c>
      <x:c r="U66" s="11" t="s">
        <x:v>1012</x:v>
      </x:c>
      <x:c r="V66" s="11" t="s">
        <x:v>1013</x:v>
      </x:c>
      <x:c r="W66" s="11"/>
      <x:c r="X66" s="11" t="s">
        <x:v>856</x:v>
      </x:c>
      <x:c r="Y66" s="11" t="s">
        <x:v>1014</x:v>
      </x:c>
      <x:c r="Z66" s="11" t="s">
        <x:v>37</x:v>
      </x:c>
      <x:c r="AA66" s="11"/>
    </x:row>
    <x:row r="67" ht="12.75" customHeight="1">
      <x:c r="A67" s="11" t="s">
        <x:v>1015</x:v>
      </x:c>
      <x:c r="B67" s="11" t="s">
        <x:v>1016</x:v>
      </x:c>
      <x:c r="C67" s="11" t="s">
        <x:v>92</x:v>
      </x:c>
      <x:c r="D67" s="11" t="s">
        <x:v>508</x:v>
      </x:c>
      <x:c r="E67" s="11" t="s">
        <x:v>843</x:v>
      </x:c>
      <x:c r="F67" s="11" t="s">
        <x:v>1017</x:v>
      </x:c>
      <x:c r="G67" s="11" t="s">
        <x:v>1018</x:v>
      </x:c>
      <x:c r="H67" s="11" t="s">
        <x:v>24</x:v>
      </x:c>
      <x:c r="I67" s="11" t="s">
        <x:v>1019</x:v>
      </x:c>
      <x:c r="J67" s="11" t="s">
        <x:v>1020</x:v>
      </x:c>
      <x:c r="K67" s="11" t="s">
        <x:v>1021</x:v>
      </x:c>
      <x:c r="L67" s="11" t="s">
        <x:v>1022</x:v>
      </x:c>
      <x:c r="M67" s="11" t="s">
        <x:v>328</x:v>
      </x:c>
      <x:c r="N67" s="11">
        <x:v>5</x:v>
      </x:c>
      <x:c r="O67" s="11" t="s">
        <x:v>25</x:v>
      </x:c>
      <x:c r="P67" s="11" t="s">
        <x:v>1023</x:v>
      </x:c>
      <x:c r="Q67" s="11" t="s">
        <x:v>1024</x:v>
      </x:c>
      <x:c r="R67" s="11" t="s">
        <x:v>1025</x:v>
      </x:c>
      <x:c r="S67" s="11">
        <x:v>5</x:v>
      </x:c>
      <x:c r="T67" s="11" t="s">
        <x:v>1026</x:v>
      </x:c>
      <x:c r="U67" s="11" t="s">
        <x:v>1027</x:v>
      </x:c>
      <x:c r="V67" s="11" t="s">
        <x:v>1028</x:v>
      </x:c>
      <x:c r="W67" s="11"/>
      <x:c r="X67" s="11" t="s">
        <x:v>856</x:v>
      </x:c>
      <x:c r="Y67" s="11" t="s">
        <x:v>1029</x:v>
      </x:c>
      <x:c r="Z67" s="11" t="s">
        <x:v>35</x:v>
      </x:c>
      <x:c r="AA67" s="11"/>
    </x:row>
    <x:row r="68" ht="12.75" customHeight="1">
      <x:c r="A68" s="11" t="s">
        <x:v>1030</x:v>
      </x:c>
      <x:c r="B68" s="11" t="s">
        <x:v>1031</x:v>
      </x:c>
      <x:c r="C68" s="11" t="s">
        <x:v>92</x:v>
      </x:c>
      <x:c r="D68" s="11" t="s">
        <x:v>508</x:v>
      </x:c>
      <x:c r="E68" s="11" t="s">
        <x:v>843</x:v>
      </x:c>
      <x:c r="F68" s="11" t="s">
        <x:v>1032</x:v>
      </x:c>
      <x:c r="G68" s="11" t="s">
        <x:v>1033</x:v>
      </x:c>
      <x:c r="H68" s="11" t="s">
        <x:v>24</x:v>
      </x:c>
      <x:c r="I68" s="11" t="s">
        <x:v>1034</x:v>
      </x:c>
      <x:c r="J68" s="11" t="s">
        <x:v>1035</x:v>
      </x:c>
      <x:c r="K68" s="11" t="s">
        <x:v>1036</x:v>
      </x:c>
      <x:c r="L68" s="11" t="s">
        <x:v>1037</x:v>
      </x:c>
      <x:c r="M68" s="11" t="s">
        <x:v>328</x:v>
      </x:c>
      <x:c r="N68" s="11">
        <x:v>4</x:v>
      </x:c>
      <x:c r="O68" s="11" t="s">
        <x:v>25</x:v>
      </x:c>
      <x:c r="P68" s="11" t="s">
        <x:v>1038</x:v>
      </x:c>
      <x:c r="Q68" s="11" t="s">
        <x:v>1039</x:v>
      </x:c>
      <x:c r="R68" s="11" t="s">
        <x:v>1040</x:v>
      </x:c>
      <x:c r="S68" s="11">
        <x:v>5</x:v>
      </x:c>
      <x:c r="T68" s="11" t="s">
        <x:v>1041</x:v>
      </x:c>
      <x:c r="U68" s="11" t="s">
        <x:v>1042</x:v>
      </x:c>
      <x:c r="V68" s="11" t="s">
        <x:v>1043</x:v>
      </x:c>
      <x:c r="W68" s="11"/>
      <x:c r="X68" s="11" t="s">
        <x:v>856</x:v>
      </x:c>
      <x:c r="Y68" s="11" t="s">
        <x:v>1044</x:v>
      </x:c>
      <x:c r="Z68" s="11" t="s">
        <x:v>35</x:v>
      </x:c>
      <x:c r="AA68" s="11"/>
    </x:row>
    <x:row r="69" ht="12.75" customHeight="1">
      <x:c r="A69" s="11" t="s">
        <x:v>1045</x:v>
      </x:c>
      <x:c r="B69" s="11" t="s">
        <x:v>1046</x:v>
      </x:c>
      <x:c r="C69" s="11" t="s">
        <x:v>92</x:v>
      </x:c>
      <x:c r="D69" s="11" t="s">
        <x:v>508</x:v>
      </x:c>
      <x:c r="E69" s="11" t="s">
        <x:v>843</x:v>
      </x:c>
      <x:c r="F69" s="11" t="s">
        <x:v>1047</x:v>
      </x:c>
      <x:c r="G69" s="11" t="s">
        <x:v>1048</x:v>
      </x:c>
      <x:c r="H69" s="11" t="s">
        <x:v>24</x:v>
      </x:c>
      <x:c r="I69" s="11" t="s">
        <x:v>1049</x:v>
      </x:c>
      <x:c r="J69" s="11" t="s">
        <x:v>1050</x:v>
      </x:c>
      <x:c r="K69" s="11" t="s">
        <x:v>1051</x:v>
      </x:c>
      <x:c r="L69" s="11" t="s">
        <x:v>1052</x:v>
      </x:c>
      <x:c r="M69" s="11" t="s">
        <x:v>39</x:v>
      </x:c>
      <x:c r="N69" s="11">
        <x:v>4</x:v>
      </x:c>
      <x:c r="O69" s="11" t="s">
        <x:v>25</x:v>
      </x:c>
      <x:c r="P69" s="11" t="s">
        <x:v>1053</x:v>
      </x:c>
      <x:c r="Q69" s="11" t="s">
        <x:v>1054</x:v>
      </x:c>
      <x:c r="R69" s="11" t="s">
        <x:v>1055</x:v>
      </x:c>
      <x:c r="S69" s="11">
        <x:v>5</x:v>
      </x:c>
      <x:c r="T69" s="11" t="s">
        <x:v>1056</x:v>
      </x:c>
      <x:c r="U69" s="11" t="s">
        <x:v>1057</x:v>
      </x:c>
      <x:c r="V69" s="11" t="s">
        <x:v>1058</x:v>
      </x:c>
      <x:c r="W69" s="11"/>
      <x:c r="X69" s="11" t="s">
        <x:v>856</x:v>
      </x:c>
      <x:c r="Y69" s="11" t="s">
        <x:v>1059</x:v>
      </x:c>
      <x:c r="Z69" s="11" t="s">
        <x:v>39</x:v>
      </x:c>
      <x:c r="AA69" s="11"/>
    </x:row>
    <x:row r="70" ht="12.75" customHeight="1">
      <x:c r="A70" s="11" t="s">
        <x:v>1060</x:v>
      </x:c>
      <x:c r="B70" s="11" t="s">
        <x:v>1046</x:v>
      </x:c>
      <x:c r="C70" s="11" t="s">
        <x:v>92</x:v>
      </x:c>
      <x:c r="D70" s="11" t="s">
        <x:v>508</x:v>
      </x:c>
      <x:c r="E70" s="11" t="s">
        <x:v>843</x:v>
      </x:c>
      <x:c r="F70" s="11" t="s">
        <x:v>1047</x:v>
      </x:c>
      <x:c r="G70" s="11" t="s">
        <x:v>1061</x:v>
      </x:c>
      <x:c r="H70" s="11" t="s">
        <x:v>24</x:v>
      </x:c>
      <x:c r="I70" s="11" t="s">
        <x:v>1062</x:v>
      </x:c>
      <x:c r="J70" s="11" t="s">
        <x:v>1063</x:v>
      </x:c>
      <x:c r="K70" s="11" t="s">
        <x:v>1064</x:v>
      </x:c>
      <x:c r="L70" s="11" t="s">
        <x:v>1065</x:v>
      </x:c>
      <x:c r="M70" s="11" t="s">
        <x:v>328</x:v>
      </x:c>
      <x:c r="N70" s="11">
        <x:v>5</x:v>
      </x:c>
      <x:c r="O70" s="11" t="s">
        <x:v>27</x:v>
      </x:c>
      <x:c r="P70" s="11" t="s">
        <x:v>1066</x:v>
      </x:c>
      <x:c r="Q70" s="11" t="s">
        <x:v>1067</x:v>
      </x:c>
      <x:c r="R70" s="11" t="s">
        <x:v>1068</x:v>
      </x:c>
      <x:c r="S70" s="11">
        <x:v>5</x:v>
      </x:c>
      <x:c r="T70" s="11" t="s">
        <x:v>1069</x:v>
      </x:c>
      <x:c r="U70" s="11" t="s">
        <x:v>1070</x:v>
      </x:c>
      <x:c r="V70" s="11" t="s">
        <x:v>1071</x:v>
      </x:c>
      <x:c r="W70" s="11"/>
      <x:c r="X70" s="11" t="s">
        <x:v>856</x:v>
      </x:c>
      <x:c r="Y70" s="11" t="s">
        <x:v>1072</x:v>
      </x:c>
      <x:c r="Z70" s="11" t="s">
        <x:v>44</x:v>
      </x:c>
      <x:c r="AA70" s="11" t="s">
        <x:v>89</x:v>
      </x:c>
    </x:row>
    <x:row r="71" ht="12.75" customHeight="1">
      <x:c r="A71" s="11" t="s">
        <x:v>1073</x:v>
      </x:c>
      <x:c r="B71" s="11" t="s">
        <x:v>1046</x:v>
      </x:c>
      <x:c r="C71" s="11" t="s">
        <x:v>92</x:v>
      </x:c>
      <x:c r="D71" s="11" t="s">
        <x:v>508</x:v>
      </x:c>
      <x:c r="E71" s="11" t="s">
        <x:v>843</x:v>
      </x:c>
      <x:c r="F71" s="11" t="s">
        <x:v>1074</x:v>
      </x:c>
      <x:c r="G71" s="11" t="s">
        <x:v>1075</x:v>
      </x:c>
      <x:c r="H71" s="11" t="s">
        <x:v>24</x:v>
      </x:c>
      <x:c r="I71" s="11" t="s">
        <x:v>1076</x:v>
      </x:c>
      <x:c r="J71" s="11" t="s">
        <x:v>1077</x:v>
      </x:c>
      <x:c r="K71" s="11" t="s">
        <x:v>1078</x:v>
      </x:c>
      <x:c r="L71" s="11" t="s">
        <x:v>1079</x:v>
      </x:c>
      <x:c r="M71" s="11" t="s">
        <x:v>41</x:v>
      </x:c>
      <x:c r="N71" s="11">
        <x:v>5</x:v>
      </x:c>
      <x:c r="O71" s="11" t="s">
        <x:v>27</x:v>
      </x:c>
      <x:c r="P71" s="11" t="s">
        <x:v>1080</x:v>
      </x:c>
      <x:c r="Q71" s="11" t="s">
        <x:v>1081</x:v>
      </x:c>
      <x:c r="R71" s="11" t="s">
        <x:v>1082</x:v>
      </x:c>
      <x:c r="S71" s="11">
        <x:v>5</x:v>
      </x:c>
      <x:c r="T71" s="11" t="s">
        <x:v>1083</x:v>
      </x:c>
      <x:c r="U71" s="11" t="s">
        <x:v>1084</x:v>
      </x:c>
      <x:c r="V71" s="11" t="s">
        <x:v>1085</x:v>
      </x:c>
      <x:c r="W71" s="11"/>
      <x:c r="X71" s="11" t="s">
        <x:v>856</x:v>
      </x:c>
      <x:c r="Y71" s="11" t="s">
        <x:v>1086</x:v>
      </x:c>
      <x:c r="Z71" s="11" t="s">
        <x:v>41</x:v>
      </x:c>
      <x:c r="AA71" s="11"/>
    </x:row>
    <x:row r="72" ht="12.75" customHeight="1">
      <x:c r="A72" s="11" t="s">
        <x:v>1087</x:v>
      </x:c>
      <x:c r="B72" s="11" t="s">
        <x:v>1088</x:v>
      </x:c>
      <x:c r="C72" s="11" t="s">
        <x:v>71</x:v>
      </x:c>
      <x:c r="D72" s="11" t="s">
        <x:v>749</x:v>
      </x:c>
      <x:c r="E72" s="11" t="s">
        <x:v>1089</x:v>
      </x:c>
      <x:c r="F72" s="11" t="s">
        <x:v>1090</x:v>
      </x:c>
      <x:c r="G72" s="11" t="s">
        <x:v>1091</x:v>
      </x:c>
      <x:c r="H72" s="11" t="s">
        <x:v>24</x:v>
      </x:c>
      <x:c r="I72" s="11" t="s">
        <x:v>1092</x:v>
      </x:c>
      <x:c r="J72" s="11" t="s">
        <x:v>1093</x:v>
      </x:c>
      <x:c r="K72" s="11" t="s">
        <x:v>1094</x:v>
      </x:c>
      <x:c r="L72" s="11" t="s">
        <x:v>1095</x:v>
      </x:c>
      <x:c r="M72" s="11" t="s">
        <x:v>41</x:v>
      </x:c>
      <x:c r="N72" s="11">
        <x:v>4</x:v>
      </x:c>
      <x:c r="O72" s="11" t="s">
        <x:v>27</x:v>
      </x:c>
      <x:c r="P72" s="11" t="s">
        <x:v>1096</x:v>
      </x:c>
      <x:c r="Q72" s="11" t="s">
        <x:v>1097</x:v>
      </x:c>
      <x:c r="R72" s="11" t="s">
        <x:v>1098</x:v>
      </x:c>
      <x:c r="S72" s="11">
        <x:v>5</x:v>
      </x:c>
      <x:c r="T72" s="11" t="s">
        <x:v>1099</x:v>
      </x:c>
      <x:c r="U72" s="11" t="s">
        <x:v>1100</x:v>
      </x:c>
      <x:c r="V72" s="11" t="s">
        <x:v>1101</x:v>
      </x:c>
      <x:c r="W72" s="11"/>
      <x:c r="X72" s="11" t="s">
        <x:v>856</x:v>
      </x:c>
      <x:c r="Y72" s="11" t="s">
        <x:v>1102</x:v>
      </x:c>
      <x:c r="Z72" s="11" t="s">
        <x:v>41</x:v>
      </x:c>
      <x:c r="AA72" s="11"/>
    </x:row>
    <x:row r="73" ht="12.75" customHeight="1">
      <x:c r="A73" s="11" t="s">
        <x:v>1103</x:v>
      </x:c>
      <x:c r="B73" s="11" t="s">
        <x:v>1104</x:v>
      </x:c>
      <x:c r="C73" s="11" t="s">
        <x:v>92</x:v>
      </x:c>
      <x:c r="D73" s="11" t="s">
        <x:v>235</x:v>
      </x:c>
      <x:c r="E73" s="11" t="s">
        <x:v>272</x:v>
      </x:c>
      <x:c r="F73" s="11" t="s">
        <x:v>1105</x:v>
      </x:c>
      <x:c r="G73" s="11" t="s">
        <x:v>1106</x:v>
      </x:c>
      <x:c r="H73" s="11" t="s">
        <x:v>24</x:v>
      </x:c>
      <x:c r="I73" s="11" t="s">
        <x:v>1107</x:v>
      </x:c>
      <x:c r="J73" s="11" t="s">
        <x:v>1108</x:v>
      </x:c>
      <x:c r="K73" s="11" t="s">
        <x:v>1109</x:v>
      </x:c>
      <x:c r="L73" s="11" t="s">
        <x:v>1110</x:v>
      </x:c>
      <x:c r="M73" s="11" t="s">
        <x:v>328</x:v>
      </x:c>
      <x:c r="N73" s="11">
        <x:v>4</x:v>
      </x:c>
      <x:c r="O73" s="11" t="s">
        <x:v>27</x:v>
      </x:c>
      <x:c r="P73" s="11" t="s">
        <x:v>1111</x:v>
      </x:c>
      <x:c r="Q73" s="11" t="s">
        <x:v>1112</x:v>
      </x:c>
      <x:c r="R73" s="11" t="s">
        <x:v>1113</x:v>
      </x:c>
      <x:c r="S73" s="11">
        <x:v>4</x:v>
      </x:c>
      <x:c r="T73" s="11" t="s">
        <x:v>1114</x:v>
      </x:c>
      <x:c r="U73" s="11" t="s">
        <x:v>1115</x:v>
      </x:c>
      <x:c r="V73" s="11" t="s">
        <x:v>1116</x:v>
      </x:c>
      <x:c r="W73" s="11" t="s">
        <x:v>1117</x:v>
      </x:c>
      <x:c r="X73" s="11" t="s">
        <x:v>268</x:v>
      </x:c>
      <x:c r="Y73" s="11" t="s">
        <x:v>1118</x:v>
      </x:c>
      <x:c r="Z73" s="11" t="s">
        <x:v>35</x:v>
      </x:c>
      <x:c r="AA73" s="11"/>
    </x:row>
    <x:row r="74" ht="12.75" customHeight="1">
      <x:c r="A74" s="11" t="s">
        <x:v>1119</x:v>
      </x:c>
      <x:c r="B74" s="11" t="s">
        <x:v>1120</x:v>
      </x:c>
      <x:c r="C74" s="11" t="s">
        <x:v>71</x:v>
      </x:c>
      <x:c r="D74" s="11" t="s">
        <x:v>749</x:v>
      </x:c>
      <x:c r="E74" s="11" t="s">
        <x:v>827</x:v>
      </x:c>
      <x:c r="F74" s="11" t="s">
        <x:v>1121</x:v>
      </x:c>
      <x:c r="G74" s="11" t="s">
        <x:v>1122</x:v>
      </x:c>
      <x:c r="H74" s="11" t="s">
        <x:v>28</x:v>
      </x:c>
      <x:c r="I74" s="11" t="s">
        <x:v>1123</x:v>
      </x:c>
      <x:c r="J74" s="11" t="s">
        <x:v>1124</x:v>
      </x:c>
      <x:c r="K74" s="11" t="s">
        <x:v>1125</x:v>
      </x:c>
      <x:c r="L74" s="11" t="s">
        <x:v>1126</x:v>
      </x:c>
      <x:c r="M74" s="11" t="s">
        <x:v>328</x:v>
      </x:c>
      <x:c r="N74" s="11">
        <x:v>5</x:v>
      </x:c>
      <x:c r="O74" s="11" t="s">
        <x:v>27</x:v>
      </x:c>
      <x:c r="P74" s="11" t="s">
        <x:v>1127</x:v>
      </x:c>
      <x:c r="Q74" s="11" t="s">
        <x:v>1128</x:v>
      </x:c>
      <x:c r="R74" s="11" t="s">
        <x:v>1129</x:v>
      </x:c>
      <x:c r="S74" s="11">
        <x:v>5</x:v>
      </x:c>
      <x:c r="T74" s="11" t="s">
        <x:v>1130</x:v>
      </x:c>
      <x:c r="U74" s="11" t="s">
        <x:v>1131</x:v>
      </x:c>
      <x:c r="V74" s="11" t="s">
        <x:v>1132</x:v>
      </x:c>
      <x:c r="W74" s="11"/>
      <x:c r="X74" s="11"/>
      <x:c r="Y74" s="11" t="s">
        <x:v>1133</x:v>
      </x:c>
      <x:c r="Z74" s="11" t="s">
        <x:v>43</x:v>
      </x:c>
      <x:c r="AA74" s="11"/>
    </x:row>
    <x:row r="75" ht="12.75" customHeight="1">
      <x:c r="A75" s="11" t="s">
        <x:v>1134</x:v>
      </x:c>
      <x:c r="B75" s="11" t="s">
        <x:v>1120</x:v>
      </x:c>
      <x:c r="C75" s="11" t="s">
        <x:v>71</x:v>
      </x:c>
      <x:c r="D75" s="11" t="s">
        <x:v>508</x:v>
      </x:c>
      <x:c r="E75" s="11" t="s">
        <x:v>827</x:v>
      </x:c>
      <x:c r="F75" s="11" t="s">
        <x:v>1135</x:v>
      </x:c>
      <x:c r="G75" s="11" t="s">
        <x:v>1136</x:v>
      </x:c>
      <x:c r="H75" s="11" t="s">
        <x:v>28</x:v>
      </x:c>
      <x:c r="I75" s="11" t="s">
        <x:v>1137</x:v>
      </x:c>
      <x:c r="J75" s="11" t="s">
        <x:v>1138</x:v>
      </x:c>
      <x:c r="K75" s="11" t="s">
        <x:v>1139</x:v>
      </x:c>
      <x:c r="L75" s="11" t="s">
        <x:v>1140</x:v>
      </x:c>
      <x:c r="M75" s="11" t="s">
        <x:v>328</x:v>
      </x:c>
      <x:c r="N75" s="11">
        <x:v>5</x:v>
      </x:c>
      <x:c r="O75" s="11" t="s">
        <x:v>27</x:v>
      </x:c>
      <x:c r="P75" s="11" t="s">
        <x:v>995</x:v>
      </x:c>
      <x:c r="Q75" s="11" t="s">
        <x:v>996</x:v>
      </x:c>
      <x:c r="R75" s="11" t="s">
        <x:v>997</x:v>
      </x:c>
      <x:c r="S75" s="11">
        <x:v>5</x:v>
      </x:c>
      <x:c r="T75" s="11" t="s">
        <x:v>1141</x:v>
      </x:c>
      <x:c r="U75" s="11" t="s">
        <x:v>1142</x:v>
      </x:c>
      <x:c r="V75" s="11" t="s">
        <x:v>1143</x:v>
      </x:c>
      <x:c r="W75" s="11"/>
      <x:c r="X75" s="11"/>
      <x:c r="Y75" s="11" t="s">
        <x:v>1144</x:v>
      </x:c>
      <x:c r="Z75" s="11" t="s">
        <x:v>43</x:v>
      </x:c>
      <x:c r="AA75" s="11"/>
    </x:row>
    <x:row r="76" ht="12.75" customHeight="1">
      <x:c r="A76" s="11" t="s">
        <x:v>1145</x:v>
      </x:c>
      <x:c r="B76" s="11" t="s">
        <x:v>1120</x:v>
      </x:c>
      <x:c r="C76" s="11" t="s">
        <x:v>71</x:v>
      </x:c>
      <x:c r="D76" s="11" t="s">
        <x:v>508</x:v>
      </x:c>
      <x:c r="E76" s="11" t="s">
        <x:v>1146</x:v>
      </x:c>
      <x:c r="F76" s="11" t="s">
        <x:v>1147</x:v>
      </x:c>
      <x:c r="G76" s="11" t="s">
        <x:v>1148</x:v>
      </x:c>
      <x:c r="H76" s="11" t="s">
        <x:v>28</x:v>
      </x:c>
      <x:c r="I76" s="11" t="s">
        <x:v>1149</x:v>
      </x:c>
      <x:c r="J76" s="11" t="s">
        <x:v>1150</x:v>
      </x:c>
      <x:c r="K76" s="11" t="s">
        <x:v>1151</x:v>
      </x:c>
      <x:c r="L76" s="11" t="s">
        <x:v>1152</x:v>
      </x:c>
      <x:c r="M76" s="11" t="s">
        <x:v>41</x:v>
      </x:c>
      <x:c r="N76" s="11">
        <x:v>4</x:v>
      </x:c>
      <x:c r="O76" s="11" t="s">
        <x:v>27</x:v>
      </x:c>
      <x:c r="P76" s="11" t="s">
        <x:v>995</x:v>
      </x:c>
      <x:c r="Q76" s="11" t="s">
        <x:v>996</x:v>
      </x:c>
      <x:c r="R76" s="11" t="s">
        <x:v>997</x:v>
      </x:c>
      <x:c r="S76" s="11">
        <x:v>5</x:v>
      </x:c>
      <x:c r="T76" s="11" t="s">
        <x:v>1153</x:v>
      </x:c>
      <x:c r="U76" s="11" t="s">
        <x:v>1154</x:v>
      </x:c>
      <x:c r="V76" s="11" t="s">
        <x:v>1155</x:v>
      </x:c>
      <x:c r="W76" s="11"/>
      <x:c r="X76" s="11" t="s">
        <x:v>856</x:v>
      </x:c>
      <x:c r="Y76" s="11" t="s">
        <x:v>1156</x:v>
      </x:c>
      <x:c r="Z76" s="11" t="s">
        <x:v>41</x:v>
      </x:c>
      <x:c r="AA76" s="11"/>
    </x:row>
    <x:row r="77" ht="12.75" customHeight="1">
      <x:c r="A77" s="11" t="s">
        <x:v>1157</x:v>
      </x:c>
      <x:c r="B77" s="11" t="s">
        <x:v>1158</x:v>
      </x:c>
      <x:c r="C77" s="11" t="s">
        <x:v>71</x:v>
      </x:c>
      <x:c r="D77" s="11" t="s">
        <x:v>1159</x:v>
      </x:c>
      <x:c r="E77" s="11" t="s">
        <x:v>827</x:v>
      </x:c>
      <x:c r="F77" s="11" t="s">
        <x:v>1160</x:v>
      </x:c>
      <x:c r="G77" s="11" t="s">
        <x:v>1161</x:v>
      </x:c>
      <x:c r="H77" s="11" t="s">
        <x:v>24</x:v>
      </x:c>
      <x:c r="I77" s="11" t="s">
        <x:v>1162</x:v>
      </x:c>
      <x:c r="J77" s="11" t="s">
        <x:v>1163</x:v>
      </x:c>
      <x:c r="K77" s="11" t="s">
        <x:v>1164</x:v>
      </x:c>
      <x:c r="L77" s="11" t="s">
        <x:v>1165</x:v>
      </x:c>
      <x:c r="M77" s="11" t="s">
        <x:v>416</x:v>
      </x:c>
      <x:c r="N77" s="11">
        <x:v>4</x:v>
      </x:c>
      <x:c r="O77" s="11" t="s">
        <x:v>27</x:v>
      </x:c>
      <x:c r="P77" s="11" t="s">
        <x:v>1096</x:v>
      </x:c>
      <x:c r="Q77" s="11" t="s">
        <x:v>1097</x:v>
      </x:c>
      <x:c r="R77" s="11" t="s">
        <x:v>1098</x:v>
      </x:c>
      <x:c r="S77" s="11">
        <x:v>4</x:v>
      </x:c>
      <x:c r="T77" s="11" t="s">
        <x:v>1166</x:v>
      </x:c>
      <x:c r="U77" s="11" t="s">
        <x:v>1167</x:v>
      </x:c>
      <x:c r="V77" s="11" t="s">
        <x:v>1168</x:v>
      </x:c>
      <x:c r="W77" s="11" t="s">
        <x:v>1169</x:v>
      </x:c>
      <x:c r="X77" s="11"/>
      <x:c r="Y77" s="11" t="s">
        <x:v>1170</x:v>
      </x:c>
      <x:c r="Z77" s="11" t="s">
        <x:v>41</x:v>
      </x:c>
      <x:c r="AA77" s="11"/>
    </x:row>
    <x:row r="78" ht="12.75" customHeight="1">
      <x:c r="A78" s="11" t="s">
        <x:v>1171</x:v>
      </x:c>
      <x:c r="B78" s="11" t="s">
        <x:v>1172</x:v>
      </x:c>
      <x:c r="C78" s="11" t="s">
        <x:v>71</x:v>
      </x:c>
      <x:c r="D78" s="11" t="s">
        <x:v>508</x:v>
      </x:c>
      <x:c r="E78" s="11" t="s">
        <x:v>1173</x:v>
      </x:c>
      <x:c r="F78" s="11" t="s">
        <x:v>1174</x:v>
      </x:c>
      <x:c r="G78" s="11" t="s">
        <x:v>1175</x:v>
      </x:c>
      <x:c r="H78" s="11" t="s">
        <x:v>28</x:v>
      </x:c>
      <x:c r="I78" s="11" t="s">
        <x:v>1176</x:v>
      </x:c>
      <x:c r="J78" s="11" t="s">
        <x:v>1177</x:v>
      </x:c>
      <x:c r="K78" s="11" t="s">
        <x:v>1178</x:v>
      </x:c>
      <x:c r="L78" s="11" t="s">
        <x:v>1179</x:v>
      </x:c>
      <x:c r="M78" s="11" t="s">
        <x:v>296</x:v>
      </x:c>
      <x:c r="N78" s="11">
        <x:v>3</x:v>
      </x:c>
      <x:c r="O78" s="11" t="s">
        <x:v>27</x:v>
      </x:c>
      <x:c r="P78" s="11" t="s">
        <x:v>1127</x:v>
      </x:c>
      <x:c r="Q78" s="11" t="s">
        <x:v>1128</x:v>
      </x:c>
      <x:c r="R78" s="11" t="s">
        <x:v>1129</x:v>
      </x:c>
      <x:c r="S78" s="11">
        <x:v>5</x:v>
      </x:c>
      <x:c r="T78" s="11" t="s">
        <x:v>1180</x:v>
      </x:c>
      <x:c r="U78" s="11" t="s">
        <x:v>1181</x:v>
      </x:c>
      <x:c r="V78" s="11" t="s">
        <x:v>1182</x:v>
      </x:c>
      <x:c r="W78" s="11"/>
      <x:c r="X78" s="11"/>
      <x:c r="Y78" s="11" t="s">
        <x:v>1183</x:v>
      </x:c>
      <x:c r="Z78" s="11" t="s">
        <x:v>43</x:v>
      </x:c>
      <x:c r="AA78" s="11"/>
    </x:row>
    <x:row r="79" ht="12.75" customHeight="1">
      <x:c r="A79" s="11" t="s">
        <x:v>1184</x:v>
      </x:c>
      <x:c r="B79" s="11" t="s">
        <x:v>1185</x:v>
      </x:c>
      <x:c r="C79" s="11" t="s">
        <x:v>71</x:v>
      </x:c>
      <x:c r="D79" s="11" t="s">
        <x:v>141</x:v>
      </x:c>
      <x:c r="E79" s="11" t="s">
        <x:v>1186</x:v>
      </x:c>
      <x:c r="F79" s="11" t="s">
        <x:v>1187</x:v>
      </x:c>
      <x:c r="G79" s="11" t="s">
        <x:v>1188</x:v>
      </x:c>
      <x:c r="H79" s="11" t="s">
        <x:v>24</x:v>
      </x:c>
      <x:c r="I79" s="11" t="s">
        <x:v>1189</x:v>
      </x:c>
      <x:c r="J79" s="11" t="s">
        <x:v>1190</x:v>
      </x:c>
      <x:c r="K79" s="11" t="s">
        <x:v>1191</x:v>
      </x:c>
      <x:c r="L79" s="11" t="s">
        <x:v>1192</x:v>
      </x:c>
      <x:c r="M79" s="11" t="s">
        <x:v>39</x:v>
      </x:c>
      <x:c r="N79" s="11">
        <x:v>5</x:v>
      </x:c>
      <x:c r="O79" s="11" t="s">
        <x:v>27</x:v>
      </x:c>
      <x:c r="P79" s="11" t="s">
        <x:v>1193</x:v>
      </x:c>
      <x:c r="Q79" s="11" t="s">
        <x:v>1194</x:v>
      </x:c>
      <x:c r="R79" s="11" t="s">
        <x:v>1195</x:v>
      </x:c>
      <x:c r="S79" s="11">
        <x:v>5</x:v>
      </x:c>
      <x:c r="T79" s="11" t="s">
        <x:v>1196</x:v>
      </x:c>
      <x:c r="U79" s="11" t="s">
        <x:v>1197</x:v>
      </x:c>
      <x:c r="V79" s="11" t="s">
        <x:v>1198</x:v>
      </x:c>
      <x:c r="W79" s="11" t="s">
        <x:v>1199</x:v>
      </x:c>
      <x:c r="X79" s="11" t="s">
        <x:v>1200</x:v>
      </x:c>
      <x:c r="Y79" s="11" t="s">
        <x:v>1201</x:v>
      </x:c>
      <x:c r="Z79" s="11" t="s">
        <x:v>39</x:v>
      </x:c>
      <x:c r="AA79" s="11"/>
    </x:row>
    <x:row r="80" ht="12.75" customHeight="1">
      <x:c r="A80" s="28" t="str">
        <x:v>PL-HIST-0079</x:v>
      </x:c>
      <x:c r="B80" s="28" t="str">
        <x:v>1889</x:v>
      </x:c>
      <x:c r="C80" s="28" t="str">
        <x:v>год</x:v>
      </x:c>
      <x:c r="D80" s="28" t="str">
        <x:v>США</x:v>
      </x:c>
      <x:c r="E80" s="28" t="str">
        <x:v>Рочестер, Нью-Йорк</x:v>
      </x:c>
      <x:c r="F80" s="28" t="str">
        <x:v>Джордж Истмен / Eastman Kodak</x:v>
      </x:c>
      <x:c r="G80" s="28" t="str">
        <x:v>Промышленная прозрачная рулонная плёнка Eastman создаёт гибкий носитель, из которого вскоре вырастет киноформат 35 мм.</x:v>
      </x:c>
      <x:c r="H80" s="28" t="str">
        <x:v>Негатив-позитив</x:v>
      </x:c>
      <x:c r="I80" s="28" t="str">
        <x:v>Transparent roll film</x:v>
      </x:c>
      <x:c r="J80" s="28" t="str">
        <x:v>Плёнка становится не только альтернативой стеклянной пластине, но и материалом для длинной последовательности кадров.</x:v>
      </x:c>
      <x:c r="K80" s="28" t="str">
        <x:v>Рулонная плёнка Kodak 1888–1889</x:v>
      </x:c>
      <x:c r="L80" s="28" t="str">
        <x:v>Edison/Dickson use flexible film for motion-picture camera</x:v>
      </x:c>
      <x:c r="M80" s="28" t="str">
        <x:v>Связь / переход</x:v>
      </x:c>
      <x:c r="N80" s="28" t="n">
        <x:v>5</x:v>
      </x:c>
      <x:c r="O80" s="28" t="str">
        <x:v>PL-009</x:v>
      </x:c>
      <x:c r="P80" s="28" t="str">
        <x:v>SRC-052</x:v>
      </x:c>
      <x:c r="Q80" s="28" t="str">
        <x:v>Kodak — Motion Picture History</x:v>
      </x:c>
      <x:c r="R80" s="28" t="str">
        <x:v>https://www.kodak.com/en/company/page/motion-picture-history/</x:v>
      </x:c>
      <x:c r="S80" s="28" t="n">
        <x:v>5</x:v>
      </x:c>
      <x:c r="T80" s="28" t="str">
        <x:v>Для PL-009 важно показать: 35 мм родился не сразу как фотоплёнка для фотоаппарата, а через кинематографический носитель.</x:v>
      </x:c>
      <x:c r="U80" s="28" t="str">
        <x:v>Рулон прозрачной плёнки превращается в длинную дорожку кадров.</x:v>
      </x:c>
      <x:c r="V80" s="28" t="str">
        <x:v>#PL009 #35mm #transparent-film #Eastman #cinema-roots</x:v>
      </x:c>
      <x:c r="W80" s="28"/>
      <x:c r="X80" s="28" t="str">
        <x:v>43.1566, -77.6088</x:v>
      </x:c>
      <x:c r="Y80" s="28" t="str">
        <x:v>35 мм / прозрачная рулонная плёнка</x:v>
      </x:c>
      <x:c r="Z80" s="28" t="str">
        <x:v>Связь / переход</x:v>
      </x:c>
      <x:c r="AA80" s="28"/>
    </x:row>
    <x:row r="81" ht="12.75" customHeight="1">
      <x:c r="A81" s="28" t="str">
        <x:v>PL-HIST-0080</x:v>
      </x:c>
      <x:c r="B81" s="28" t="str">
        <x:v>1891</x:v>
      </x:c>
      <x:c r="C81" s="28" t="str">
        <x:v>год</x:v>
      </x:c>
      <x:c r="D81" s="28" t="str">
        <x:v>США</x:v>
      </x:c>
      <x:c r="E81" s="28" t="str">
        <x:v>Вест-Ориндж, Нью-Джерси</x:v>
      </x:c>
      <x:c r="F81" s="28" t="str">
        <x:v>Томас Эдисон / Уильям К. Л. Диксон</x:v>
      </x:c>
      <x:c r="G81" s="28" t="str">
        <x:v>В лаборатории Эдисона разрабатываются Kinetograph и Kinetoscope; в патентной логике ширина плёнки фиксируется как 35 мм.</x:v>
      </x:c>
      <x:c r="H81" s="28" t="str">
        <x:v>Проекция / распространение</x:v>
      </x:c>
      <x:c r="I81" s="28" t="str">
        <x:v>Kinetograph / Kinetoscope 35 mm film</x:v>
      </x:c>
      <x:c r="J81" s="28" t="str">
        <x:v>35 мм начинает работать как практический формат для записи и показа движущегося изображения.</x:v>
      </x:c>
      <x:c r="K81" s="28" t="str">
        <x:v>Прозрачная рулонная плёнка Eastman</x:v>
      </x:c>
      <x:c r="L81" s="28" t="str">
        <x:v>35 мм закрепляется в кино как рабочий стандарт</x:v>
      </x:c>
      <x:c r="M81" s="28" t="str">
        <x:v>Главная линия</x:v>
      </x:c>
      <x:c r="N81" s="28" t="n">
        <x:v>5</x:v>
      </x:c>
      <x:c r="O81" s="28" t="str">
        <x:v>PL-009</x:v>
      </x:c>
      <x:c r="P81" s="28" t="str">
        <x:v>SRC-053</x:v>
      </x:c>
      <x:c r="Q81" s="28" t="str">
        <x:v>Library of Congress — Origins of Motion Pictures</x:v>
      </x:c>
      <x:c r="R81" s="28" t="str">
        <x:v>https://www.loc.gov/collections/edison-company-motion-pictures-and-sound-recordings/articles-and-essays/history-of-edison-motion-pictures/origins-of-motion-pictures/</x:v>
      </x:c>
      <x:c r="S81" s="28" t="n">
        <x:v>5</x:v>
      </x:c>
      <x:c r="T81" s="28" t="str">
        <x:v>Объяснить аккуратно: это ещё не фотоаппарат Leica, а кинематографический стандарт, который позже будет переосмыслен фотографией.</x:v>
      </x:c>
      <x:c r="U81" s="28" t="str">
        <x:v>Лаборатория Эдисона: лента плёнки проходит через механизм с перфорацией.</x:v>
      </x:c>
      <x:c r="V81" s="28" t="str">
        <x:v>#PL009 #Edison #Dickson #Kinetograph #35mm</x:v>
      </x:c>
      <x:c r="W81" s="28"/>
      <x:c r="X81" s="28" t="str">
        <x:v>40.7987, -74.2390</x:v>
      </x:c>
      <x:c r="Y81" s="28" t="str">
        <x:v>35 мм / киноистоки</x:v>
      </x:c>
      <x:c r="Z81" s="28" t="str">
        <x:v>Технология / процесс</x:v>
      </x:c>
      <x:c r="AA81" s="28"/>
    </x:row>
    <x:row r="82" ht="12.75" customHeight="1">
      <x:c r="A82" s="28" t="str">
        <x:v>PL-HIST-0081</x:v>
      </x:c>
      <x:c r="B82" s="28" t="str">
        <x:v>1890-е</x:v>
      </x:c>
      <x:c r="C82" s="28" t="str">
        <x:v>диапазон</x:v>
      </x:c>
      <x:c r="D82" s="28" t="str">
        <x:v>США</x:v>
      </x:c>
      <x:c r="E82" s="28" t="str">
        <x:v>Вест-Ориндж, Нью-Джерси</x:v>
      </x:c>
      <x:c r="F82" s="28" t="str">
        <x:v>Уильям К. Л. Диксон / Kodak</x:v>
      </x:c>
      <x:c r="G82" s="28" t="str">
        <x:v>Диксон использует прозрачную плёнку Kodak шириной 70 мм, разрезает её пополам до 35 мм и перфорирует для Edison Kinetoscope.</x:v>
      </x:c>
      <x:c r="H82" s="28" t="str">
        <x:v>Проекция / распространение</x:v>
      </x:c>
      <x:c r="I82" s="28" t="str">
        <x:v>35 mm perforated motion-picture film</x:v>
      </x:c>
      <x:c r="J82" s="28" t="str">
        <x:v>Появляется физическая логика формата: узкая гибкая лента, перфорация, кадры, механическая протяжка.</x:v>
      </x:c>
      <x:c r="K82" s="28" t="str">
        <x:v>Transparent Kodak film</x:v>
      </x:c>
      <x:c r="L82" s="28" t="str">
        <x:v>International 35 mm motion-picture practice</x:v>
      </x:c>
      <x:c r="M82" s="28" t="str">
        <x:v>Главная линия</x:v>
      </x:c>
      <x:c r="N82" s="28" t="n">
        <x:v>5</x:v>
      </x:c>
      <x:c r="O82" s="28" t="str">
        <x:v>PL-009</x:v>
      </x:c>
      <x:c r="P82" s="28" t="str">
        <x:v>SRC-054</x:v>
      </x:c>
      <x:c r="Q82" s="28" t="str">
        <x:v>George Eastman Museum — Early Kodak transparent film</x:v>
      </x:c>
      <x:c r="R82" s="28" t="str">
        <x:v>https://www.eastman.org/two-rare-rolls-early-kodak-film-acquired-george-eastman-museum</x:v>
      </x:c>
      <x:c r="S82" s="28" t="n">
        <x:v>5</x:v>
      </x:c>
      <x:c r="T82" s="28" t="str">
        <x:v>Это красивый узел для карты: 70 мм делится пополам — и рождается 35-мм дорожка.</x:v>
      </x:c>
      <x:c r="U82" s="28" t="str">
        <x:v>70-мм рулон плёнки разрезан на две 35-мм ленты с перфорацией.</x:v>
      </x:c>
      <x:c r="V82" s="28" t="str">
        <x:v>#PL009 #Dickson #Kodak #perforation #35mm-film</x:v>
      </x:c>
      <x:c r="W82" s="28" t="str">
        <x:v>Проверить формулировку периода: точный год разрезания 70 мм на 35 мм в разных источниках может отличаться.</x:v>
      </x:c>
      <x:c r="X82" s="28" t="str">
        <x:v>40.7987, -74.2390</x:v>
      </x:c>
      <x:c r="Y82" s="28" t="str">
        <x:v>35 мм / ширина и перфорация</x:v>
      </x:c>
      <x:c r="Z82" s="28" t="str">
        <x:v>Ключевой исторический узел</x:v>
      </x:c>
      <x:c r="AA82" s="28"/>
    </x:row>
    <x:row r="83" ht="12.75" customHeight="1">
      <x:c r="A83" s="28" t="str">
        <x:v>PL-HIST-0082</x:v>
      </x:c>
      <x:c r="B83" s="28" t="str">
        <x:v>1893–1894</x:v>
      </x:c>
      <x:c r="C83" s="28" t="str">
        <x:v>диапазон</x:v>
      </x:c>
      <x:c r="D83" s="28" t="str">
        <x:v>США</x:v>
      </x:c>
      <x:c r="E83" s="28" t="str">
        <x:v>Вест-Ориндж / Нью-Йорк</x:v>
      </x:c>
      <x:c r="F83" s="28" t="str">
        <x:v>Edison Manufacturing Company / зрители Kinetoscope</x:v>
      </x:c>
      <x:c r="G83" s="28" t="str">
        <x:v>Kinetoscope показывает движущиеся изображения на 35-мм перфорированной плёнке и превращает формат в публичный медианоситель.</x:v>
      </x:c>
      <x:c r="H83" s="28" t="str">
        <x:v>Проекция / распространение</x:v>
      </x:c>
      <x:c r="I83" s="28" t="str">
        <x:v>35 mm Kinetoscope viewing</x:v>
      </x:c>
      <x:c r="J83" s="28" t="str">
        <x:v>35 мм становится не лабораторной пробой, а частью публичной визуальной культуры.</x:v>
      </x:c>
      <x:c r="K83" s="28" t="str">
        <x:v>Kinetograph and perforated 35 mm film</x:v>
      </x:c>
      <x:c r="L83" s="28" t="str">
        <x:v>Dominance of 35 mm motion-picture projection and production</x:v>
      </x:c>
      <x:c r="M83" s="28" t="str">
        <x:v>Главная линия / временная доминирующая линия</x:v>
      </x:c>
      <x:c r="N83" s="28" t="n">
        <x:v>4</x:v>
      </x:c>
      <x:c r="O83" s="28" t="str">
        <x:v>PL-009</x:v>
      </x:c>
      <x:c r="P83" s="28" t="str">
        <x:v>SRC-055</x:v>
      </x:c>
      <x:c r="Q83" s="28" t="str">
        <x:v>George Eastman Museum — Kinetoscope</x:v>
      </x:c>
      <x:c r="R83" s="28" t="str">
        <x:v>https://collections.eastman.org/objects/78087/kinetoscope</x:v>
      </x:c>
      <x:c r="S83" s="28" t="n">
        <x:v>5</x:v>
      </x:c>
      <x:c r="T83" s="28" t="str">
        <x:v>Новичку важно: до Leica 35 мм уже был массовым форматом движения и развлечения.</x:v>
      </x:c>
      <x:c r="U83" s="28" t="str">
        <x:v>Аппарат Kinetoscope с лентой 35 мм внутри и зрителем у окуляра.</x:v>
      </x:c>
      <x:c r="V83" s="28" t="str">
        <x:v>#PL009 #Kinetoscope #cinema #35mm #public-viewing</x:v>
      </x:c>
      <x:c r="W83" s="28"/>
      <x:c r="X83" s="28" t="str">
        <x:v>40.7128, -74.0060</x:v>
      </x:c>
      <x:c r="Y83" s="28" t="str">
        <x:v>35 мм / Kinetoscope</x:v>
      </x:c>
      <x:c r="Z83" s="28" t="str">
        <x:v>Распространение / коммерциализация</x:v>
      </x:c>
      <x:c r="AA83" s="28"/>
    </x:row>
    <x:row r="84" ht="12.75" customHeight="1">
      <x:c r="A84" s="28" t="str">
        <x:v>PL-HIST-0083</x:v>
      </x:c>
      <x:c r="B84" s="28" t="str">
        <x:v>1908–1909</x:v>
      </x:c>
      <x:c r="C84" s="28" t="str">
        <x:v>диапазон</x:v>
      </x:c>
      <x:c r="D84" s="28" t="str">
        <x:v>международный процесс</x:v>
      </x:c>
      <x:c r="E84" s="28" t="str">
        <x:v>США / Европа</x:v>
      </x:c>
      <x:c r="F84" s="28" t="str">
        <x:v>Киноиндустрия / MPPC / производители оборудования</x:v>
      </x:c>
      <x:c r="G84" s="28" t="str">
        <x:v>35-мм киноплёнка с четырьмя перфорациями на кадр фактически закрепляется как международный производственный и прокатный стандарт.</x:v>
      </x:c>
      <x:c r="H84" s="28" t="str">
        <x:v>Проекция / распространение</x:v>
      </x:c>
      <x:c r="I84" s="28" t="str">
        <x:v>35 mm motion-picture standard</x:v>
      </x:c>
      <x:c r="J84" s="28" t="str">
        <x:v>Стандартизация делает формат удобным для индустрии: камеры, проекторы, лаборатории и прокат начинают говорить на одном техническом языке.</x:v>
      </x:c>
      <x:c r="K84" s="28" t="str">
        <x:v>Edison/Dickson 35 mm practice</x:v>
      </x:c>
      <x:c r="L84" s="28" t="str">
        <x:v>35 mm cine film becomes available for still-camera reinterpretation</x:v>
      </x:c>
      <x:c r="M84" s="28" t="str">
        <x:v>Главная линия / временная доминирующая линия</x:v>
      </x:c>
      <x:c r="N84" s="28" t="n">
        <x:v>4</x:v>
      </x:c>
      <x:c r="O84" s="28" t="str">
        <x:v>PL-009</x:v>
      </x:c>
      <x:c r="P84" s="28" t="str">
        <x:v>SRC-056</x:v>
      </x:c>
      <x:c r="Q84" s="28" t="str">
        <x:v>SMPTE Journal — The Origins of 35mm Film as a Standard</x:v>
      </x:c>
      <x:c r="R84" s="28" t="str">
        <x:v>https://journal.smpte.org/periodicals/SMPTE%20Journal/99/8/22/</x:v>
      </x:c>
      <x:c r="S84" s="28" t="n">
        <x:v>4</x:v>
      </x:c>
      <x:c r="T84" s="28" t="str">
        <x:v>Это узел про стандарт: когда формат становится общим языком, его легче взять и переосмыслить в фотографии.</x:v>
      </x:c>
      <x:c r="U84" s="28" t="str">
        <x:v>Схема: камера → плёнка 35 мм → проектор → общий стандарт.</x:v>
      </x:c>
      <x:c r="V84" s="28" t="str">
        <x:v>#PL009 #35mm-standard #cinema #SMPTE #MPPC</x:v>
      </x:c>
      <x:c r="W84" s="28" t="str">
        <x:v>Проверить детали 1908–1909 и роль MPPC при финальной редакции лекции.</x:v>
      </x:c>
      <x:c r="X84" s="28"/>
      <x:c r="Y84" s="28" t="str">
        <x:v>35 мм / международный стандарт</x:v>
      </x:c>
      <x:c r="Z84" s="28" t="str">
        <x:v>Ключевой исторический узел</x:v>
      </x:c>
      <x:c r="AA84" s="28"/>
    </x:row>
    <x:row r="85" ht="12.75" customHeight="1">
      <x:c r="A85" s="28" t="str">
        <x:v>PL-HIST-0084</x:v>
      </x:c>
      <x:c r="B85" s="28" t="str">
        <x:v>1913–1914</x:v>
      </x:c>
      <x:c r="C85" s="28" t="str">
        <x:v>диапазон</x:v>
      </x:c>
      <x:c r="D85" s="28" t="str">
        <x:v>Германия</x:v>
      </x:c>
      <x:c r="E85" s="28" t="str">
        <x:v>Вецлар</x:v>
      </x:c>
      <x:c r="F85" s="28" t="str">
        <x:v>Оскар Барнак / Ernst Leitz</x:v>
      </x:c>
      <x:c r="G85" s="28" t="str">
        <x:v>Оскар Барнак создаёт прототип Ur-Leica: поворачивает 35-мм киноплёнку в горизонтальную ориентацию и получает кадр 24×36 мм.</x:v>
      </x:c>
      <x:c r="H85" s="28" t="str">
        <x:v>Негатив-позитив</x:v>
      </x:c>
      <x:c r="I85" s="28" t="str">
        <x:v>24×36 mm still frame on 35 mm film</x:v>
      </x:c>
      <x:c r="J85" s="28" t="str">
        <x:v>Киноноситель становится фотографическим форматом: маленький негатив можно увеличить до полноценного отпечатка.</x:v>
      </x:c>
      <x:c r="K85" s="28" t="str">
        <x:v>35 mm motion-picture standard</x:v>
      </x:c>
      <x:c r="L85" s="28" t="str">
        <x:v>Leica I and small-format photography</x:v>
      </x:c>
      <x:c r="M85" s="28" t="str">
        <x:v>Главная линия</x:v>
      </x:c>
      <x:c r="N85" s="28" t="n">
        <x:v>5</x:v>
      </x:c>
      <x:c r="O85" s="28" t="str">
        <x:v>PL-009</x:v>
      </x:c>
      <x:c r="P85" s="28" t="str">
        <x:v>SRC-057</x:v>
      </x:c>
      <x:c r="Q85" s="28" t="str">
        <x:v>Leica Timeline — 1914</x:v>
      </x:c>
      <x:c r="R85" s="28" t="str">
        <x:v>https://timeline.leica-camera.com/en-US/years/1914</x:v>
      </x:c>
      <x:c r="S85" s="28" t="n">
        <x:v>5</x:v>
      </x:c>
      <x:c r="T85" s="28" t="str">
        <x:v>Главная идея PL-009: не просто плёнка 35 мм, а поворот мышления — киноформат превращают в компактную фотографическую систему.</x:v>
      </x:c>
      <x:c r="U85" s="28" t="str">
        <x:v>35-мм кинолента поворачивается горизонтально; появляется прямоугольник 24×36.</x:v>
      </x:c>
      <x:c r="V85" s="28" t="str">
        <x:v>#PL009 #Ur-Leica #Oskar-Barnack #24x36 #35mm</x:v>
      </x:c>
      <x:c r="W85" s="28"/>
      <x:c r="X85" s="28" t="str">
        <x:v>50.5619, 8.5044</x:v>
      </x:c>
      <x:c r="Y85" s="28" t="str">
        <x:v>35 мм / 24×36</x:v>
      </x:c>
      <x:c r="Z85" s="28" t="str">
        <x:v>Ключевой исторический узел</x:v>
      </x:c>
      <x:c r="AA85" s="28" t="str">
        <x:v>да</x:v>
      </x:c>
    </x:row>
    <x:row r="86" ht="12.75" customHeight="1">
      <x:c r="A86" s="28" t="str">
        <x:v>PL-HIST-0085</x:v>
      </x:c>
      <x:c r="B86" s="28" t="str">
        <x:v>1920</x:v>
      </x:c>
      <x:c r="C86" s="28" t="str">
        <x:v>год</x:v>
      </x:c>
      <x:c r="D86" s="28" t="str">
        <x:v>Германия</x:v>
      </x:c>
      <x:c r="E86" s="28" t="str">
        <x:v>Вецлар</x:v>
      </x:c>
      <x:c r="F86" s="28" t="str">
        <x:v>Оскар Барнак</x:v>
      </x:c>
      <x:c r="G86" s="28" t="str">
        <x:v>Барнак снимает на прототип Leica наводнение в Вецларе; серия часто рассматривается как ранний пример 35-мм репортажной фотографии.</x:v>
      </x:c>
      <x:c r="H86" s="28" t="str">
        <x:v>Негатив-позитив</x:v>
      </x:c>
      <x:c r="I86" s="28" t="str">
        <x:v>35 mm reportage series</x:v>
      </x:c>
      <x:c r="J86" s="28" t="str">
        <x:v>Компактная камера показывает свою силу: фотограф может быть ближе к событию и двигаться быстрее.</x:v>
      </x:c>
      <x:c r="K86" s="28" t="str">
        <x:v>Ur-Leica prototype and 24×36 format</x:v>
      </x:c>
      <x:c r="L86" s="28" t="str">
        <x:v>Small camera becomes tool for reportage and street photography</x:v>
      </x:c>
      <x:c r="M86" s="28" t="str">
        <x:v>Переходная технология</x:v>
      </x:c>
      <x:c r="N86" s="28" t="n">
        <x:v>4</x:v>
      </x:c>
      <x:c r="O86" s="28" t="str">
        <x:v>PL-009</x:v>
      </x:c>
      <x:c r="P86" s="28" t="str">
        <x:v>SRC-058</x:v>
      </x:c>
      <x:c r="Q86" s="28" t="str">
        <x:v>Leica Oskar Barnack Award — Oskar Barnack</x:v>
      </x:c>
      <x:c r="R86" s="28" t="str">
        <x:v>https://www.leica-oskar-barnack-award.com/en/information/oskar-barnack.html</x:v>
      </x:c>
      <x:c r="S86" s="28" t="n">
        <x:v>5</x:v>
      </x:c>
      <x:c r="T86" s="28" t="str">
        <x:v>Важно для storytelling: 35 мм меняет не только технику, но и поведение фотографа — он становится мобильным наблюдателем.</x:v>
      </x:c>
      <x:c r="U86" s="28" t="str">
        <x:v>Фотограф с маленькой камерой среди реального события, не в студии.</x:v>
      </x:c>
      <x:c r="V86" s="28" t="str">
        <x:v>#PL009 #reportage #Barnack #Wetzlar #35mm</x:v>
      </x:c>
      <x:c r="W86" s="28"/>
      <x:c r="X86" s="28" t="str">
        <x:v>50.5619, 8.5044</x:v>
      </x:c>
      <x:c r="Y86" s="28" t="str">
        <x:v>35 мм / репортажность</x:v>
      </x:c>
      <x:c r="Z86" s="28" t="str">
        <x:v>Применение / жанр</x:v>
      </x:c>
      <x:c r="AA86" s="28"/>
    </x:row>
    <x:row r="87" ht="12.75" customHeight="1">
      <x:c r="A87" s="28" t="str">
        <x:v>PL-HIST-0086</x:v>
      </x:c>
      <x:c r="B87" s="28" t="str">
        <x:v>1924 / 1925</x:v>
      </x:c>
      <x:c r="C87" s="28" t="str">
        <x:v>диапазон</x:v>
      </x:c>
      <x:c r="D87" s="28" t="str">
        <x:v>Германия</x:v>
      </x:c>
      <x:c r="E87" s="28" t="str">
        <x:v>Вецлар / Лейпциг</x:v>
      </x:c>
      <x:c r="F87" s="28" t="str">
        <x:v>Oskar Barnack / Ernst Leitz</x:v>
      </x:c>
      <x:c r="G87" s="28" t="str">
        <x:v>Leica 1(A), разработанная Барнаком, объявлена в 1924 году и продаётся с 1925 года; она популяризирует 35-мм фотографию.</x:v>
      </x:c>
      <x:c r="H87" s="28" t="str">
        <x:v>Оптические инструменты</x:v>
      </x:c>
      <x:c r="I87" s="28" t="str">
        <x:v>Leica 1(A) 35 mm camera</x:v>
      </x:c>
      <x:c r="J87" s="28" t="str">
        <x:v>35 мм выходит из экспериментального прототипа в коммерческую фотографическую практику.</x:v>
      </x:c>
      <x:c r="K87" s="28" t="str">
        <x:v>Ur-Leica and 24×36 format</x:v>
      </x:c>
      <x:c r="L87" s="28" t="str">
        <x:v>Leica I as the next dedicated lesson PL-010</x:v>
      </x:c>
      <x:c r="M87" s="28" t="str">
        <x:v>Главная линия</x:v>
      </x:c>
      <x:c r="N87" s="28" t="n">
        <x:v>5</x:v>
      </x:c>
      <x:c r="O87" s="28" t="str">
        <x:v>PL-009</x:v>
      </x:c>
      <x:c r="P87" s="28" t="str">
        <x:v>SRC-059</x:v>
      </x:c>
      <x:c r="Q87" s="28" t="str">
        <x:v>Smithsonian NMAH — Leica 35 mm 1(A) Camera</x:v>
      </x:c>
      <x:c r="R87" s="28" t="str">
        <x:v>https://americanhistory.si.edu/collections/object/nmah_834692</x:v>
      </x:c>
      <x:c r="S87" s="28" t="n">
        <x:v>5</x:v>
      </x:c>
      <x:c r="T87" s="28" t="str">
        <x:v>Этот узел — мост к PL-010: в PL-009 объясняем формат, в PL-010 подробно разбираем Leica I.</x:v>
      </x:c>
      <x:c r="U87" s="28" t="str">
        <x:v>Маленькая Leica рядом с тяжёлой старой камерой: формат меняет масштаб фотографии.</x:v>
      </x:c>
      <x:c r="V87" s="28" t="str">
        <x:v>#PL009 #Leica #Leica1A #35mm #Barnack</x:v>
      </x:c>
      <x:c r="W87" s="28"/>
      <x:c r="X87" s="28" t="str">
        <x:v>51.3397, 12.3731</x:v>
      </x:c>
      <x:c r="Y87" s="28" t="str">
        <x:v>35 мм / коммерциализация Leica</x:v>
      </x:c>
      <x:c r="Z87" s="28" t="str">
        <x:v>Инструмент / устройство</x:v>
      </x:c>
      <x:c r="AA87" s="28"/>
    </x:row>
    <x:row r="88" ht="12.75" customHeight="1">
      <x:c r="A88" s="28" t="str">
        <x:v>PL-HIST-0087</x:v>
      </x:c>
      <x:c r="B88" s="28" t="str">
        <x:v>1925</x:v>
      </x:c>
      <x:c r="C88" s="28" t="str">
        <x:v>год</x:v>
      </x:c>
      <x:c r="D88" s="28" t="str">
        <x:v>Германия</x:v>
      </x:c>
      <x:c r="E88" s="28" t="str">
        <x:v>Лейпциг</x:v>
      </x:c>
      <x:c r="F88" s="28" t="str">
        <x:v>Ernst Leitz / Leica</x:v>
      </x:c>
      <x:c r="G88" s="28" t="str">
        <x:v>Leica I дебютирует на Лейпцигской весенней ярмарке как первая серийная 35-мм камера Leitz.</x:v>
      </x:c>
      <x:c r="H88" s="28" t="str">
        <x:v>Оптические инструменты</x:v>
      </x:c>
      <x:c r="I88" s="28" t="str">
        <x:v>Leica I serial production</x:v>
      </x:c>
      <x:c r="J88" s="28" t="str">
        <x:v>Компактная камера становится серьёзным фотографическим инструментом, а не игрушкой или лабораторной пробой.</x:v>
      </x:c>
      <x:c r="K88" s="28" t="str">
        <x:v>Commercial Leica 1(A) launch</x:v>
      </x:c>
      <x:c r="L88" s="28" t="str">
        <x:v>PL-010: Leica I and the new language of photography</x:v>
      </x:c>
      <x:c r="M88" s="28" t="str">
        <x:v>Переходная технология</x:v>
      </x:c>
      <x:c r="N88" s="28" t="n">
        <x:v>5</x:v>
      </x:c>
      <x:c r="O88" s="28" t="str">
        <x:v>PL-009</x:v>
      </x:c>
      <x:c r="P88" s="28" t="str">
        <x:v>SRC-060</x:v>
      </x:c>
      <x:c r="Q88" s="28" t="str">
        <x:v>Leica Timeline — 1925</x:v>
      </x:c>
      <x:c r="R88" s="28" t="str">
        <x:v>https://timeline.leica-camera.com/en/years/1925</x:v>
      </x:c>
      <x:c r="S88" s="28" t="n">
        <x:v>5</x:v>
      </x:c>
      <x:c r="T88" s="28" t="str">
        <x:v>Оставить как переход: это событие нужно не раскрывать полностью, а открыть дверь в PL-010.</x:v>
      </x:c>
      <x:c r="U88" s="28" t="str">
        <x:v>Ярмарочная витрина Leica I как вход в следующий урок.</x:v>
      </x:c>
      <x:c r="V88" s="28" t="str">
        <x:v>#PL009 #LeicaI #Leipzig #small-format #future-PL010</x:v>
      </x:c>
      <x:c r="W88" s="28" t="str">
        <x:v>Не дублировать слишком подробно с PL-010: здесь только мост к следующему уроку.</x:v>
      </x:c>
      <x:c r="X88" s="28" t="str">
        <x:v>51.3397, 12.3731</x:v>
      </x:c>
      <x:c r="Y88" s="28" t="str">
        <x:v>35 мм / мост к Leica I</x:v>
      </x:c>
      <x:c r="Z88" s="28" t="str">
        <x:v>Связь / переход</x:v>
      </x:c>
      <x:c r="AA88" s="28"/>
    </x:row>
    <x:row r="89" ht="12.75" customHeight="1">
      <x:c r="A89" s="28" t="str">
        <x:v>PL-HIST-0088</x:v>
      </x:c>
      <x:c r="B89" s="28" t="str">
        <x:v>1934</x:v>
      </x:c>
      <x:c r="C89" s="28" t="str">
        <x:v>год</x:v>
      </x:c>
      <x:c r="D89" s="28" t="str">
        <x:v>Германия</x:v>
      </x:c>
      <x:c r="E89" s="28" t="str">
        <x:v>Штутгарт</x:v>
      </x:c>
      <x:c r="F89" s="28" t="str">
        <x:v>Kodak AG / Kodak Retina</x:v>
      </x:c>
      <x:c r="G89" s="28" t="str">
        <x:v>Kodak Retina Type 117 становится первой камерой для дневной загрузки 135-картриджей, которые сделают 35 мм удобнее для широкой фотографии.</x:v>
      </x:c>
      <x:c r="H89" s="28" t="str">
        <x:v>Негатив-позитив</x:v>
      </x:c>
      <x:c r="I89" s="28" t="str">
        <x:v>135 daylight-loading cartridge</x:v>
      </x:c>
      <x:c r="J89" s="28" t="str">
        <x:v>35 мм получает бытовую форму: плёнку становится легче покупать, вставлять в камеру и использовать без тёмной комнаты.</x:v>
      </x:c>
      <x:c r="K89" s="28" t="str">
        <x:v>Leica and manually loaded 35 mm film</x:v>
      </x:c>
      <x:c r="L89" s="28" t="str">
        <x:v>135 cartridge becomes dominant consumer still-film format</x:v>
      </x:c>
      <x:c r="M89" s="28" t="str">
        <x:v>Переходная технология</x:v>
      </x:c>
      <x:c r="N89" s="28" t="n">
        <x:v>4</x:v>
      </x:c>
      <x:c r="O89" s="28" t="str">
        <x:v>PL-009</x:v>
      </x:c>
      <x:c r="P89" s="28" t="str">
        <x:v>SRC-061</x:v>
      </x:c>
      <x:c r="Q89" s="28" t="str">
        <x:v>Science Museum Group — Kodak Retina Type 117</x:v>
      </x:c>
      <x:c r="R89" s="28" t="str">
        <x:v>https://collection.sciencemuseumgroup.org.uk/objects/co8205056/kodak-retina-type-117-35mm-camera</x:v>
      </x:c>
      <x:c r="S89" s="28" t="n">
        <x:v>5</x:v>
      </x:c>
      <x:c r="T89" s="28" t="str">
        <x:v>Финальный смысл PL-009: формат победил не только из-за качества, но и из-за удобства системы.</x:v>
      </x:c>
      <x:c r="U89" s="28" t="str">
        <x:v>Открытый 135-картридж рядом с Kodak Retina и полоской 35-мм плёнки.</x:v>
      </x:c>
      <x:c r="V89" s="28" t="str">
        <x:v>#PL009 #135-film #Kodak-Retina #35mm #cartridge</x:v>
      </x:c>
      <x:c r="W89" s="28"/>
      <x:c r="X89" s="28" t="str">
        <x:v>48.7758, 9.1829</x:v>
      </x:c>
      <x:c r="Y89" s="28" t="str">
        <x:v>35 мм / 135 cartridge</x:v>
      </x:c>
      <x:c r="Z89" s="28" t="str">
        <x:v>Распространение / коммерциализация</x:v>
      </x:c>
      <x:c r="AA89" s="28"/>
    </x:row>
    <x:row r="90" ht="12.75" customHeight="1">
      <x:c r="A90" s="28" t="str">
        <x:v>PL-HIST-0089</x:v>
      </x:c>
      <x:c r="B90" s="28" t="str">
        <x:v>1913–1914</x:v>
      </x:c>
      <x:c r="C90" s="28" t="str">
        <x:v>диапазон</x:v>
      </x:c>
      <x:c r="D90" s="28" t="str">
        <x:v>Германия</x:v>
      </x:c>
      <x:c r="E90" s="28" t="str">
        <x:v>Вецлар</x:v>
      </x:c>
      <x:c r="F90" s="28" t="str">
        <x:v>Оскар Барнак / Ernst Leitz</x:v>
      </x:c>
      <x:c r="G90" s="28" t="str">
        <x:v>Оскар Барнак создаёт прототип Ur-Leica: компактную камеру под 35-мм киноплёнку, которая станет основой будущей Leica I.</x:v>
      </x:c>
      <x:c r="H90" s="28" t="str">
        <x:v>Оптические инструменты</x:v>
      </x:c>
      <x:c r="I90" s="28" t="str">
        <x:v>Ur-Leica prototype</x:v>
      </x:c>
      <x:c r="J90" s="28" t="str">
        <x:v>Идея 35 мм перестаёт быть только кинематографической: появляется замысел маленькой фотокамеры для серьёзной съёмки.</x:v>
      </x:c>
      <x:c r="K90" s="28" t="str">
        <x:v>35-мм киноплёнка и кадр 24×36</x:v>
      </x:c>
      <x:c r="L90" s="28" t="str">
        <x:v>Leica 0-Series and Leica I</x:v>
      </x:c>
      <x:c r="M90" s="28" t="str">
        <x:v>Переходная технология</x:v>
      </x:c>
      <x:c r="N90" s="28" t="n">
        <x:v>5</x:v>
      </x:c>
      <x:c r="O90" s="28" t="str">
        <x:v>PL-010</x:v>
      </x:c>
      <x:c r="P90" s="28" t="str">
        <x:v>SRC-062</x:v>
      </x:c>
      <x:c r="Q90" s="28" t="str">
        <x:v>Leica Camera — The History of the Leica I</x:v>
      </x:c>
      <x:c r="R90" s="28" t="str">
        <x:v>https://leica-camera.com/en-int/photography/100-years/the-history-of-the-leica-I</x:v>
      </x:c>
      <x:c r="S90" s="28" t="n">
        <x:v>5</x:v>
      </x:c>
      <x:c r="T90" s="28" t="str">
        <x:v>Для урока важно показать: Leica I родилась не из желания сделать игрушку, а из идеи мобильной серьёзной камеры.</x:v>
      </x:c>
      <x:c r="U90" s="28" t="str">
        <x:v>Маленький прототип на рабочем столе Барнака рядом с полоской 35-мм киноплёнки.</x:v>
      </x:c>
      <x:c r="V90" s="28" t="str">
        <x:v>#PL010 #Ur-Leica #Barnack #Wetzlar #35mm</x:v>
      </x:c>
      <x:c r="W90" s="28"/>
      <x:c r="X90" s="28" t="str">
        <x:v>50.5619, 8.5044</x:v>
      </x:c>
      <x:c r="Y90" s="28" t="str">
        <x:v>Leica I / прототип</x:v>
      </x:c>
      <x:c r="Z90" s="28" t="str">
        <x:v>Инструмент / устройство</x:v>
      </x:c>
      <x:c r="AA90" s="28"/>
    </x:row>
    <x:row r="91" ht="12.75" customHeight="1">
      <x:c r="A91" s="28" t="str">
        <x:v>PL-HIST-0090</x:v>
      </x:c>
      <x:c r="B91" s="28" t="str">
        <x:v>1923</x:v>
      </x:c>
      <x:c r="C91" s="28" t="str">
        <x:v>год</x:v>
      </x:c>
      <x:c r="D91" s="28" t="str">
        <x:v>Германия</x:v>
      </x:c>
      <x:c r="E91" s="28" t="str">
        <x:v>Вецлар</x:v>
      </x:c>
      <x:c r="F91" s="28" t="str">
        <x:v>Оскар Барнак / Ernst Leitz</x:v>
      </x:c>
      <x:c r="G91" s="28" t="str">
        <x:v>После прототипов появляется проверочная серия Leica 0-Series: небольшая партия камер для испытаний перед коммерческим запуском.</x:v>
      </x:c>
      <x:c r="H91" s="28" t="str">
        <x:v>Оптические инструменты</x:v>
      </x:c>
      <x:c r="I91" s="28" t="str">
        <x:v>Leica 0-Series</x:v>
      </x:c>
      <x:c r="J91" s="28" t="str">
        <x:v>Идея маленькой 35-мм камеры проходит практическую проверку: её нужно не просто изобрести, а сделать пригодной для реальных фотографов.</x:v>
      </x:c>
      <x:c r="K91" s="28" t="str">
        <x:v>Ur-Leica prototype</x:v>
      </x:c>
      <x:c r="L91" s="28" t="str">
        <x:v>Decision to enter serial production</x:v>
      </x:c>
      <x:c r="M91" s="28" t="str">
        <x:v>Переходная технология</x:v>
      </x:c>
      <x:c r="N91" s="28" t="n">
        <x:v>4</x:v>
      </x:c>
      <x:c r="O91" s="28" t="str">
        <x:v>PL-010</x:v>
      </x:c>
      <x:c r="P91" s="28" t="str">
        <x:v>SRC-062</x:v>
      </x:c>
      <x:c r="Q91" s="28" t="str">
        <x:v>Leica Camera — The History of the Leica I</x:v>
      </x:c>
      <x:c r="R91" s="28" t="str">
        <x:v>https://leica-camera.com/en-int/photography/100-years/the-history-of-the-leica-I</x:v>
      </x:c>
      <x:c r="S91" s="28" t="n">
        <x:v>5</x:v>
      </x:c>
      <x:c r="T91" s="28" t="str">
        <x:v>Хороший storytelling-узел: между прототипом и рынком всегда есть испытание, сомнение и проверка.</x:v>
      </x:c>
      <x:c r="U91" s="28" t="str">
        <x:v>Небольшая партия камер Leica 0-Series на столе в мастерской Leitz.</x:v>
      </x:c>
      <x:c r="V91" s="28" t="str">
        <x:v>#PL010 #Leica0 #preproduction #Leitz #Barnack</x:v>
      </x:c>
      <x:c r="W91" s="28" t="str">
        <x:v>Проверить точное количество камер 0-Series в финальной лекции: источники обычно указывают малую проверочную серию, но формулировки различаются.</x:v>
      </x:c>
      <x:c r="X91" s="28" t="str">
        <x:v>50.5619, 8.5044</x:v>
      </x:c>
      <x:c r="Y91" s="28" t="str">
        <x:v>Leica I / проверочная серия</x:v>
      </x:c>
      <x:c r="Z91" s="28" t="str">
        <x:v>Связь / переход</x:v>
      </x:c>
      <x:c r="AA91" s="28"/>
    </x:row>
    <x:row r="92" ht="12.75" customHeight="1">
      <x:c r="A92" s="28" t="str">
        <x:v>PL-HIST-0091</x:v>
      </x:c>
      <x:c r="B92" s="28" t="str">
        <x:v>конец 1924</x:v>
      </x:c>
      <x:c r="C92" s="28" t="str">
        <x:v>точная дата</x:v>
      </x:c>
      <x:c r="D92" s="28" t="str">
        <x:v>Германия</x:v>
      </x:c>
      <x:c r="E92" s="28" t="str">
        <x:v>Вецлар</x:v>
      </x:c>
      <x:c r="F92" s="28" t="str">
        <x:v>Ernst Leitz II / Ernst Leitz Werke</x:v>
      </x:c>
      <x:c r="G92" s="28" t="str">
        <x:v>Первая серийная версия Leica I официально входит в производство в конце 1924 года, опираясь на опыт Leica 0-Series.</x:v>
      </x:c>
      <x:c r="H92" s="28" t="str">
        <x:v>Оптические инструменты</x:v>
      </x:c>
      <x:c r="I92" s="28" t="str">
        <x:v>Leica I serial production begins</x:v>
      </x:c>
      <x:c r="J92" s="28" t="str">
        <x:v>Leica перестаёт быть лабораторным экспериментом и становится промышленным изделием.</x:v>
      </x:c>
      <x:c r="K92" s="28" t="str">
        <x:v>Leica 0-Series tests</x:v>
      </x:c>
      <x:c r="L92" s="28" t="str">
        <x:v>Public presentation at Leipzig Spring Fair 1925</x:v>
      </x:c>
      <x:c r="M92" s="28" t="str">
        <x:v>Главная линия</x:v>
      </x:c>
      <x:c r="N92" s="28" t="n">
        <x:v>5</x:v>
      </x:c>
      <x:c r="O92" s="28" t="str">
        <x:v>PL-010</x:v>
      </x:c>
      <x:c r="P92" s="28" t="str">
        <x:v>SRC-062</x:v>
      </x:c>
      <x:c r="Q92" s="28" t="str">
        <x:v>Leica Camera — The History of the Leica I</x:v>
      </x:c>
      <x:c r="R92" s="28" t="str">
        <x:v>https://leica-camera.com/en-int/photography/100-years/the-history-of-the-leica-I</x:v>
      </x:c>
      <x:c r="S92" s="28" t="n">
        <x:v>5</x:v>
      </x:c>
      <x:c r="T92" s="28" t="str">
        <x:v>Объяснить просто: революция начинается не в момент идеи, а когда идею удалось произвести серийно.</x:v>
      </x:c>
      <x:c r="U92" s="28" t="str">
        <x:v>Фабричная сборка маленьких Leica I в Вецларе, рядом детали корпуса и объектив.</x:v>
      </x:c>
      <x:c r="V92" s="28" t="str">
        <x:v>#PL010 #LeicaI #serial-production #Leitz</x:v>
      </x:c>
      <x:c r="W92" s="28"/>
      <x:c r="X92" s="28" t="str">
        <x:v>50.5619, 8.5044</x:v>
      </x:c>
      <x:c r="Y92" s="28" t="str">
        <x:v>Leica I / начало производства</x:v>
      </x:c>
      <x:c r="Z92" s="28" t="str">
        <x:v>Распространение / коммерциализация</x:v>
      </x:c>
      <x:c r="AA92" s="28"/>
    </x:row>
    <x:row r="93" ht="12.75" customHeight="1">
      <x:c r="A93" s="28" t="str">
        <x:v>PL-HIST-0092</x:v>
      </x:c>
      <x:c r="B93" s="28" t="str">
        <x:v>1925</x:v>
      </x:c>
      <x:c r="C93" s="28" t="str">
        <x:v>год</x:v>
      </x:c>
      <x:c r="D93" s="28" t="str">
        <x:v>Германия</x:v>
      </x:c>
      <x:c r="E93" s="28" t="str">
        <x:v>Лейпциг</x:v>
      </x:c>
      <x:c r="F93" s="28" t="str">
        <x:v>Ernst Leitz / Leica</x:v>
      </x:c>
      <x:c r="G93" s="28" t="str">
        <x:v>Leica I представлена публике на Лейпцигской весенней ярмарке как первая серийная 35-мм камера Leitz.</x:v>
      </x:c>
      <x:c r="H93" s="28" t="str">
        <x:v>Оптические инструменты</x:v>
      </x:c>
      <x:c r="I93" s="28" t="str">
        <x:v>Leica I at Leipzig Spring Fair</x:v>
      </x:c>
      <x:c r="J93" s="28" t="str">
        <x:v>35 мм получает публичный коммерческий вход в фотографию: маленькая камера становится реальным продуктом.</x:v>
      </x:c>
      <x:c r="K93" s="28" t="str">
        <x:v>Serial production begins at Leitz</x:v>
      </x:c>
      <x:c r="L93" s="28" t="str">
        <x:v>Compact 35 mm photography spreads</x:v>
      </x:c>
      <x:c r="M93" s="28" t="str">
        <x:v>Главная линия</x:v>
      </x:c>
      <x:c r="N93" s="28" t="n">
        <x:v>5</x:v>
      </x:c>
      <x:c r="O93" s="28" t="str">
        <x:v>PL-010</x:v>
      </x:c>
      <x:c r="P93" s="28" t="str">
        <x:v>SRC-063</x:v>
      </x:c>
      <x:c r="Q93" s="28" t="str">
        <x:v>Leica Camera — 100 Years of Leica: Witness to a Century</x:v>
      </x:c>
      <x:c r="R93" s="28" t="str">
        <x:v>https://leica-camera.com/en-GB/press/100-years-leica-witness-century-1925-2025-1</x:v>
      </x:c>
      <x:c r="S93" s="28" t="n">
        <x:v>5</x:v>
      </x:c>
      <x:c r="T93" s="28" t="str">
        <x:v>Это главный исторический момент урока: Leica I выходит к публике и меняет представление о серьёзной камере.</x:v>
      </x:c>
      <x:c r="U93" s="28" t="str">
        <x:v>Витрина Leica I на ярмарке в Лейпциге; маленькая камера среди больших фотоаппаратов эпохи.</x:v>
      </x:c>
      <x:c r="V93" s="28" t="str">
        <x:v>#PL010 #LeicaI #Leipzig #1925 #35mm-camera</x:v>
      </x:c>
      <x:c r="W93" s="28"/>
      <x:c r="X93" s="28" t="str">
        <x:v>51.3397, 12.3731</x:v>
      </x:c>
      <x:c r="Y93" s="28" t="str">
        <x:v>Leica I / публичный дебют</x:v>
      </x:c>
      <x:c r="Z93" s="28" t="str">
        <x:v>Ключевой исторический узел</x:v>
      </x:c>
      <x:c r="AA93" s="28" t="str">
        <x:v>да</x:v>
      </x:c>
    </x:row>
    <x:row r="94" ht="12.75" customHeight="1">
      <x:c r="A94" s="28" t="str">
        <x:v>PL-HIST-0093</x:v>
      </x:c>
      <x:c r="B94" s="28" t="str">
        <x:v>1925</x:v>
      </x:c>
      <x:c r="C94" s="28" t="str">
        <x:v>год</x:v>
      </x:c>
      <x:c r="D94" s="28" t="str">
        <x:v>Германия</x:v>
      </x:c>
      <x:c r="E94" s="28" t="str">
        <x:v>Вецлар</x:v>
      </x:c>
      <x:c r="F94" s="28" t="str">
        <x:v>Oskar Barnack / Ernst Leitz</x:v>
      </x:c>
      <x:c r="G94" s="28" t="str">
        <x:v>Leica 1(A), разработанная Барнаком, становится первой коммерчески доступной Leica 35-мм камерой и быстро популяризирует 35-мм фотографию.</x:v>
      </x:c>
      <x:c r="H94" s="28" t="str">
        <x:v>Оптические инструменты</x:v>
      </x:c>
      <x:c r="I94" s="28" t="str">
        <x:v>Leica 1(A) 35 mm camera</x:v>
      </x:c>
      <x:c r="J94" s="28" t="str">
        <x:v>Компактность становится серьёзным фотографическим преимуществом: камера теперь может быть постоянно с фотографом.</x:v>
      </x:c>
      <x:c r="K94" s="28" t="str">
        <x:v>Leica I public launch</x:v>
      </x:c>
      <x:c r="L94" s="28" t="str">
        <x:v>New mobile visual practice</x:v>
      </x:c>
      <x:c r="M94" s="28" t="str">
        <x:v>Главная линия</x:v>
      </x:c>
      <x:c r="N94" s="28" t="n">
        <x:v>5</x:v>
      </x:c>
      <x:c r="O94" s="28" t="str">
        <x:v>PL-010</x:v>
      </x:c>
      <x:c r="P94" s="28" t="str">
        <x:v>SRC-064</x:v>
      </x:c>
      <x:c r="Q94" s="28" t="str">
        <x:v>Smithsonian NMAH — Leica 35 mm 1(A) Camera</x:v>
      </x:c>
      <x:c r="R94" s="28" t="str">
        <x:v>https://americanhistory.si.edu/collections/object/nmah_834692</x:v>
      </x:c>
      <x:c r="S94" s="28" t="n">
        <x:v>5</x:v>
      </x:c>
      <x:c r="T94" s="28" t="str">
        <x:v>Новичку важно понять: Leica I — это не просто новая модель, а изменение поведения фотографа.</x:v>
      </x:c>
      <x:c r="U94" s="28" t="str">
        <x:v>Маленькая Leica I в руке фотографа рядом с большой складной камерой как контраст старого и нового.</x:v>
      </x:c>
      <x:c r="V94" s="28" t="str">
        <x:v>#PL010 #Leica1A #compact-camera #35mm #Barnack</x:v>
      </x:c>
      <x:c r="W94" s="28"/>
      <x:c r="X94" s="28" t="str">
        <x:v>50.5619, 8.5044</x:v>
      </x:c>
      <x:c r="Y94" s="28" t="str">
        <x:v>Leica I / компактная камера</x:v>
      </x:c>
      <x:c r="Z94" s="28" t="str">
        <x:v>Инструмент / устройство</x:v>
      </x:c>
      <x:c r="AA94" s="28"/>
    </x:row>
    <x:row r="95" ht="12.75" customHeight="1">
      <x:c r="A95" s="28" t="str">
        <x:v>PL-HIST-0094</x:v>
      </x:c>
      <x:c r="B95" s="28" t="str">
        <x:v>1925</x:v>
      </x:c>
      <x:c r="C95" s="28" t="str">
        <x:v>год</x:v>
      </x:c>
      <x:c r="D95" s="28" t="str">
        <x:v>Германия</x:v>
      </x:c>
      <x:c r="E95" s="28" t="str">
        <x:v>Вецлар</x:v>
      </x:c>
      <x:c r="F95" s="28" t="str">
        <x:v>Макс Берек / Leitz</x:v>
      </x:c>
      <x:c r="G95" s="28" t="str">
        <x:v>Первые объективы Leica разрабатывает Макс Берек: 50 мм f/3.5 Anastigmat / Elmax, затем Elmar, чтобы маленький негатив можно было качественно увеличивать.</x:v>
      </x:c>
      <x:c r="H95" s="28" t="str">
        <x:v>Оптические инструменты</x:v>
      </x:c>
      <x:c r="I95" s="28" t="str">
        <x:v>Leica Anastigmat / Elmax / Elmar 50 mm f/3.5</x:v>
      </x:c>
      <x:c r="J95" s="28" t="str">
        <x:v>Малый формат требует сильной оптики: качество объектива становится условием идеи «маленький негатив — большой отпечаток».</x:v>
      </x:c>
      <x:c r="K95" s="28" t="str">
        <x:v>24×36 mm small negative</x:v>
      </x:c>
      <x:c r="L95" s="28" t="str">
        <x:v>Leica becomes practical system for enlargement and printing</x:v>
      </x:c>
      <x:c r="M95" s="28" t="str">
        <x:v>Главная линия</x:v>
      </x:c>
      <x:c r="N95" s="28" t="n">
        <x:v>5</x:v>
      </x:c>
      <x:c r="O95" s="28" t="str">
        <x:v>PL-010</x:v>
      </x:c>
      <x:c r="P95" s="28" t="str">
        <x:v>SRC-065</x:v>
      </x:c>
      <x:c r="Q95" s="28" t="str">
        <x:v>Leica Camera — Understanding Leica Lenses</x:v>
      </x:c>
      <x:c r="R95" s="28" t="str">
        <x:v>https://leica-camera.com/en-int/photography/understanding-leica-lenses</x:v>
      </x:c>
      <x:c r="S95" s="28" t="n">
        <x:v>5</x:v>
      </x:c>
      <x:c r="T95" s="28" t="str">
        <x:v>Это мост к будущим урокам про объективы: формат победил не один, ему понадобилась точная оптика.</x:v>
      </x:c>
      <x:c r="U95" s="28" t="str">
        <x:v>Схема: маленький негатив 24×36 → объектив Elmar → увеличенный отпечаток.</x:v>
      </x:c>
      <x:c r="V95" s="28" t="str">
        <x:v>#PL010 #MaxBerek #Elmar #Leica-lens #small-negative</x:v>
      </x:c>
      <x:c r="W95" s="28" t="str">
        <x:v>Уточнить в финальном тексте различие Anastigmat / Elmax / Elmar, чтобы не смешать ранние версии объектива.</x:v>
      </x:c>
      <x:c r="X95" s="28" t="str">
        <x:v>50.5619, 8.5044</x:v>
      </x:c>
      <x:c r="Y95" s="28" t="str">
        <x:v>Leica I / оптика и Elmar</x:v>
      </x:c>
      <x:c r="Z95" s="28" t="str">
        <x:v>Технология / процесс</x:v>
      </x:c>
      <x:c r="AA95" s="28"/>
    </x:row>
    <x:row r="96" ht="12.75" customHeight="1">
      <x:c r="A96" s="28" t="str">
        <x:v>PL-HIST-0095</x:v>
      </x:c>
      <x:c r="B96" s="28" t="str">
        <x:v>1925–1930</x:v>
      </x:c>
      <x:c r="C96" s="28" t="str">
        <x:v>диапазон</x:v>
      </x:c>
      <x:c r="D96" s="28" t="str">
        <x:v>Германия</x:v>
      </x:c>
      <x:c r="E96" s="28" t="str">
        <x:v>Вецлар</x:v>
      </x:c>
      <x:c r="F96" s="28" t="str">
        <x:v>Ernst Leitz Werke / пользователи Leica</x:v>
      </x:c>
      <x:c r="G96" s="28" t="str">
        <x:v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v>
      </x:c>
      <x:c r="H96" s="28" t="str">
        <x:v>Негатив-позитив</x:v>
      </x:c>
      <x:c r="I96" s="28" t="str">
        <x:v>Leica I mass adoption</x:v>
      </x:c>
      <x:c r="J96" s="28" t="str">
        <x:v>35 мм перестаёт быть нишевым экспериментом и становится устойчивой практикой съёмки.</x:v>
      </x:c>
      <x:c r="K96" s="28" t="str">
        <x:v>Leica I launch</x:v>
      </x:c>
      <x:c r="L96" s="28" t="str">
        <x:v>Global 35 mm compact camera standard</x:v>
      </x:c>
      <x:c r="M96" s="28" t="str">
        <x:v>Распространение / коммерциализация</x:v>
      </x:c>
      <x:c r="N96" s="28" t="n">
        <x:v>5</x:v>
      </x:c>
      <x:c r="O96" s="28" t="str">
        <x:v>PL-010</x:v>
      </x:c>
      <x:c r="P96" s="28" t="str">
        <x:v>SRC-062</x:v>
      </x:c>
      <x:c r="Q96" s="28" t="str">
        <x:v>Leica Camera — The History of the Leica I</x:v>
      </x:c>
      <x:c r="R96" s="28" t="str">
        <x:v>https://leica-camera.com/en-int/photography/100-years/the-history-of-the-leica-I</x:v>
      </x:c>
      <x:c r="S96" s="28" t="n">
        <x:v>5</x:v>
      </x:c>
      <x:c r="T96" s="28" t="str">
        <x:v>Не перегружать цифрами, но показать масштаб: камера стала не редкостью, а узнаваемым инструментом.</x:v>
      </x:c>
      <x:c r="U96" s="28" t="str">
        <x:v>Ряд Leica I на производственной полке, рядом отметка 1925–1930.</x:v>
      </x:c>
      <x:c r="V96" s="28" t="str">
        <x:v>#PL010 #LeicaI #mass-production #35mm-standard</x:v>
      </x:c>
      <x:c r="W96" s="28"/>
      <x:c r="X96" s="28" t="str">
        <x:v>50.5619, 8.5044</x:v>
      </x:c>
      <x:c r="Y96" s="28" t="str">
        <x:v>Leica I / массовое принятие</x:v>
      </x:c>
      <x:c r="Z96" s="28" t="str">
        <x:v>Распространение / коммерциализация</x:v>
      </x:c>
      <x:c r="AA96" s="28"/>
    </x:row>
    <x:row r="97" ht="12.75" customHeight="1">
      <x:c r="A97" s="28" t="str">
        <x:v>PL-HIST-0096</x:v>
      </x:c>
      <x:c r="B97" s="28" t="str">
        <x:v>1920-е–1930-е</x:v>
      </x:c>
      <x:c r="C97" s="28" t="str">
        <x:v>диапазон</x:v>
      </x:c>
      <x:c r="D97" s="28" t="str">
        <x:v>Европа / США</x:v>
      </x:c>
      <x:c r="E97" s="28" t="str">
        <x:v>распределённый процесс</x:v>
      </x:c>
      <x:c r="F97" s="28" t="str">
        <x:v>Фотографы нового поколения</x:v>
      </x:c>
      <x:c r="G97" s="28" t="str">
        <x:v>Компактная, быстрая и мобильная Leica I помогает сформировать более интимный, спонтанный визуальный язык — основу репортажа и уличной фотографии.</x:v>
      </x:c>
      <x:c r="H97" s="28" t="str">
        <x:v>Оптические инструменты</x:v>
      </x:c>
      <x:c r="I97" s="28" t="str">
        <x:v>Mobile 35 mm visual language</x:v>
      </x:c>
      <x:c r="J97" s="28" t="str">
        <x:v>Фотограф становится менее заметным и быстрее реагирует на жизнь: камера начинает следовать за событием, а не заставлять событие приходить в студию.</x:v>
      </x:c>
      <x:c r="K97" s="28" t="str">
        <x:v>Leica I mass adoption</x:v>
      </x:c>
      <x:c r="L97" s="28" t="str">
        <x:v>Rangefinder and reportage traditions</x:v>
      </x:c>
      <x:c r="M97" s="28" t="str">
        <x:v>Главная линия</x:v>
      </x:c>
      <x:c r="N97" s="28" t="n">
        <x:v>5</x:v>
      </x:c>
      <x:c r="O97" s="28" t="str">
        <x:v>PL-010</x:v>
      </x:c>
      <x:c r="P97" s="28" t="str">
        <x:v>SRC-062</x:v>
      </x:c>
      <x:c r="Q97" s="28" t="str">
        <x:v>Leica Camera — The History of the Leica I</x:v>
      </x:c>
      <x:c r="R97" s="28" t="str">
        <x:v>https://leica-camera.com/en-int/photography/100-years/the-history-of-the-leica-I</x:v>
      </x:c>
      <x:c r="S97" s="28" t="n">
        <x:v>5</x:v>
      </x:c>
      <x:c r="T97" s="28" t="str">
        <x:v>Смысл PL-010: Leica изменила не только размер камеры, но и способ видеть — ближе, быстрее, тише.</x:v>
      </x:c>
      <x:c r="U97" s="28" t="str">
        <x:v>Фотограф с маленькой камерой среди городской жизни; люди не позируют, момент происходит сам.</x:v>
      </x:c>
      <x:c r="V97" s="28" t="str">
        <x:v>#PL010 #reportage #street-photography #mobile-camera #visual-language</x:v>
      </x:c>
      <x:c r="W97" s="28"/>
      <x:c r="X97" s="28"/>
      <x:c r="Y97" s="28" t="str">
        <x:v>Leica I / новая визуальная практика</x:v>
      </x:c>
      <x:c r="Z97" s="28" t="str">
        <x:v>Применение / жанр</x:v>
      </x:c>
      <x:c r="AA97" s="28"/>
    </x:row>
    <x:row r="98" ht="12.75" customHeight="1">
      <x:c r="A98" s="28" t="str">
        <x:v>PL-HIST-0097</x:v>
      </x:c>
      <x:c r="B98" s="28" t="str">
        <x:v>1930</x:v>
      </x:c>
      <x:c r="C98" s="28" t="str">
        <x:v>год</x:v>
      </x:c>
      <x:c r="D98" s="28" t="str">
        <x:v>Германия</x:v>
      </x:c>
      <x:c r="E98" s="28" t="str">
        <x:v>Вецлар</x:v>
      </x:c>
      <x:c r="F98" s="28" t="str">
        <x:v>Ernst Leitz Werke</x:v>
      </x:c>
      <x:c r="G98" s="28" t="str">
        <x:v>Leica I(C) вводит сменные объективы; к концу 1930 года появляется стандартизированный крепёж, позволяющий использовать объективы с разными камерами Leica 1(C).</x:v>
      </x:c>
      <x:c r="H98" s="28" t="str">
        <x:v>Оптические инструменты</x:v>
      </x:c>
      <x:c r="I98" s="28" t="str">
        <x:v>Leica I(C) interchangeable lenses</x:v>
      </x:c>
      <x:c r="J98" s="28" t="str">
        <x:v>Leica превращается из отдельной камеры в систему: корпус, объективы и аксессуары начинают развиваться вместе.</x:v>
      </x:c>
      <x:c r="K98" s="28" t="str">
        <x:v>Leica I fixed-lens camera</x:v>
      </x:c>
      <x:c r="L98" s="28" t="str">
        <x:v>Leica system and rangefinder cameras</x:v>
      </x:c>
      <x:c r="M98" s="28" t="str">
        <x:v>Связь / переход</x:v>
      </x:c>
      <x:c r="N98" s="28" t="n">
        <x:v>4</x:v>
      </x:c>
      <x:c r="O98" s="28" t="str">
        <x:v>PL-010</x:v>
      </x:c>
      <x:c r="P98" s="28" t="str">
        <x:v>SRC-067</x:v>
      </x:c>
      <x:c r="Q98" s="28" t="str">
        <x:v>Smithsonian NMAH — Leica 1(C)</x:v>
      </x:c>
      <x:c r="R98" s="28" t="str">
        <x:v>https://americanhistory.si.edu/collections/object/nmah_1145349</x:v>
      </x:c>
      <x:c r="S98" s="28" t="n">
        <x:v>5</x:v>
      </x:c>
      <x:c r="T98" s="28" t="str">
        <x:v>Это не центральный узел PL-010, а мост: после Leica I важной становится идея системы.</x:v>
      </x:c>
      <x:c r="U98" s="28" t="str">
        <x:v>Корпус Leica I(C) и три объектива рядом: 50 мм, широкоугольный и телеобъектив.</x:v>
      </x:c>
      <x:c r="V98" s="28" t="str">
        <x:v>#PL010 #LeicaIC #interchangeable-lenses #Leica-system</x:v>
      </x:c>
      <x:c r="W98" s="28" t="str">
        <x:v>Проверить терминологию крепления: в источниках встречаются screw mount / standardized mount; не называть это байонетом в финальном русском тексте.</x:v>
      </x:c>
      <x:c r="X98" s="28" t="str">
        <x:v>50.5619, 8.5044</x:v>
      </x:c>
      <x:c r="Y98" s="28" t="str">
        <x:v>Leica I / сменные объективы</x:v>
      </x:c>
      <x:c r="Z98" s="28" t="str">
        <x:v>Связь / переход</x:v>
      </x:c>
      <x:c r="AA98" s="28"/>
    </x:row>
    <x:row r="99" ht="12.75" customHeight="1">
      <x:c r="A99" s="28" t="str">
        <x:v>PL-HIST-0098</x:v>
      </x:c>
      <x:c r="B99" s="28" t="str">
        <x:v>1932</x:v>
      </x:c>
      <x:c r="C99" s="28" t="str">
        <x:v>год</x:v>
      </x:c>
      <x:c r="D99" s="28" t="str">
        <x:v>Германия</x:v>
      </x:c>
      <x:c r="E99" s="28" t="str">
        <x:v>Вецлар</x:v>
      </x:c>
      <x:c r="F99" s="28" t="str">
        <x:v>Ernst Leitz Werke</x:v>
      </x:c>
      <x:c r="G99" s="28" t="str">
        <x:v>Leica II становится первой Leica со встроенным дальномером, продолжая линию малой 35-мм камеры в сторону точной быстрой фокусировки.</x:v>
      </x:c>
      <x:c r="H99" s="28" t="str">
        <x:v>Оптические инструменты</x:v>
      </x:c>
      <x:c r="I99" s="28" t="str">
        <x:v>Leica II built-in rangefinder</x:v>
      </x:c>
      <x:c r="J99" s="28" t="str">
        <x:v>Следующий шаг после компактности — скорость и точность наведения: Leica формирует основу дальномерной культуры съёмки.</x:v>
      </x:c>
      <x:c r="K99" s="28" t="str">
        <x:v>Leica I and Leica system</x:v>
      </x:c>
      <x:c r="L99" s="28" t="str">
        <x:v>Future rangefinder photography and Leica M lineage</x:v>
      </x:c>
      <x:c r="M99" s="28" t="str">
        <x:v>Связь / переход</x:v>
      </x:c>
      <x:c r="N99" s="28" t="n">
        <x:v>4</x:v>
      </x:c>
      <x:c r="O99" s="28" t="str">
        <x:v>PL-010</x:v>
      </x:c>
      <x:c r="P99" s="28" t="str">
        <x:v>SRC-068</x:v>
      </x:c>
      <x:c r="Q99" s="28" t="str">
        <x:v>Leica Timeline — 1932</x:v>
      </x:c>
      <x:c r="R99" s="28" t="str">
        <x:v>https://timeline.leica-camera.com/en-US/years/1932</x:v>
      </x:c>
      <x:c r="S99" s="28" t="n">
        <x:v>5</x:v>
      </x:c>
      <x:c r="T99" s="28" t="str">
        <x:v>Финальный мост урока: PL-010 завершает Модуль 1, но открывает будущие темы про камеры, дальномер и объективы.</x:v>
      </x:c>
      <x:c r="U99" s="28" t="str">
        <x:v>Leica II рядом с Leica I: появляется дальномер как следующий слой управления камерой.</x:v>
      </x:c>
      <x:c r="V99" s="28" t="str">
        <x:v>#PL010 #LeicaII #rangefinder #future-lessons #Leica-system</x:v>
      </x:c>
      <x:c r="W99" s="28"/>
      <x:c r="X99" s="28" t="str">
        <x:v>50.5619, 8.5044</x:v>
      </x:c>
      <x:c r="Y99" s="28" t="str">
        <x:v>Leica I / мост к дальномерной системе</x:v>
      </x:c>
      <x:c r="Z99" s="28" t="str">
        <x:v>Связь / переход</x:v>
      </x:c>
      <x:c r="AA99" s="28"/>
    </x:row>
    <x:row r="100" ht="12.75" customHeight="1"/>
    <x:row r="101" ht="12.75" customHeight="1"/>
    <x:row r="102" ht="12.75" customHeight="1"/>
    <x:row r="103" ht="12.75" customHeight="1"/>
    <x:row r="104" ht="12.75" customHeight="1"/>
    <x:row r="105" ht="12.75" customHeight="1"/>
    <x:row r="106" ht="12.75" customHeight="1"/>
    <x:row r="107" ht="12.75" customHeight="1"/>
    <x:row r="108" ht="12.75" customHeight="1"/>
    <x:row r="109" ht="12.75" customHeight="1"/>
    <x:row r="110" ht="12.75" customHeight="1"/>
    <x:row r="111" ht="12.75" customHeight="1"/>
    <x:row r="112" ht="12.75" customHeight="1"/>
    <x:row r="113" ht="12.75" customHeight="1"/>
    <x:row r="114" ht="12.75" customHeight="1"/>
    <x:row r="115" ht="12.75" customHeight="1"/>
    <x:row r="116" ht="12.75" customHeight="1"/>
    <x:row r="117" ht="12.75" customHeight="1"/>
    <x:row r="118" ht="12.75" customHeight="1"/>
    <x:row r="119" ht="12.75" customHeight="1"/>
    <x:row r="120" ht="12.75" customHeight="1"/>
    <x:row r="121" ht="12.75" customHeight="1"/>
    <x:row r="122" ht="12.75" customHeight="1"/>
    <x:row r="123" ht="12.75" customHeight="1"/>
    <x:row r="124" ht="12.75" customHeight="1"/>
    <x:row r="125" ht="12.75" customHeight="1"/>
    <x:row r="126" ht="12.75" customHeight="1"/>
    <x:row r="127" ht="12.75" customHeight="1"/>
    <x:row r="128" ht="12.75" customHeight="1"/>
    <x:row r="129" ht="12.75" customHeight="1"/>
    <x:row r="130" ht="12.75" customHeight="1"/>
    <x:row r="131" ht="12.75" customHeight="1"/>
    <x:row r="132" ht="12.75" customHeight="1"/>
    <x:row r="133" ht="12.75" customHeight="1"/>
    <x:row r="134" ht="12.75" customHeight="1"/>
    <x:row r="135" ht="12.75" customHeight="1"/>
    <x:row r="136" ht="12.75" customHeight="1"/>
    <x:row r="137" ht="12.75" customHeight="1"/>
    <x:row r="138" ht="12.75" customHeight="1"/>
    <x:row r="139" ht="12.75" customHeight="1"/>
    <x:row r="140" ht="12.75" customHeight="1"/>
    <x:row r="141" ht="12.75" customHeight="1"/>
    <x:row r="142" ht="12.75" customHeight="1"/>
    <x:row r="143" ht="12.75" customHeight="1"/>
    <x:row r="144" ht="12.75" customHeight="1"/>
    <x:row r="145" ht="12.75" customHeight="1"/>
    <x:row r="146" ht="12.75" customHeight="1"/>
    <x:row r="147" ht="12.75" customHeight="1"/>
    <x:row r="148" ht="12.75" customHeight="1"/>
    <x:row r="149" ht="12.75" customHeight="1"/>
    <x:row r="150" ht="12.75" customHeight="1"/>
    <x:row r="151" ht="12.75" customHeight="1"/>
    <x:row r="152" ht="12.75" customHeight="1"/>
    <x:row r="153" ht="12.75" customHeight="1"/>
    <x:row r="154" ht="12.75" customHeight="1"/>
    <x:row r="155" ht="12.75" customHeight="1"/>
    <x:row r="156" ht="12.75" customHeight="1"/>
    <x:row r="157" ht="12.75" customHeight="1"/>
    <x:row r="158" ht="12.75" customHeight="1"/>
    <x:row r="159" ht="12.75" customHeight="1"/>
    <x:row r="160" ht="12.75" customHeight="1"/>
    <x:row r="161" ht="12.75" customHeight="1"/>
    <x:row r="162" ht="12.75" customHeight="1"/>
    <x:row r="163" ht="12.75" customHeight="1"/>
    <x:row r="164" ht="12.75" customHeight="1"/>
    <x:row r="165" ht="12.75" customHeight="1"/>
    <x:row r="166" ht="12.75" customHeight="1"/>
    <x:row r="167" ht="12.75" customHeight="1"/>
    <x:row r="168" ht="12.75" customHeight="1"/>
    <x:row r="169" ht="12.75" customHeight="1"/>
    <x:row r="170" ht="12.75" customHeight="1"/>
    <x:row r="171" ht="12.75" customHeight="1"/>
    <x:row r="172" ht="12.75" customHeight="1"/>
    <x:row r="173" ht="12.75" customHeight="1"/>
    <x:row r="174" ht="12.75" customHeight="1"/>
    <x:row r="175" ht="12.75" customHeight="1"/>
    <x:row r="176" ht="12.75" customHeight="1"/>
    <x:row r="177" ht="12.75" customHeight="1"/>
    <x:row r="178" ht="12.75" customHeight="1"/>
    <x:row r="179" ht="12.75" customHeight="1"/>
    <x:row r="180" ht="12.75" customHeight="1"/>
    <x:row r="181" ht="12.75" customHeight="1"/>
    <x:row r="182" ht="12.75" customHeight="1"/>
    <x:row r="183" ht="12.75" customHeight="1"/>
    <x:row r="184" ht="12.75" customHeight="1"/>
    <x:row r="185" ht="12.75" customHeight="1"/>
    <x:row r="186" ht="12.75" customHeight="1"/>
    <x:row r="187" ht="12.75" customHeight="1"/>
    <x:row r="188" ht="12.75" customHeight="1"/>
    <x:row r="189" ht="12.75" customHeight="1"/>
    <x:row r="190" ht="12.75" customHeight="1"/>
    <x:row r="191" ht="12.75" customHeight="1"/>
    <x:row r="192" ht="12.75" customHeight="1"/>
    <x:row r="193" ht="12.75" customHeight="1"/>
    <x:row r="194" ht="12.75" customHeight="1"/>
    <x:row r="195" ht="12.75" customHeight="1"/>
    <x:row r="196" ht="12.75" customHeight="1"/>
    <x:row r="197" ht="12.75" customHeight="1"/>
    <x:row r="198" ht="12.75" customHeight="1"/>
    <x:row r="199" ht="12.75" customHeight="1"/>
    <x:row r="200" ht="12.75" customHeight="1"/>
    <x:row r="201" ht="12.75" customHeight="1"/>
    <x:row r="202" ht="12.75" customHeight="1"/>
    <x:row r="203" ht="12.75" customHeight="1"/>
    <x:row r="204" ht="12.75" customHeight="1"/>
    <x:row r="205" ht="12.75" customHeight="1"/>
    <x:row r="206" ht="12.75" customHeight="1"/>
    <x:row r="207" ht="12.75" customHeight="1"/>
    <x:row r="208" ht="12.75" customHeight="1"/>
    <x:row r="209" ht="12.75" customHeight="1"/>
    <x:row r="210" ht="12.75" customHeight="1"/>
    <x:row r="211" ht="12.75" customHeight="1"/>
    <x:row r="212" ht="12.75" customHeight="1"/>
    <x:row r="213" ht="12.75" customHeight="1"/>
    <x:row r="214" ht="12.75" customHeight="1"/>
    <x:row r="215" ht="12.75" customHeight="1"/>
    <x:row r="216" ht="12.75" customHeight="1"/>
    <x:row r="217" ht="12.75" customHeight="1"/>
    <x:row r="218" ht="12.75" customHeight="1"/>
    <x:row r="219" ht="12.75" customHeight="1"/>
    <x:row r="220" ht="12.75" customHeight="1"/>
    <x:row r="221" ht="12.75" customHeight="1"/>
    <x:row r="222" ht="12.75" customHeight="1"/>
    <x:row r="223" ht="12.75" customHeight="1"/>
    <x:row r="224" ht="12.75" customHeight="1"/>
    <x:row r="225" ht="12.75" customHeight="1"/>
    <x:row r="226" ht="12.75" customHeight="1"/>
    <x:row r="227" ht="12.75" customHeight="1"/>
    <x:row r="228" ht="12.75" customHeight="1"/>
    <x:row r="229" ht="12.75" customHeight="1"/>
    <x:row r="230" ht="12.75" customHeight="1"/>
    <x:row r="231" ht="12.75" customHeight="1"/>
    <x:row r="232" ht="12.75" customHeight="1"/>
    <x:row r="233" ht="12.75" customHeight="1"/>
    <x:row r="234" ht="12.75" customHeight="1"/>
    <x:row r="235" ht="12.75" customHeight="1"/>
    <x:row r="236" ht="12.75" customHeight="1"/>
    <x:row r="237" ht="12.75" customHeight="1"/>
    <x:row r="238" ht="12.75" customHeight="1"/>
    <x:row r="239" ht="12.75" customHeight="1"/>
    <x:row r="240" ht="12.75" customHeight="1"/>
    <x:row r="241" ht="12.75" customHeight="1"/>
    <x:row r="242" ht="12.75" customHeight="1"/>
    <x:row r="243" ht="12.75" customHeight="1"/>
    <x:row r="244" ht="12.75" customHeight="1"/>
    <x:row r="245" ht="12.75" customHeight="1"/>
    <x:row r="246" ht="12.75" customHeight="1"/>
    <x:row r="247" ht="12.75" customHeight="1"/>
    <x:row r="248" ht="12.75" customHeight="1"/>
    <x:row r="249" ht="12.75" customHeight="1"/>
    <x:row r="250" ht="12.75" customHeight="1"/>
    <x:row r="251" ht="12.75" customHeight="1"/>
    <x:row r="252" ht="12.75" customHeight="1"/>
    <x:row r="253" ht="12.75" customHeight="1"/>
    <x:row r="254" ht="12.75" customHeight="1"/>
    <x:row r="255" ht="12.75" customHeight="1"/>
    <x:row r="256" ht="12.75" customHeight="1"/>
    <x:row r="257" ht="12.75" customHeight="1"/>
    <x:row r="258" ht="12.75" customHeight="1"/>
    <x:row r="259" ht="12.75" customHeight="1"/>
    <x:row r="260" ht="12.75" customHeight="1"/>
    <x:row r="261" ht="12.75" customHeight="1"/>
    <x:row r="262" ht="12.75" customHeight="1"/>
    <x:row r="263" ht="12.75" customHeight="1"/>
    <x:row r="264" ht="12.75" customHeight="1"/>
    <x:row r="265" ht="12.75" customHeight="1"/>
    <x:row r="266" ht="12.75" customHeight="1"/>
    <x:row r="267" ht="12.75" customHeight="1"/>
    <x:row r="268" ht="12.75" customHeight="1"/>
    <x:row r="269" ht="12.75" customHeight="1"/>
    <x:row r="270" ht="12.75" customHeight="1"/>
    <x:row r="271" ht="12.75" customHeight="1"/>
    <x:row r="272" ht="12.75" customHeight="1"/>
    <x:row r="273" ht="12.75" customHeight="1"/>
    <x:row r="274" ht="12.75" customHeight="1"/>
    <x:row r="275" ht="12.75" customHeight="1"/>
    <x:row r="276" ht="12.75" customHeight="1"/>
    <x:row r="277" ht="12.75" customHeight="1"/>
    <x:row r="278" ht="12.75" customHeight="1"/>
    <x:row r="279" ht="12.75" customHeight="1"/>
    <x:row r="280" ht="12.75" customHeight="1"/>
    <x:row r="281" ht="12.75" customHeight="1"/>
    <x:row r="282" ht="12.75" customHeight="1"/>
    <x:row r="283" ht="12.75" customHeight="1"/>
    <x:row r="284" ht="12.75" customHeight="1"/>
    <x:row r="285" ht="12.75" customHeight="1"/>
    <x:row r="286" ht="12.75" customHeight="1"/>
    <x:row r="287" ht="12.75" customHeight="1"/>
    <x:row r="288" ht="12.75" customHeight="1"/>
    <x:row r="289" ht="12.75" customHeight="1"/>
    <x:row r="290" ht="12.75" customHeight="1"/>
    <x:row r="291" ht="12.75" customHeight="1"/>
    <x:row r="292" ht="12.75" customHeight="1"/>
    <x:row r="293" ht="12.75" customHeight="1"/>
    <x:row r="294" ht="12.75" customHeight="1"/>
    <x:row r="295" ht="12.75" customHeight="1"/>
    <x:row r="296" ht="12.75" customHeight="1"/>
    <x:row r="297" ht="12.75" customHeight="1"/>
    <x:row r="298" ht="12.75" customHeight="1"/>
    <x:row r="299" ht="12.75" customHeight="1"/>
    <x:row r="300" ht="12.75" customHeight="1"/>
    <x:row r="301" ht="12.75" customHeight="1"/>
    <x:row r="302" ht="12.75" customHeight="1"/>
    <x:row r="303" ht="12.75" customHeight="1"/>
    <x:row r="304" ht="12.75" customHeight="1"/>
    <x:row r="305" ht="12.75" customHeight="1"/>
    <x:row r="306" ht="12.75" customHeight="1"/>
    <x:row r="307" ht="12.75" customHeight="1"/>
    <x:row r="308" ht="12.75" customHeight="1"/>
    <x:row r="309" ht="12.75" customHeight="1"/>
    <x:row r="310" ht="12.75" customHeight="1"/>
    <x:row r="311" ht="12.75" customHeight="1"/>
    <x:row r="312" ht="12.75" customHeight="1"/>
    <x:row r="313" ht="12.75" customHeight="1"/>
    <x:row r="314" ht="12.75" customHeight="1"/>
    <x:row r="315" ht="12.75" customHeight="1"/>
    <x:row r="316" ht="12.75" customHeight="1"/>
    <x:row r="317" ht="12.75" customHeight="1"/>
    <x:row r="318" ht="12.75" customHeight="1"/>
    <x:row r="319" ht="12.75" customHeight="1"/>
    <x:row r="320" ht="12.75" customHeight="1"/>
    <x:row r="321" ht="12.75" customHeight="1"/>
    <x:row r="322" ht="12.75" customHeight="1"/>
    <x:row r="323" ht="12.75" customHeight="1"/>
    <x:row r="324" ht="12.75" customHeight="1"/>
    <x:row r="325" ht="12.75" customHeight="1"/>
    <x:row r="326" ht="12.75" customHeight="1"/>
    <x:row r="327" ht="12.75" customHeight="1"/>
    <x:row r="328" ht="12.75" customHeight="1"/>
    <x:row r="329" ht="12.75" customHeight="1"/>
    <x:row r="330" ht="12.75" customHeight="1"/>
    <x:row r="331" ht="12.75" customHeight="1"/>
    <x:row r="332" ht="12.75" customHeight="1"/>
    <x:row r="333" ht="12.75" customHeight="1"/>
    <x:row r="334" ht="12.75" customHeight="1"/>
    <x:row r="335" ht="12.75" customHeight="1"/>
    <x:row r="336" ht="12.75" customHeight="1"/>
    <x:row r="337" ht="12.75" customHeight="1"/>
    <x:row r="338" ht="12.75" customHeight="1"/>
    <x:row r="339" ht="12.75" customHeight="1"/>
    <x:row r="340" ht="12.75" customHeight="1"/>
    <x:row r="341" ht="12.75" customHeight="1"/>
    <x:row r="342" ht="12.75" customHeight="1"/>
    <x:row r="343" ht="12.75" customHeight="1"/>
    <x:row r="344" ht="12.75" customHeight="1"/>
    <x:row r="345" ht="12.75" customHeight="1"/>
    <x:row r="346" ht="12.75" customHeight="1"/>
    <x:row r="347" ht="12.75" customHeight="1"/>
    <x:row r="348" ht="12.75" customHeight="1"/>
    <x:row r="349" ht="12.75" customHeight="1"/>
    <x:row r="350" ht="12.75" customHeight="1"/>
    <x:row r="351" ht="12.75" customHeight="1"/>
    <x:row r="352" ht="12.75" customHeight="1"/>
    <x:row r="353" ht="12.75" customHeight="1"/>
    <x:row r="354" ht="12.75" customHeight="1"/>
    <x:row r="355" ht="12.75" customHeight="1"/>
    <x:row r="356" ht="12.75" customHeight="1"/>
    <x:row r="357" ht="12.75" customHeight="1"/>
    <x:row r="358" ht="12.75" customHeight="1"/>
    <x:row r="359" ht="12.75" customHeight="1"/>
    <x:row r="360" ht="12.75" customHeight="1"/>
    <x:row r="361" ht="12.75" customHeight="1"/>
    <x:row r="362" ht="12.75" customHeight="1"/>
    <x:row r="363" ht="12.75" customHeight="1"/>
    <x:row r="364" ht="12.75" customHeight="1"/>
    <x:row r="365" ht="12.75" customHeight="1"/>
    <x:row r="366" ht="12.75" customHeight="1"/>
    <x:row r="367" ht="12.75" customHeight="1"/>
    <x:row r="368" ht="12.75" customHeight="1"/>
    <x:row r="369" ht="12.75" customHeight="1"/>
    <x:row r="370" ht="12.75" customHeight="1"/>
    <x:row r="371" ht="12.75" customHeight="1"/>
    <x:row r="372" ht="12.75" customHeight="1"/>
    <x:row r="373" ht="12.75" customHeight="1"/>
    <x:row r="374" ht="12.75" customHeight="1"/>
    <x:row r="375" ht="12.75" customHeight="1"/>
    <x:row r="376" ht="12.75" customHeight="1"/>
    <x:row r="377" ht="12.75" customHeight="1"/>
    <x:row r="378" ht="12.75" customHeight="1"/>
    <x:row r="379" ht="12.75" customHeight="1"/>
    <x:row r="380" ht="12.75" customHeight="1"/>
    <x:row r="381" ht="12.75" customHeight="1"/>
    <x:row r="382" ht="12.75" customHeight="1"/>
    <x:row r="383" ht="12.75" customHeight="1"/>
    <x:row r="384" ht="12.75" customHeight="1"/>
    <x:row r="385" ht="12.75" customHeight="1"/>
    <x:row r="386" ht="12.75" customHeight="1"/>
    <x:row r="387" ht="12.75" customHeight="1"/>
    <x:row r="388" ht="12.75" customHeight="1"/>
    <x:row r="389" ht="12.75" customHeight="1"/>
    <x:row r="390" ht="12.75" customHeight="1"/>
    <x:row r="391" ht="12.75" customHeight="1"/>
    <x:row r="392" ht="12.75" customHeight="1"/>
    <x:row r="393" ht="12.75" customHeight="1"/>
    <x:row r="394" ht="12.75" customHeight="1"/>
    <x:row r="395" ht="12.75" customHeight="1"/>
    <x:row r="396" ht="12.75" customHeight="1"/>
    <x:row r="397" ht="12.75" customHeight="1"/>
    <x:row r="398" ht="12.75" customHeight="1"/>
    <x:row r="399" ht="12.75" customHeight="1"/>
    <x:row r="400" ht="12.75" customHeight="1"/>
    <x:row r="401" ht="12.75" customHeight="1"/>
    <x:row r="402" ht="12.75" customHeight="1"/>
    <x:row r="403" ht="12.75" customHeight="1"/>
    <x:row r="404" ht="12.75" customHeight="1"/>
    <x:row r="405" ht="12.75" customHeight="1"/>
    <x:row r="406" ht="12.75" customHeight="1"/>
    <x:row r="407" ht="12.75" customHeight="1"/>
    <x:row r="408" ht="12.75" customHeight="1"/>
    <x:row r="409" ht="12.75" customHeight="1"/>
    <x:row r="410" ht="12.75" customHeight="1"/>
    <x:row r="411" ht="12.75" customHeight="1"/>
    <x:row r="412" ht="12.75" customHeight="1"/>
    <x:row r="413" ht="12.75" customHeight="1"/>
    <x:row r="414" ht="12.75" customHeight="1"/>
    <x:row r="415" ht="12.75" customHeight="1"/>
    <x:row r="416" ht="12.75" customHeight="1"/>
    <x:row r="417" ht="12.75" customHeight="1"/>
    <x:row r="418" ht="12.75" customHeight="1"/>
    <x:row r="419" ht="12.75" customHeight="1"/>
    <x:row r="420" ht="12.75" customHeight="1"/>
    <x:row r="421" ht="12.75" customHeight="1"/>
    <x:row r="422" ht="12.75" customHeight="1"/>
    <x:row r="423" ht="12.75" customHeight="1"/>
    <x:row r="424" ht="12.75" customHeight="1"/>
    <x:row r="425" ht="12.75" customHeight="1"/>
    <x:row r="426" ht="12.75" customHeight="1"/>
    <x:row r="427" ht="12.75" customHeight="1"/>
    <x:row r="428" ht="12.75" customHeight="1"/>
    <x:row r="429" ht="12.75" customHeight="1"/>
    <x:row r="430" ht="12.75" customHeight="1"/>
    <x:row r="431" ht="12.75" customHeight="1"/>
    <x:row r="432" ht="12.75" customHeight="1"/>
    <x:row r="433" ht="12.75" customHeight="1"/>
    <x:row r="434" ht="12.75" customHeight="1"/>
    <x:row r="435" ht="12.75" customHeight="1"/>
    <x:row r="436" ht="12.75" customHeight="1"/>
    <x:row r="437" ht="12.75" customHeight="1"/>
    <x:row r="438" ht="12.75" customHeight="1"/>
    <x:row r="439" ht="12.75" customHeight="1"/>
    <x:row r="440" ht="12.75" customHeight="1"/>
    <x:row r="441" ht="12.75" customHeight="1"/>
    <x:row r="442" ht="12.75" customHeight="1"/>
    <x:row r="443" ht="12.75" customHeight="1"/>
    <x:row r="444" ht="12.75" customHeight="1"/>
    <x:row r="445" ht="12.75" customHeight="1"/>
    <x:row r="446" ht="12.75" customHeight="1"/>
    <x:row r="447" ht="12.75" customHeight="1"/>
    <x:row r="448" ht="12.75" customHeight="1"/>
    <x:row r="449" ht="12.75" customHeight="1"/>
    <x:row r="450" ht="12.75" customHeight="1"/>
    <x:row r="451" ht="12.75" customHeight="1"/>
    <x:row r="452" ht="12.75" customHeight="1"/>
    <x:row r="453" ht="12.75" customHeight="1"/>
    <x:row r="454" ht="12.75" customHeight="1"/>
    <x:row r="455" ht="12.75" customHeight="1"/>
    <x:row r="456" ht="12.75" customHeight="1"/>
    <x:row r="457" ht="12.75" customHeight="1"/>
    <x:row r="458" ht="12.75" customHeight="1"/>
    <x:row r="459" ht="12.75" customHeight="1"/>
    <x:row r="460" ht="12.75" customHeight="1"/>
    <x:row r="461" ht="12.75" customHeight="1"/>
    <x:row r="462" ht="12.75" customHeight="1"/>
    <x:row r="463" ht="12.75" customHeight="1"/>
    <x:row r="464" ht="12.75" customHeight="1"/>
    <x:row r="465" ht="12.75" customHeight="1"/>
    <x:row r="466" ht="12.75" customHeight="1"/>
    <x:row r="467" ht="12.75" customHeight="1"/>
    <x:row r="468" ht="12.75" customHeight="1"/>
    <x:row r="469" ht="12.75" customHeight="1"/>
    <x:row r="470" ht="12.75" customHeight="1"/>
    <x:row r="471" ht="12.75" customHeight="1"/>
    <x:row r="472" ht="12.75" customHeight="1"/>
    <x:row r="473" ht="12.75" customHeight="1"/>
    <x:row r="474" ht="12.75" customHeight="1"/>
    <x:row r="475" ht="12.75" customHeight="1"/>
    <x:row r="476" ht="12.75" customHeight="1"/>
    <x:row r="477" ht="12.75" customHeight="1"/>
    <x:row r="478" ht="12.75" customHeight="1"/>
    <x:row r="479" ht="12.75" customHeight="1"/>
    <x:row r="480" ht="12.75" customHeight="1"/>
    <x:row r="481" ht="12.75" customHeight="1"/>
    <x:row r="482" ht="12.75" customHeight="1"/>
    <x:row r="483" ht="12.75" customHeight="1"/>
    <x:row r="484" ht="12.75" customHeight="1"/>
    <x:row r="485" ht="12.75" customHeight="1"/>
    <x:row r="486" ht="12.75" customHeight="1"/>
    <x:row r="487" ht="12.75" customHeight="1"/>
    <x:row r="488" ht="12.75" customHeight="1"/>
    <x:row r="489" ht="12.75" customHeight="1"/>
    <x:row r="490" ht="12.75" customHeight="1"/>
    <x:row r="491" ht="12.75" customHeight="1"/>
    <x:row r="492" ht="12.75" customHeight="1"/>
    <x:row r="493" ht="12.75" customHeight="1"/>
    <x:row r="494" ht="12.75" customHeight="1"/>
    <x:row r="495" ht="12.75" customHeight="1"/>
    <x:row r="496" ht="12.75" customHeight="1"/>
    <x:row r="497" ht="12.75" customHeight="1"/>
    <x:row r="498" ht="12.75" customHeight="1"/>
    <x:row r="499" ht="12.75" customHeight="1"/>
    <x:row r="500" ht="12.75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sqref="AA2:AA500">
      <x:formula1>"да,нет"</x:formula1>
    </x:dataValidation>
    <x:dataValidation type="list" sqref="C2:C500">
      <x:formula1>'06_Lists'!$A$2:$A$6</x:formula1>
    </x:dataValidation>
    <x:dataValidation type="list" sqref="M2:M500">
      <x:formula1>'06_Lists'!$B$2:$B$10</x:formula1>
    </x:dataValidation>
    <x:dataValidation type="list" sqref="N2:N500">
      <x:formula1>'06_Lists'!$E$2:$E$6</x:formula1>
    </x:dataValidation>
    <x:dataValidation type="list" sqref="O2:O500">
      <x:formula1>'06_Lists'!$C$2:$C$14</x:formula1>
    </x:dataValidation>
    <x:dataValidation type="list" sqref="S2:S500">
      <x:formula1>'06_Lists'!$F$2:$F$6</x:formula1>
    </x:dataValidation>
    <x:dataValidation type="list" sqref="H2:H500">
      <x:formula1>'06_Lists'!$D$2:$D$14</x:formula1>
    </x:dataValidation>
    <x:dataValidation type="list" sqref="Y2:Y500">
      <x:formula1>'06_Lists'!$H$2:$H$76</x:formula1>
    </x:dataValidation>
    <x:dataValidation type="list" sqref="Z2:Z500">
      <x:formula1>'06_Lists'!$G$2:$G$11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890d577a2349a0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44" customWidth="1"/>
    <x:col min="3" max="3" width="22" customWidth="1"/>
    <x:col min="4" max="4" width="20" customWidth="1"/>
    <x:col min="5" max="5" width="42" customWidth="1"/>
  </x:cols>
  <x:sheetData>
    <x:row r="1" ht="27.75" customHeight="1">
      <x:c r="A1" s="9" t="s">
        <x:v>1202</x:v>
      </x:c>
      <x:c r="B1" s="9" t="s">
        <x:v>1203</x:v>
      </x:c>
      <x:c r="C1" s="9" t="s">
        <x:v>1204</x:v>
      </x:c>
      <x:c r="D1" s="9" t="s">
        <x:v>1205</x:v>
      </x:c>
      <x:c r="E1" s="9" t="s">
        <x:v>2</x:v>
      </x:c>
    </x:row>
    <x:row r="2" ht="31.5" customHeight="1">
      <x:c r="A2" s="6" t="s">
        <x:v>12</x:v>
      </x:c>
      <x:c r="B2" s="6" t="s">
        <x:v>1206</x:v>
      </x:c>
      <x:c r="C2" s="6" t="s">
        <x:v>13</x:v>
      </x:c>
      <x:c r="D2" s="6" t="s">
        <x:v>1207</x:v>
      </x:c>
      <x:c r="E2" s="6" t="s">
        <x:v>1208</x:v>
      </x:c>
    </x:row>
    <x:row r="3" ht="31.5" customHeight="1">
      <x:c r="A3" s="6" t="s">
        <x:v>14</x:v>
      </x:c>
      <x:c r="B3" s="6" t="str">
        <x:v>camera lucida, stereoscope, portable camera obscura, compact 35mm cameras, Leica I, Leica system, rangefinder lineage</x:v>
      </x:c>
      <x:c r="C3" s="6" t="str">
        <x:v>PL-001 / PL-009 / PL-010 / будущие PL</x:v>
      </x:c>
      <x:c r="D3" s="6" t="s">
        <x:v>1209</x:v>
      </x:c>
      <x:c r="E3" s="6" t="s">
        <x:v>1210</x:v>
      </x:c>
    </x:row>
    <x:row r="4" ht="15.75" customHeight="1">
      <x:c r="A4" s="6" t="s">
        <x:v>16</x:v>
      </x:c>
      <x:c r="B4" s="6" t="s">
        <x:v>1211</x:v>
      </x:c>
      <x:c r="C4" s="6" t="s">
        <x:v>1212</x:v>
      </x:c>
      <x:c r="D4" s="6" t="s">
        <x:v>1213</x:v>
      </x:c>
      <x:c r="E4" s="6" t="s">
        <x:v>1214</x:v>
      </x:c>
    </x:row>
    <x:row r="5" ht="15.75" customHeight="1">
      <x:c r="A5" s="6" t="s">
        <x:v>18</x:v>
      </x:c>
      <x:c r="B5" s="6" t="s">
        <x:v>1215</x:v>
      </x:c>
      <x:c r="C5" s="6" t="s">
        <x:v>15</x:v>
      </x:c>
      <x:c r="D5" s="6" t="s">
        <x:v>1216</x:v>
      </x:c>
      <x:c r="E5" s="6" t="s">
        <x:v>1217</x:v>
      </x:c>
    </x:row>
    <x:row r="6" ht="31.5" customHeight="1">
      <x:c r="A6" s="6" t="s">
        <x:v>20</x:v>
      </x:c>
      <x:c r="B6" s="6" t="s">
        <x:v>1218</x:v>
      </x:c>
      <x:c r="C6" s="6" t="s">
        <x:v>17</x:v>
      </x:c>
      <x:c r="D6" s="6" t="s">
        <x:v>1219</x:v>
      </x:c>
      <x:c r="E6" s="6" t="s">
        <x:v>1220</x:v>
      </x:c>
    </x:row>
    <x:row r="7" ht="31.5" customHeight="1">
      <x:c r="A7" s="6" t="s">
        <x:v>22</x:v>
      </x:c>
      <x:c r="B7" s="6" t="s">
        <x:v>1221</x:v>
      </x:c>
      <x:c r="C7" s="6" t="s">
        <x:v>19</x:v>
      </x:c>
      <x:c r="D7" s="6" t="s">
        <x:v>1222</x:v>
      </x:c>
      <x:c r="E7" s="6" t="s">
        <x:v>1223</x:v>
      </x:c>
    </x:row>
    <x:row r="8" ht="15.75" customHeight="1">
      <x:c r="A8" s="6" t="s">
        <x:v>24</x:v>
      </x:c>
      <x:c r="B8" s="6" t="str">
        <x:v>бумажный негатив, калотип, стеклянный негатив, сухая желатиновая пластина, рулонная плёнка, Brownie, 120 film, 35 мм, 24×36, Leica I, 135 cartridge, копирование</x:v>
      </x:c>
      <x:c r="C8" s="6" t="str">
        <x:v>PL-004 / PL-006 / PL-007 / PL-008 / PL-009 / PL-010</x:v>
      </x:c>
      <x:c r="D8" s="6" t="s">
        <x:v>1224</x:v>
      </x:c>
      <x:c r="E8" s="6" t="s">
        <x:v>1225</x:v>
      </x:c>
    </x:row>
    <x:row r="9" ht="15.75" customHeight="1">
      <x:c r="A9" s="6" t="s">
        <x:v>26</x:v>
      </x:c>
      <x:c r="B9" s="6" t="s">
        <x:v>1226</x:v>
      </x:c>
      <x:c r="C9" s="6" t="s">
        <x:v>19</x:v>
      </x:c>
      <x:c r="D9" s="6" t="s">
        <x:v>1227</x:v>
      </x:c>
      <x:c r="E9" s="6" t="s">
        <x:v>1228</x:v>
      </x:c>
    </x:row>
    <x:row r="10" ht="15.75" customHeight="1">
      <x:c r="A10" s="6" t="s">
        <x:v>28</x:v>
      </x:c>
      <x:c r="B10" s="6" t="s">
        <x:v>1229</x:v>
      </x:c>
      <x:c r="C10" s="6" t="s">
        <x:v>1230</x:v>
      </x:c>
      <x:c r="D10" s="6" t="s">
        <x:v>1231</x:v>
      </x:c>
      <x:c r="E10" s="6" t="s">
        <x:v>1232</x:v>
      </x:c>
    </x:row>
    <x:row r="11" ht="15.75" customHeight="1">
      <x:c r="A11" s="6" t="s">
        <x:v>29</x:v>
      </x:c>
      <x:c r="B11" s="6" t="s">
        <x:v>1233</x:v>
      </x:c>
      <x:c r="C11" s="6" t="s">
        <x:v>21</x:v>
      </x:c>
      <x:c r="D11" s="6" t="s">
        <x:v>1234</x:v>
      </x:c>
      <x:c r="E11" s="6" t="s">
        <x:v>1235</x:v>
      </x:c>
    </x:row>
    <x:row r="12" ht="15.75" customHeight="1">
      <x:c r="A12" s="6" t="s">
        <x:v>30</x:v>
      </x:c>
      <x:c r="B12" s="6" t="s">
        <x:v>1236</x:v>
      </x:c>
      <x:c r="C12" s="6" t="s">
        <x:v>1237</x:v>
      </x:c>
      <x:c r="D12" s="6" t="s">
        <x:v>1238</x:v>
      </x:c>
      <x:c r="E12" s="6" t="s">
        <x:v>1239</x:v>
      </x:c>
    </x:row>
    <x:row r="13" ht="15.75" customHeight="1">
      <x:c r="A13" s="6" t="s">
        <x:v>31</x:v>
      </x:c>
      <x:c r="B13" s="6" t="str">
        <x:v>lantern slides, публичный показ, киноплёнка, Kinetoscope, 35-мм киноформат</x:v>
      </x:c>
      <x:c r="C13" s="6" t="str">
        <x:v>PL-009 / будущие PL</x:v>
      </x:c>
      <x:c r="D13" s="6" t="s">
        <x:v>1240</x:v>
      </x:c>
      <x:c r="E13" s="6" t="s">
        <x:v>1241</x:v>
      </x:c>
    </x:row>
    <x:row r="14" ht="15.75" customHeight="1">
      <x:c r="A14" s="6" t="s">
        <x:v>32</x:v>
      </x:c>
      <x:c r="B14" s="6" t="s">
        <x:v>1242</x:v>
      </x:c>
      <x:c r="C14" s="6" t="s">
        <x:v>489</x:v>
      </x:c>
      <x:c r="D14" s="6" t="s">
        <x:v>1243</x:v>
      </x:c>
      <x:c r="E14" s="6" t="s">
        <x:v>1244</x:v>
      </x:c>
    </x:row>
  </x:sheetData>
  <x:pageMargins left="0.7" right="0.7" top="0.75" bottom="0.75" header="0.3" footer="0.3"/>
  <x:tableParts count="1">
    <x:tablePart xmlns:r="http://schemas.openxmlformats.org/officeDocument/2006/relationships" r:id="R16153f6431224d74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customWidth="1"/>
    <x:col min="2" max="2" width="27.33203125" customWidth="1"/>
    <x:col min="3" max="3" width="42" customWidth="1"/>
    <x:col min="4" max="4" width="76.1640625" customWidth="1"/>
    <x:col min="5" max="5" width="11.33203125" customWidth="1"/>
    <x:col min="6" max="6" width="28" customWidth="1"/>
  </x:cols>
  <x:sheetData>
    <x:row r="1" ht="27.75" customHeight="1">
      <x:c r="A1" s="1" t="s">
        <x:v>11</x:v>
      </x:c>
      <x:c r="B1" s="1" t="s">
        <x:v>1245</x:v>
      </x:c>
      <x:c r="C1" s="1" t="s">
        <x:v>1246</x:v>
      </x:c>
      <x:c r="D1" s="1" t="s">
        <x:v>1247</x:v>
      </x:c>
      <x:c r="E1" s="1" t="s">
        <x:v>1248</x:v>
      </x:c>
      <x:c r="F1" s="11" t="s">
        <x:v>1249</x:v>
      </x:c>
    </x:row>
    <x:row r="2" ht="31.5" customHeight="1">
      <x:c r="A2" s="6" t="s">
        <x:v>13</x:v>
      </x:c>
      <x:c r="B2" s="6" t="s">
        <x:v>1250</x:v>
      </x:c>
      <x:c r="C2" s="6" t="s">
        <x:v>1251</x:v>
      </x:c>
      <x:c r="D2" s="6" t="s">
        <x:v>1252</x:v>
      </x:c>
      <x:c r="E2" s="6" t="s">
        <x:v>1253</x:v>
      </x:c>
      <x:c r="F2" t="s">
        <x:v>1254</x:v>
      </x:c>
    </x:row>
    <x:row r="3" ht="31.5" customHeight="1">
      <x:c r="A3" s="6" t="s">
        <x:v>15</x:v>
      </x:c>
      <x:c r="B3" s="6" t="s">
        <x:v>1255</x:v>
      </x:c>
      <x:c r="C3" s="6" t="s">
        <x:v>1256</x:v>
      </x:c>
      <x:c r="D3" s="6" t="s">
        <x:v>1257</x:v>
      </x:c>
      <x:c r="E3" s="6" t="s">
        <x:v>1253</x:v>
      </x:c>
      <x:c r="F3" t="s">
        <x:v>1258</x:v>
      </x:c>
    </x:row>
    <x:row r="4" ht="31.5" customHeight="1">
      <x:c r="A4" s="6" t="s">
        <x:v>17</x:v>
      </x:c>
      <x:c r="B4" s="6" t="s">
        <x:v>20</x:v>
      </x:c>
      <x:c r="C4" s="6" t="s">
        <x:v>1259</x:v>
      </x:c>
      <x:c r="D4" s="6" t="s">
        <x:v>1260</x:v>
      </x:c>
      <x:c r="E4" s="6" t="s">
        <x:v>1253</x:v>
      </x:c>
      <x:c r="F4" t="s">
        <x:v>1261</x:v>
      </x:c>
    </x:row>
    <x:row r="5" ht="31.5" customHeight="1">
      <x:c r="A5" s="6" t="s">
        <x:v>19</x:v>
      </x:c>
      <x:c r="B5" s="6" t="s">
        <x:v>1262</x:v>
      </x:c>
      <x:c r="C5" s="6" t="s">
        <x:v>1263</x:v>
      </x:c>
      <x:c r="D5" s="6" t="s">
        <x:v>1264</x:v>
      </x:c>
      <x:c r="E5" s="6" t="s">
        <x:v>1253</x:v>
      </x:c>
      <x:c r="F5" t="s">
        <x:v>1265</x:v>
      </x:c>
    </x:row>
    <x:row r="6" ht="31.5" customHeight="1">
      <x:c r="A6" s="6" t="s">
        <x:v>21</x:v>
      </x:c>
      <x:c r="B6" s="6" t="s">
        <x:v>29</x:v>
      </x:c>
      <x:c r="C6" s="6" t="s">
        <x:v>1266</x:v>
      </x:c>
      <x:c r="D6" s="6" t="s">
        <x:v>1267</x:v>
      </x:c>
      <x:c r="E6" s="6" t="s">
        <x:v>1253</x:v>
      </x:c>
      <x:c r="F6" t="s">
        <x:v>1268</x:v>
      </x:c>
    </x:row>
    <x:row r="7" ht="31.5" customHeight="1">
      <x:c r="A7" s="6" t="s">
        <x:v>23</x:v>
      </x:c>
      <x:c r="B7" s="6" t="s">
        <x:v>1269</x:v>
      </x:c>
      <x:c r="C7" s="6" t="s">
        <x:v>1270</x:v>
      </x:c>
      <x:c r="D7" s="6" t="s">
        <x:v>1271</x:v>
      </x:c>
      <x:c r="E7" s="6" t="s">
        <x:v>1272</x:v>
      </x:c>
      <x:c r="F7" t="s">
        <x:v>1273</x:v>
      </x:c>
    </x:row>
    <x:row r="8" ht="12.75" customHeight="1">
      <x:c r="A8" s="11" t="s">
        <x:v>25</x:v>
      </x:c>
      <x:c r="B8" s="11" t="s">
        <x:v>1274</x:v>
      </x:c>
      <x:c r="C8" s="11" t="s">
        <x:v>1275</x:v>
      </x:c>
      <x:c r="D8" s="11" t="s">
        <x:v>1276</x:v>
      </x:c>
      <x:c r="E8" s="11" t="s">
        <x:v>1272</x:v>
      </x:c>
      <x:c r="F8" t="s">
        <x:v>1277</x:v>
      </x:c>
    </x:row>
    <x:row r="9" ht="28">
      <x:c r="A9" s="11" t="s">
        <x:v>27</x:v>
      </x:c>
      <x:c r="B9" s="11" t="s">
        <x:v>1278</x:v>
      </x:c>
      <x:c r="C9" s="11" t="s">
        <x:v>1279</x:v>
      </x:c>
      <x:c r="D9" s="11" t="s">
        <x:v>1280</x:v>
      </x:c>
      <x:c r="E9" s="11" t="s">
        <x:v>1272</x:v>
      </x:c>
      <x:c r="F9" s="11" t="s">
        <x:v>1281</x:v>
      </x:c>
    </x:row>
    <x:row r="10" ht="28">
      <x:c r="A10" s="28" t="str">
        <x:v>PL-009</x:v>
      </x:c>
      <x:c r="B10" s="28" t="str">
        <x:v>35 мм</x:v>
      </x:c>
      <x:c r="C10" s="28" t="str">
        <x:v>PL-HIST-0079…0088</x:v>
      </x:c>
      <x:c r="D10" s="28" t="str">
        <x:v>35 мм родился в кино, но стал языком компактной фотографии: киноплёнка превратилась в маленький кадр 24×36 и открыла путь Leica.</x:v>
      </x:c>
      <x:c r="E10" s="28" t="str">
        <x:v>основа заполнена</x:v>
      </x:c>
      <x:c r="F10" s="28" t="str">
        <x:v>https://t.me/photolab_vf</x:v>
      </x:c>
    </x:row>
    <x:row r="11">
      <x:c r="A11" s="28" t="str">
        <x:v>PL-010</x:v>
      </x:c>
      <x:c r="B11" s="28" t="str">
        <x:v>Leica I</x:v>
      </x:c>
      <x:c r="C11" s="28" t="str">
        <x:v>PL-HIST-0089…0098</x:v>
      </x:c>
      <x:c r="D11" s="28" t="str">
        <x:v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v>
      </x:c>
      <x:c r="E11" s="28" t="str">
        <x:v>основа заполнена</x:v>
      </x:c>
      <x:c r="F11" s="28" t="str">
        <x:v>https://t.me/photolab_vf</x:v>
      </x:c>
    </x:row>
    <x:row r="12">
      <x:c r="A12" s="28" t="str">
        <x:v>будущие PL</x:v>
      </x:c>
      <x:c r="B12" s="28" t="str">
        <x:v>Расширение после PL-010</x:v>
      </x:c>
      <x:c r="C12" s="28" t="str">
        <x:v>Цвет, вспышка, автофокус, цифровая фотография, смартфоны, AI</x:v>
      </x:c>
      <x:c r="D12" s="28" t="str">
        <x:v>После Leica фотография будет развиваться как система: материал, камера, объектив, экспозиция, фокус, жанры, печать и авторский проект.</x:v>
      </x:c>
      <x:c r="E12" s="28" t="str">
        <x:v>планируется</x:v>
      </x:c>
      <x:c r="F12" s="28"/>
    </x:row>
  </x:sheetData>
  <x:pageMargins left="0.7" right="0.7" top="0.75" bottom="0.75" header="0.3" footer="0.3"/>
  <x:tableParts count="1">
    <x:tablePart xmlns:r="http://schemas.openxmlformats.org/officeDocument/2006/relationships" r:id="R53660eaa7e6944b1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42" customWidth="1"/>
    <x:col min="3" max="3" width="70" customWidth="1"/>
    <x:col min="4" max="4" width="42" customWidth="1"/>
    <x:col min="5" max="5" width="30" customWidth="1"/>
  </x:cols>
  <x:sheetData>
    <x:row r="1" ht="27.75" customHeight="1">
      <x:c r="A1" s="9" t="s">
        <x:v>58</x:v>
      </x:c>
      <x:c r="B1" s="9" t="s">
        <x:v>1282</x:v>
      </x:c>
      <x:c r="C1" s="9" t="s">
        <x:v>1283</x:v>
      </x:c>
      <x:c r="D1" s="9" t="s">
        <x:v>1284</x:v>
      </x:c>
      <x:c r="E1" s="9" t="s">
        <x:v>1285</x:v>
      </x:c>
    </x:row>
    <x:row r="2" ht="31.5" customHeight="1">
      <x:c r="A2" s="6" t="s">
        <x:v>81</x:v>
      </x:c>
      <x:c r="B2" s="6" t="s">
        <x:v>82</x:v>
      </x:c>
      <x:c r="C2" s="6" t="s">
        <x:v>83</x:v>
      </x:c>
      <x:c r="D2" s="6" t="s">
        <x:v>1286</x:v>
      </x:c>
      <x:c r="E2" s="6" t="s">
        <x:v>1287</x:v>
      </x:c>
    </x:row>
    <x:row r="3" ht="31.5" customHeight="1">
      <x:c r="A3" s="6" t="s">
        <x:v>119</x:v>
      </x:c>
      <x:c r="B3" s="6" t="s">
        <x:v>120</x:v>
      </x:c>
      <x:c r="C3" s="6" t="s">
        <x:v>121</x:v>
      </x:c>
      <x:c r="D3" s="6" t="s">
        <x:v>1288</x:v>
      </x:c>
      <x:c r="E3" s="6" t="s">
        <x:v>1289</x:v>
      </x:c>
    </x:row>
    <x:row r="4" ht="31.5" customHeight="1">
      <x:c r="A4" s="6" t="s">
        <x:v>101</x:v>
      </x:c>
      <x:c r="B4" s="6" t="s">
        <x:v>102</x:v>
      </x:c>
      <x:c r="C4" s="6" t="s">
        <x:v>103</x:v>
      </x:c>
      <x:c r="D4" s="6" t="s">
        <x:v>1290</x:v>
      </x:c>
      <x:c r="E4" s="6" t="s">
        <x:v>1291</x:v>
      </x:c>
    </x:row>
    <x:row r="5" ht="31.5" customHeight="1">
      <x:c r="A5" s="6" t="s">
        <x:v>190</x:v>
      </x:c>
      <x:c r="B5" s="6" t="s">
        <x:v>191</x:v>
      </x:c>
      <x:c r="C5" s="6" t="s">
        <x:v>192</x:v>
      </x:c>
      <x:c r="D5" s="6" t="s">
        <x:v>1292</x:v>
      </x:c>
      <x:c r="E5" s="6" t="s">
        <x:v>1293</x:v>
      </x:c>
    </x:row>
    <x:row r="6" ht="31.5" customHeight="1">
      <x:c r="A6" s="6" t="s">
        <x:v>207</x:v>
      </x:c>
      <x:c r="B6" s="6" t="s">
        <x:v>208</x:v>
      </x:c>
      <x:c r="C6" s="6" t="s">
        <x:v>209</x:v>
      </x:c>
      <x:c r="D6" s="6" t="s">
        <x:v>1294</x:v>
      </x:c>
      <x:c r="E6" s="6" t="s">
        <x:v>1295</x:v>
      </x:c>
    </x:row>
    <x:row r="7" ht="15.75" customHeight="1">
      <x:c r="A7" s="6" t="s">
        <x:v>224</x:v>
      </x:c>
      <x:c r="B7" s="6" t="s">
        <x:v>225</x:v>
      </x:c>
      <x:c r="C7" s="6" t="s">
        <x:v>226</x:v>
      </x:c>
      <x:c r="D7" s="6" t="s">
        <x:v>1296</x:v>
      </x:c>
      <x:c r="E7" s="6" t="s">
        <x:v>1297</x:v>
      </x:c>
    </x:row>
    <x:row r="8" ht="31.5" customHeight="1">
      <x:c r="A8" s="6" t="s">
        <x:v>244</x:v>
      </x:c>
      <x:c r="B8" s="6" t="s">
        <x:v>245</x:v>
      </x:c>
      <x:c r="C8" s="6" t="s">
        <x:v>246</x:v>
      </x:c>
      <x:c r="D8" s="6" t="s">
        <x:v>1298</x:v>
      </x:c>
      <x:c r="E8" s="6" t="s">
        <x:v>1295</x:v>
      </x:c>
    </x:row>
    <x:row r="9" ht="31.5" customHeight="1">
      <x:c r="A9" s="6" t="s">
        <x:v>261</x:v>
      </x:c>
      <x:c r="B9" s="6" t="s">
        <x:v>262</x:v>
      </x:c>
      <x:c r="C9" s="6" t="s">
        <x:v>263</x:v>
      </x:c>
      <x:c r="D9" s="6" t="s">
        <x:v>1299</x:v>
      </x:c>
      <x:c r="E9" s="6" t="s">
        <x:v>1300</x:v>
      </x:c>
    </x:row>
    <x:row r="10" ht="15.75" customHeight="1">
      <x:c r="A10" s="6" t="s">
        <x:v>280</x:v>
      </x:c>
      <x:c r="B10" s="6" t="s">
        <x:v>281</x:v>
      </x:c>
      <x:c r="C10" s="6" t="s">
        <x:v>282</x:v>
      </x:c>
      <x:c r="D10" s="6" t="s">
        <x:v>1301</x:v>
      </x:c>
      <x:c r="E10" s="6" t="s">
        <x:v>1302</x:v>
      </x:c>
    </x:row>
    <x:row r="11" ht="31.5" customHeight="1">
      <x:c r="A11" s="6" t="s">
        <x:v>312</x:v>
      </x:c>
      <x:c r="B11" s="6" t="s">
        <x:v>313</x:v>
      </x:c>
      <x:c r="C11" s="6" t="s">
        <x:v>314</x:v>
      </x:c>
      <x:c r="D11" s="6" t="s">
        <x:v>1303</x:v>
      </x:c>
      <x:c r="E11" s="6" t="s">
        <x:v>1304</x:v>
      </x:c>
    </x:row>
    <x:row r="12" ht="31.5" customHeight="1">
      <x:c r="A12" s="6" t="s">
        <x:v>297</x:v>
      </x:c>
      <x:c r="B12" s="6" t="s">
        <x:v>298</x:v>
      </x:c>
      <x:c r="C12" s="6" t="s">
        <x:v>299</x:v>
      </x:c>
      <x:c r="D12" s="6" t="s">
        <x:v>1305</x:v>
      </x:c>
      <x:c r="E12" s="6" t="s">
        <x:v>1306</x:v>
      </x:c>
    </x:row>
    <x:row r="13" ht="31.5" customHeight="1">
      <x:c r="A13" s="6" t="s">
        <x:v>428</x:v>
      </x:c>
      <x:c r="B13" s="6" t="s">
        <x:v>429</x:v>
      </x:c>
      <x:c r="C13" s="6" t="s">
        <x:v>430</x:v>
      </x:c>
      <x:c r="D13" s="6" t="s">
        <x:v>1307</x:v>
      </x:c>
      <x:c r="E13" s="6" t="s">
        <x:v>1308</x:v>
      </x:c>
    </x:row>
    <x:row r="14" ht="31.5" customHeight="1">
      <x:c r="A14" s="6" t="s">
        <x:v>400</x:v>
      </x:c>
      <x:c r="B14" s="6" t="s">
        <x:v>401</x:v>
      </x:c>
      <x:c r="C14" s="6" t="s">
        <x:v>402</x:v>
      </x:c>
      <x:c r="D14" s="6" t="s">
        <x:v>1309</x:v>
      </x:c>
      <x:c r="E14" s="6" t="s">
        <x:v>1310</x:v>
      </x:c>
    </x:row>
    <x:row r="15" ht="31.5" customHeight="1">
      <x:c r="A15" s="6" t="s">
        <x:v>1311</x:v>
      </x:c>
      <x:c r="B15" s="6" t="s">
        <x:v>1312</x:v>
      </x:c>
      <x:c r="C15" s="6" t="s">
        <x:v>1313</x:v>
      </x:c>
      <x:c r="D15" s="6" t="s">
        <x:v>1314</x:v>
      </x:c>
      <x:c r="E15" s="6" t="s">
        <x:v>1315</x:v>
      </x:c>
    </x:row>
    <x:row r="16" ht="31.5" customHeight="1">
      <x:c r="A16" s="6" t="s">
        <x:v>530</x:v>
      </x:c>
      <x:c r="B16" s="6" t="s">
        <x:v>531</x:v>
      </x:c>
      <x:c r="C16" s="6" t="s">
        <x:v>532</x:v>
      </x:c>
      <x:c r="D16" s="6" t="s">
        <x:v>1316</x:v>
      </x:c>
      <x:c r="E16" s="6" t="s">
        <x:v>1317</x:v>
      </x:c>
    </x:row>
    <x:row r="17" ht="31.5" customHeight="1">
      <x:c r="A17" s="6" t="s">
        <x:v>383</x:v>
      </x:c>
      <x:c r="B17" s="6" t="s">
        <x:v>384</x:v>
      </x:c>
      <x:c r="C17" s="6" t="s">
        <x:v>385</x:v>
      </x:c>
      <x:c r="D17" s="6" t="s">
        <x:v>1318</x:v>
      </x:c>
      <x:c r="E17" s="6" t="s">
        <x:v>1310</x:v>
      </x:c>
    </x:row>
    <x:row r="18" ht="15.75" customHeight="1">
      <x:c r="A18" s="6" t="s">
        <x:v>462</x:v>
      </x:c>
      <x:c r="B18" s="6" t="s">
        <x:v>463</x:v>
      </x:c>
      <x:c r="C18" s="6" t="s">
        <x:v>464</x:v>
      </x:c>
      <x:c r="D18" s="6" t="s">
        <x:v>1319</x:v>
      </x:c>
      <x:c r="E18" s="6" t="s">
        <x:v>1320</x:v>
      </x:c>
    </x:row>
    <x:row r="19" ht="31.5" customHeight="1">
      <x:c r="A19" s="6" t="s">
        <x:v>556</x:v>
      </x:c>
      <x:c r="B19" s="6" t="s">
        <x:v>557</x:v>
      </x:c>
      <x:c r="C19" s="6" t="s">
        <x:v>558</x:v>
      </x:c>
      <x:c r="D19" s="6" t="s">
        <x:v>1321</x:v>
      </x:c>
      <x:c r="E19" s="6" t="s">
        <x:v>1289</x:v>
      </x:c>
    </x:row>
    <x:row r="20" ht="31.5" customHeight="1">
      <x:c r="A20" s="6" t="s">
        <x:v>573</x:v>
      </x:c>
      <x:c r="B20" s="6" t="s">
        <x:v>574</x:v>
      </x:c>
      <x:c r="C20" s="6" t="s">
        <x:v>575</x:v>
      </x:c>
      <x:c r="D20" s="6" t="s">
        <x:v>1322</x:v>
      </x:c>
      <x:c r="E20" s="6" t="s">
        <x:v>1295</x:v>
      </x:c>
    </x:row>
    <x:row r="21" ht="31.5" customHeight="1">
      <x:c r="A21" s="6" t="s">
        <x:v>542</x:v>
      </x:c>
      <x:c r="B21" s="6" t="s">
        <x:v>543</x:v>
      </x:c>
      <x:c r="C21" s="6" t="s">
        <x:v>544</x:v>
      </x:c>
      <x:c r="D21" s="6" t="s">
        <x:v>1323</x:v>
      </x:c>
      <x:c r="E21" s="6" t="s">
        <x:v>1295</x:v>
      </x:c>
    </x:row>
    <x:row r="22" ht="31.5" customHeight="1">
      <x:c r="A22" s="6" t="s">
        <x:v>665</x:v>
      </x:c>
      <x:c r="B22" s="6" t="s">
        <x:v>666</x:v>
      </x:c>
      <x:c r="C22" s="6" t="s">
        <x:v>667</x:v>
      </x:c>
      <x:c r="D22" s="6" t="s">
        <x:v>1324</x:v>
      </x:c>
      <x:c r="E22" s="6" t="s">
        <x:v>1325</x:v>
      </x:c>
    </x:row>
    <x:row r="23" ht="31.5" customHeight="1">
      <x:c r="A23" s="6" t="s">
        <x:v>716</x:v>
      </x:c>
      <x:c r="B23" s="6" t="s">
        <x:v>717</x:v>
      </x:c>
      <x:c r="C23" s="6" t="s">
        <x:v>718</x:v>
      </x:c>
      <x:c r="D23" s="6" t="s">
        <x:v>1326</x:v>
      </x:c>
      <x:c r="E23" s="6" t="s">
        <x:v>1315</x:v>
      </x:c>
    </x:row>
    <x:row r="24" ht="15.75" customHeight="1">
      <x:c r="A24" s="6" t="s">
        <x:v>369</x:v>
      </x:c>
      <x:c r="B24" s="6" t="s">
        <x:v>370</x:v>
      </x:c>
      <x:c r="C24" s="6" t="s">
        <x:v>371</x:v>
      </x:c>
      <x:c r="D24" s="6" t="s">
        <x:v>1327</x:v>
      </x:c>
      <x:c r="E24" s="6" t="s">
        <x:v>1295</x:v>
      </x:c>
    </x:row>
    <x:row r="25" ht="31.5" customHeight="1">
      <x:c r="A25" s="6" t="s">
        <x:v>490</x:v>
      </x:c>
      <x:c r="B25" s="6" t="s">
        <x:v>491</x:v>
      </x:c>
      <x:c r="C25" s="6" t="s">
        <x:v>492</x:v>
      </x:c>
      <x:c r="D25" s="6" t="s">
        <x:v>1328</x:v>
      </x:c>
      <x:c r="E25" s="6" t="s">
        <x:v>1329</x:v>
      </x:c>
    </x:row>
    <x:row r="26" ht="31.5" customHeight="1">
      <x:c r="A26" s="6" t="s">
        <x:v>627</x:v>
      </x:c>
      <x:c r="B26" s="6" t="s">
        <x:v>628</x:v>
      </x:c>
      <x:c r="C26" s="6" t="s">
        <x:v>629</x:v>
      </x:c>
      <x:c r="D26" s="6" t="s">
        <x:v>1330</x:v>
      </x:c>
      <x:c r="E26" s="6" t="s">
        <x:v>1331</x:v>
      </x:c>
    </x:row>
    <x:row r="27" ht="31.5" customHeight="1">
      <x:c r="A27" s="6" t="s">
        <x:v>1332</x:v>
      </x:c>
      <x:c r="B27" s="6" t="s">
        <x:v>1333</x:v>
      </x:c>
      <x:c r="C27" s="6" t="s">
        <x:v>1334</x:v>
      </x:c>
      <x:c r="D27" s="6" t="s">
        <x:v>1335</x:v>
      </x:c>
      <x:c r="E27" s="6" t="s">
        <x:v>1336</x:v>
      </x:c>
    </x:row>
    <x:row r="28" ht="23.25" customHeight="1">
      <x:c r="A28" s="5" t="s">
        <x:v>771</x:v>
      </x:c>
      <x:c r="B28" s="5" t="s">
        <x:v>772</x:v>
      </x:c>
      <x:c r="C28" s="5" t="s">
        <x:v>773</x:v>
      </x:c>
      <x:c r="D28" s="5" t="s">
        <x:v>1337</x:v>
      </x:c>
      <x:c r="E28" s="5" t="s">
        <x:v>1295</x:v>
      </x:c>
    </x:row>
    <x:row r="29" ht="23.25" customHeight="1">
      <x:c r="A29" s="5" t="s">
        <x:v>818</x:v>
      </x:c>
      <x:c r="B29" s="5" t="s">
        <x:v>819</x:v>
      </x:c>
      <x:c r="C29" s="5" t="s">
        <x:v>820</x:v>
      </x:c>
      <x:c r="D29" s="5" t="s">
        <x:v>1338</x:v>
      </x:c>
      <x:c r="E29" s="5" t="s">
        <x:v>1325</x:v>
      </x:c>
    </x:row>
    <x:row r="30" ht="23.25" customHeight="1">
      <x:c r="A30" s="5" t="s">
        <x:v>802</x:v>
      </x:c>
      <x:c r="B30" s="5" t="s">
        <x:v>803</x:v>
      </x:c>
      <x:c r="C30" s="5" t="s">
        <x:v>804</x:v>
      </x:c>
      <x:c r="D30" s="5" t="s">
        <x:v>1339</x:v>
      </x:c>
      <x:c r="E30" s="5" t="s">
        <x:v>1295</x:v>
      </x:c>
    </x:row>
    <x:row r="31" ht="23.25" customHeight="1">
      <x:c r="A31" s="5" t="s">
        <x:v>834</x:v>
      </x:c>
      <x:c r="B31" s="5" t="s">
        <x:v>835</x:v>
      </x:c>
      <x:c r="C31" s="5" t="s">
        <x:v>836</x:v>
      </x:c>
      <x:c r="D31" s="5" t="s">
        <x:v>1340</x:v>
      </x:c>
      <x:c r="E31" s="5" t="s">
        <x:v>1341</x:v>
      </x:c>
    </x:row>
    <x:row r="32" ht="23.25" customHeight="1">
      <x:c r="A32" s="5" t="s">
        <x:v>850</x:v>
      </x:c>
      <x:c r="B32" s="5" t="s">
        <x:v>851</x:v>
      </x:c>
      <x:c r="C32" s="5" t="s">
        <x:v>852</x:v>
      </x:c>
      <x:c r="D32" s="5" t="s">
        <x:v>1342</x:v>
      </x:c>
      <x:c r="E32" s="5" t="s">
        <x:v>1343</x:v>
      </x:c>
    </x:row>
    <x:row r="33" ht="23.25" customHeight="1">
      <x:c r="A33" s="5" t="s">
        <x:v>866</x:v>
      </x:c>
      <x:c r="B33" s="5" t="s">
        <x:v>867</x:v>
      </x:c>
      <x:c r="C33" s="5" t="s">
        <x:v>868</x:v>
      </x:c>
      <x:c r="D33" s="5" t="s">
        <x:v>1344</x:v>
      </x:c>
      <x:c r="E33" s="5" t="s">
        <x:v>1343</x:v>
      </x:c>
    </x:row>
    <x:row r="34" ht="23.25" customHeight="1">
      <x:c r="A34" s="5" t="s">
        <x:v>881</x:v>
      </x:c>
      <x:c r="B34" s="5" t="s">
        <x:v>882</x:v>
      </x:c>
      <x:c r="C34" s="5" t="s">
        <x:v>883</x:v>
      </x:c>
      <x:c r="D34" s="5" t="s">
        <x:v>1345</x:v>
      </x:c>
      <x:c r="E34" s="5" t="s">
        <x:v>1346</x:v>
      </x:c>
    </x:row>
    <x:row r="35" ht="23.25" customHeight="1">
      <x:c r="A35" s="5" t="s">
        <x:v>896</x:v>
      </x:c>
      <x:c r="B35" s="5" t="s">
        <x:v>897</x:v>
      </x:c>
      <x:c r="C35" s="5" t="s">
        <x:v>898</x:v>
      </x:c>
      <x:c r="D35" s="5" t="s">
        <x:v>1347</x:v>
      </x:c>
      <x:c r="E35" s="5" t="s">
        <x:v>1295</x:v>
      </x:c>
    </x:row>
    <x:row r="36" ht="28">
      <x:c r="A36" s="11" t="s">
        <x:v>937</x:v>
      </x:c>
      <x:c r="B36" s="11" t="s">
        <x:v>938</x:v>
      </x:c>
      <x:c r="C36" s="11" t="s">
        <x:v>939</x:v>
      </x:c>
      <x:c r="D36" s="11" t="s">
        <x:v>1348</x:v>
      </x:c>
      <x:c r="E36" s="11" t="s">
        <x:v>1302</x:v>
      </x:c>
    </x:row>
    <x:row r="37" ht="42">
      <x:c r="A37" s="11" t="s">
        <x:v>949</x:v>
      </x:c>
      <x:c r="B37" s="11" t="s">
        <x:v>950</x:v>
      </x:c>
      <x:c r="C37" s="11" t="s">
        <x:v>951</x:v>
      </x:c>
      <x:c r="D37" s="11" t="s">
        <x:v>1349</x:v>
      </x:c>
      <x:c r="E37" s="11" t="s">
        <x:v>1295</x:v>
      </x:c>
    </x:row>
    <x:row r="38" ht="28">
      <x:c r="A38" s="11" t="s">
        <x:v>965</x:v>
      </x:c>
      <x:c r="B38" s="11" t="s">
        <x:v>966</x:v>
      </x:c>
      <x:c r="C38" s="11" t="s">
        <x:v>967</x:v>
      </x:c>
      <x:c r="D38" s="11" t="s">
        <x:v>1350</x:v>
      </x:c>
      <x:c r="E38" s="11" t="s">
        <x:v>1351</x:v>
      </x:c>
    </x:row>
    <x:row r="39" ht="28">
      <x:c r="A39" s="11" t="s">
        <x:v>982</x:v>
      </x:c>
      <x:c r="B39" s="11" t="s">
        <x:v>983</x:v>
      </x:c>
      <x:c r="C39" s="11" t="s">
        <x:v>984</x:v>
      </x:c>
      <x:c r="D39" s="11" t="s">
        <x:v>1352</x:v>
      </x:c>
      <x:c r="E39" s="11" t="s">
        <x:v>1302</x:v>
      </x:c>
    </x:row>
    <x:row r="40" ht="28">
      <x:c r="A40" s="11" t="s">
        <x:v>995</x:v>
      </x:c>
      <x:c r="B40" s="11" t="s">
        <x:v>996</x:v>
      </x:c>
      <x:c r="C40" s="11" t="s">
        <x:v>997</x:v>
      </x:c>
      <x:c r="D40" s="11" t="s">
        <x:v>1353</x:v>
      </x:c>
      <x:c r="E40" s="11" t="s">
        <x:v>1310</x:v>
      </x:c>
    </x:row>
    <x:row r="41" ht="28">
      <x:c r="A41" s="11" t="s">
        <x:v>1008</x:v>
      </x:c>
      <x:c r="B41" s="11" t="s">
        <x:v>1009</x:v>
      </x:c>
      <x:c r="C41" s="11" t="s">
        <x:v>1010</x:v>
      </x:c>
      <x:c r="D41" s="11" t="s">
        <x:v>1354</x:v>
      </x:c>
      <x:c r="E41" s="11" t="s">
        <x:v>1295</x:v>
      </x:c>
    </x:row>
    <x:row r="42" ht="42">
      <x:c r="A42" s="11" t="s">
        <x:v>1023</x:v>
      </x:c>
      <x:c r="B42" s="11" t="s">
        <x:v>1024</x:v>
      </x:c>
      <x:c r="C42" s="11" t="s">
        <x:v>1025</x:v>
      </x:c>
      <x:c r="D42" s="11" t="s">
        <x:v>1355</x:v>
      </x:c>
      <x:c r="E42" s="11" t="s">
        <x:v>1356</x:v>
      </x:c>
    </x:row>
    <x:row r="43" ht="28">
      <x:c r="A43" s="11" t="s">
        <x:v>1038</x:v>
      </x:c>
      <x:c r="B43" s="11" t="s">
        <x:v>1039</x:v>
      </x:c>
      <x:c r="C43" s="11" t="s">
        <x:v>1040</x:v>
      </x:c>
      <x:c r="D43" s="11" t="s">
        <x:v>1357</x:v>
      </x:c>
      <x:c r="E43" s="11" t="s">
        <x:v>1356</x:v>
      </x:c>
    </x:row>
    <x:row r="44" ht="28">
      <x:c r="A44" s="11" t="s">
        <x:v>1053</x:v>
      </x:c>
      <x:c r="B44" s="11" t="s">
        <x:v>1054</x:v>
      </x:c>
      <x:c r="C44" s="11" t="s">
        <x:v>1055</x:v>
      </x:c>
      <x:c r="D44" s="11" t="s">
        <x:v>1358</x:v>
      </x:c>
      <x:c r="E44" s="11" t="s">
        <x:v>1295</x:v>
      </x:c>
    </x:row>
    <x:row r="45" ht="28">
      <x:c r="A45" s="11" t="s">
        <x:v>1066</x:v>
      </x:c>
      <x:c r="B45" s="11" t="s">
        <x:v>1067</x:v>
      </x:c>
      <x:c r="C45" s="11" t="s">
        <x:v>1068</x:v>
      </x:c>
      <x:c r="D45" s="11" t="s">
        <x:v>1359</x:v>
      </x:c>
      <x:c r="E45" s="11" t="s">
        <x:v>1302</x:v>
      </x:c>
    </x:row>
    <x:row r="46" ht="28">
      <x:c r="A46" s="11" t="s">
        <x:v>1360</x:v>
      </x:c>
      <x:c r="B46" s="11" t="s">
        <x:v>1361</x:v>
      </x:c>
      <x:c r="C46" s="11" t="s">
        <x:v>1362</x:v>
      </x:c>
      <x:c r="D46" s="11" t="s">
        <x:v>1363</x:v>
      </x:c>
      <x:c r="E46" s="11" t="s">
        <x:v>1325</x:v>
      </x:c>
    </x:row>
    <x:row r="47" ht="28">
      <x:c r="A47" s="11" t="s">
        <x:v>1080</x:v>
      </x:c>
      <x:c r="B47" s="11" t="s">
        <x:v>1081</x:v>
      </x:c>
      <x:c r="C47" s="11" t="s">
        <x:v>1082</x:v>
      </x:c>
      <x:c r="D47" s="11" t="s">
        <x:v>1364</x:v>
      </x:c>
      <x:c r="E47" s="11" t="s">
        <x:v>1365</x:v>
      </x:c>
    </x:row>
    <x:row r="48" ht="42">
      <x:c r="A48" s="11" t="s">
        <x:v>1096</x:v>
      </x:c>
      <x:c r="B48" s="11" t="s">
        <x:v>1097</x:v>
      </x:c>
      <x:c r="C48" s="11" t="s">
        <x:v>1098</x:v>
      </x:c>
      <x:c r="D48" s="11" t="s">
        <x:v>1366</x:v>
      </x:c>
      <x:c r="E48" s="11" t="s">
        <x:v>1325</x:v>
      </x:c>
    </x:row>
    <x:row r="49" ht="28">
      <x:c r="A49" s="11" t="s">
        <x:v>1367</x:v>
      </x:c>
      <x:c r="B49" s="11" t="s">
        <x:v>1368</x:v>
      </x:c>
      <x:c r="C49" s="11" t="s">
        <x:v>1369</x:v>
      </x:c>
      <x:c r="D49" s="11" t="s">
        <x:v>1370</x:v>
      </x:c>
      <x:c r="E49" s="11" t="s">
        <x:v>1371</x:v>
      </x:c>
    </x:row>
    <x:row r="50" ht="28">
      <x:c r="A50" s="11" t="s">
        <x:v>1127</x:v>
      </x:c>
      <x:c r="B50" s="11" t="s">
        <x:v>1128</x:v>
      </x:c>
      <x:c r="C50" s="11" t="s">
        <x:v>1129</x:v>
      </x:c>
      <x:c r="D50" s="11" t="s">
        <x:v>1372</x:v>
      </x:c>
      <x:c r="E50" s="11" t="s">
        <x:v>1295</x:v>
      </x:c>
    </x:row>
    <x:row r="51" ht="28">
      <x:c r="A51" s="11" t="s">
        <x:v>1111</x:v>
      </x:c>
      <x:c r="B51" s="11" t="s">
        <x:v>1112</x:v>
      </x:c>
      <x:c r="C51" s="11" t="s">
        <x:v>1113</x:v>
      </x:c>
      <x:c r="D51" s="11" t="s">
        <x:v>1373</x:v>
      </x:c>
      <x:c r="E51" s="11" t="s">
        <x:v>1302</x:v>
      </x:c>
    </x:row>
    <x:row r="52" ht="42">
      <x:c r="A52" s="11" t="s">
        <x:v>1193</x:v>
      </x:c>
      <x:c r="B52" s="11" t="s">
        <x:v>1194</x:v>
      </x:c>
      <x:c r="C52" s="11" t="s">
        <x:v>1195</x:v>
      </x:c>
      <x:c r="D52" s="11" t="s">
        <x:v>1374</x:v>
      </x:c>
      <x:c r="E52" s="11" t="s">
        <x:v>1302</x:v>
      </x:c>
    </x:row>
    <x:row r="53">
      <x:c r="A53" s="28" t="str">
        <x:v>SRC-052</x:v>
      </x:c>
      <x:c r="B53" s="28" t="str">
        <x:v>Kodak — Motion Picture History</x:v>
      </x:c>
      <x:c r="C53" s="28" t="str">
        <x:v>https://www.kodak.com/en/company/page/motion-picture-history/</x:v>
      </x:c>
      <x:c r="D53" s="28" t="str">
        <x:v>Eastman transparent roll film in 1889 enabled Edison to develop the first motion picture camera in 1891</x:v>
      </x:c>
      <x:c r="E53" s="28" t="str">
        <x:v>официальная история компании</x:v>
      </x:c>
    </x:row>
    <x:row r="54">
      <x:c r="A54" s="28" t="str">
        <x:v>SRC-053</x:v>
      </x:c>
      <x:c r="B54" s="28" t="str">
        <x:v>Library of Congress — Origins of Motion Pictures</x:v>
      </x:c>
      <x:c r="C54" s="28" t="str">
        <x:v>https://www.loc.gov/collections/edison-company-motion-pictures-and-sound-recordings/articles-and-essays/history-of-edison-motion-pictures/origins-of-motion-pictures/</x:v>
      </x:c>
      <x:c r="D54" s="28" t="str">
        <x:v>Edison/Dickson motion picture work; Eastman celluloid film; patent width specified as 35mm</x:v>
      </x:c>
      <x:c r="E54" s="28" t="str">
        <x:v>архив / библиотека</x:v>
      </x:c>
    </x:row>
    <x:row r="55">
      <x:c r="A55" s="28" t="str">
        <x:v>SRC-054</x:v>
      </x:c>
      <x:c r="B55" s="28" t="str">
        <x:v>George Eastman Museum — Early Kodak transparent film</x:v>
      </x:c>
      <x:c r="C55" s="28" t="str">
        <x:v>https://www.eastman.org/two-rare-rolls-early-kodak-film-acquired-george-eastman-museum</x:v>
      </x:c>
      <x:c r="D55" s="28" t="str">
        <x:v>Kodak Transparent Film, 70mm slit in half to 35mm and perforated for Edison Kinetoscope</x:v>
      </x:c>
      <x:c r="E55" s="28" t="str">
        <x:v>музейный источник</x:v>
      </x:c>
    </x:row>
    <x:row r="56">
      <x:c r="A56" s="28" t="str">
        <x:v>SRC-055</x:v>
      </x:c>
      <x:c r="B56" s="28" t="str">
        <x:v>George Eastman Museum — Kinetoscope</x:v>
      </x:c>
      <x:c r="C56" s="28" t="str">
        <x:v>https://collections.eastman.org/objects/78087/kinetoscope</x:v>
      </x:c>
      <x:c r="D56" s="28" t="str">
        <x:v>Kinetoscope object with double-perforated 35mm film and Dickson/Edison context</x:v>
      </x:c>
      <x:c r="E56" s="28" t="str">
        <x:v>музейная карточка предмета</x:v>
      </x:c>
    </x:row>
    <x:row r="57">
      <x:c r="A57" s="28" t="str">
        <x:v>SRC-056</x:v>
      </x:c>
      <x:c r="B57" s="28" t="str">
        <x:v>SMPTE Journal — The Origins of 35mm Film as a Standard</x:v>
      </x:c>
      <x:c r="C57" s="28" t="str">
        <x:v>https://journal.smpte.org/periodicals/SMPTE%20Journal/99/8/22/</x:v>
      </x:c>
      <x:c r="D57" s="28" t="str">
        <x:v>Origins of 35mm film as production and exhibition standard; 1908–1909 context</x:v>
      </x:c>
      <x:c r="E57" s="28" t="str">
        <x:v>профильный историко-технический источник</x:v>
      </x:c>
    </x:row>
    <x:row r="58">
      <x:c r="A58" s="28" t="str">
        <x:v>SRC-057</x:v>
      </x:c>
      <x:c r="B58" s="28" t="str">
        <x:v>Leica Timeline — 1914</x:v>
      </x:c>
      <x:c r="C58" s="28" t="str">
        <x:v>https://timeline.leica-camera.com/en-US/years/1914</x:v>
      </x:c>
      <x:c r="D58" s="28" t="str">
        <x:v>Oskar Barnack rotates vertical 35mm cine film into landscape format; birth of 24×36 format and Ur-Leica</x:v>
      </x:c>
      <x:c r="E58" s="28" t="str">
        <x:v>официальная история Leica</x:v>
      </x:c>
    </x:row>
    <x:row r="59">
      <x:c r="A59" s="28" t="str">
        <x:v>SRC-058</x:v>
      </x:c>
      <x:c r="B59" s="28" t="str">
        <x:v>Leica Oskar Barnack Award — Oskar Barnack</x:v>
      </x:c>
      <x:c r="C59" s="28" t="str">
        <x:v>https://www.leica-oskar-barnack-award.com/en/information/oskar-barnack.html</x:v>
      </x:c>
      <x:c r="D59" s="28" t="str">
        <x:v>Barnack, Ur-Leica and 1920 Wetzlar floods as early 35mm still reportage series</x:v>
      </x:c>
      <x:c r="E59" s="28" t="str">
        <x:v>официальный Leica-ресурс</x:v>
      </x:c>
    </x:row>
    <x:row r="60">
      <x:c r="A60" s="28" t="str">
        <x:v>SRC-059</x:v>
      </x:c>
      <x:c r="B60" s="28" t="str">
        <x:v>Smithsonian NMAH — Leica 35 mm 1(A) Camera</x:v>
      </x:c>
      <x:c r="C60" s="28" t="str">
        <x:v>https://americanhistory.si.edu/collections/object/nmah_834692</x:v>
      </x:c>
      <x:c r="D60" s="28" t="str">
        <x:v>Leica 1(A), designed by Barnack, announced 1924 and sold in 1925; popularized 35mm film photography</x:v>
      </x:c>
      <x:c r="E60" s="28" t="str">
        <x:v>музейная карточка предмета</x:v>
      </x:c>
    </x:row>
    <x:row r="61">
      <x:c r="A61" s="28" t="str">
        <x:v>SRC-060</x:v>
      </x:c>
      <x:c r="B61" s="28" t="str">
        <x:v>Leica Timeline — 1925</x:v>
      </x:c>
      <x:c r="C61" s="28" t="str">
        <x:v>https://timeline.leica-camera.com/en/years/1925</x:v>
      </x:c>
      <x:c r="D61" s="28" t="str">
        <x:v>Leica I, Leitz’s first 35mm camera in serial production, debuts at Leipzig Spring Fair in 1925</x:v>
      </x:c>
      <x:c r="E61" s="28" t="str">
        <x:v>официальная история Leica</x:v>
      </x:c>
    </x:row>
    <x:row r="62">
      <x:c r="A62" s="28" t="str">
        <x:v>SRC-061</x:v>
      </x:c>
      <x:c r="B62" s="28" t="str">
        <x:v>Science Museum Group — Kodak Retina Type 117</x:v>
      </x:c>
      <x:c r="C62" s="28" t="str">
        <x:v>https://collection.sciencemuseumgroup.org.uk/objects/co8205056/kodak-retina-type-117-35mm-camera</x:v>
      </x:c>
      <x:c r="D62" s="28" t="str">
        <x:v>Kodak Retina Type 117, 1934–1935; first camera to use daylight-loading 135 cartridges</x:v>
      </x:c>
      <x:c r="E62" s="28" t="str">
        <x:v>музейная карточка предмета</x:v>
      </x:c>
    </x:row>
    <x:row r="63">
      <x:c r="A63" s="28" t="str">
        <x:v>SRC-062</x:v>
      </x:c>
      <x:c r="B63" s="28" t="str">
        <x:v>Leica Camera — The History of the Leica I</x:v>
      </x:c>
      <x:c r="C63" s="28" t="str">
        <x:v>https://leica-camera.com/en-int/photography/100-years/the-history-of-the-leica-I</x:v>
      </x:c>
      <x:c r="D63" s="28" t="str">
        <x:v>Leica I production, Leipzig 1925, compact mobile camera, around 57,000 units, visual language of reportage and street photography</x:v>
      </x:c>
      <x:c r="E63" s="28" t="str">
        <x:v>официальная история Leica</x:v>
      </x:c>
    </x:row>
    <x:row r="64">
      <x:c r="A64" s="28" t="str">
        <x:v>SRC-063</x:v>
      </x:c>
      <x:c r="B64" s="28" t="str">
        <x:v>Leica Camera — 100 Years of Leica: Witness to a Century</x:v>
      </x:c>
      <x:c r="C64" s="28" t="str">
        <x:v>https://leica-camera.com/en-GB/press/100-years-leica-witness-century-1925-2025-1</x:v>
      </x:c>
      <x:c r="D64" s="28" t="str">
        <x:v>Leica I first series-produced Leica 35mm camera, presented at Leipzig Spring Fair 1925, compact format and new photographic applications</x:v>
      </x:c>
      <x:c r="E64" s="28" t="str">
        <x:v>официальный пресс-материал Leica</x:v>
      </x:c>
    </x:row>
    <x:row r="65">
      <x:c r="A65" s="28" t="str">
        <x:v>SRC-064</x:v>
      </x:c>
      <x:c r="B65" s="28" t="str">
        <x:v>Smithsonian NMAH — Leica 35 mm 1(A) Camera</x:v>
      </x:c>
      <x:c r="C65" s="28" t="str">
        <x:v>https://americanhistory.si.edu/collections/object/nmah_834692</x:v>
      </x:c>
      <x:c r="D65" s="28" t="str">
        <x:v>Leica 1(A), designed by Oskar Barnack, announced 1924, sold 1925, popularized 35mm film photography</x:v>
      </x:c>
      <x:c r="E65" s="28" t="str">
        <x:v>музейная карточка предмета</x:v>
      </x:c>
    </x:row>
    <x:row r="66">
      <x:c r="A66" s="28" t="str">
        <x:v>SRC-065</x:v>
      </x:c>
      <x:c r="B66" s="28" t="str">
        <x:v>Leica Camera — Understanding Leica Lenses</x:v>
      </x:c>
      <x:c r="C66" s="28" t="str">
        <x:v>https://leica-camera.com/en-int/photography/understanding-leica-lenses</x:v>
      </x:c>
      <x:c r="D66" s="28" t="str">
        <x:v>Max Berek and early Leica lenses for Ur-Leica and Leica system</x:v>
      </x:c>
      <x:c r="E66" s="28" t="str">
        <x:v>официальный материал Leica</x:v>
      </x:c>
    </x:row>
    <x:row r="67">
      <x:c r="A67" s="28" t="str">
        <x:v>SRC-066</x:v>
      </x:c>
      <x:c r="B67" s="28" t="str">
        <x:v>LFI — Elmar 50 mm f/3.5</x:v>
      </x:c>
      <x:c r="C67" s="28" t="str">
        <x:v>https://lfi-online.de/en/stories/elmar-50-mm-f-3-5-19122.html</x:v>
      </x:c>
      <x:c r="D67" s="28" t="str">
        <x:v>Anastigmat, Elmax and Elmar 50mm f/3.5; Max Berek and early Leica I lenses</x:v>
      </x:c>
      <x:c r="E67" s="28" t="str">
        <x:v>профильный материал Leica Fotografie International</x:v>
      </x:c>
    </x:row>
    <x:row r="68">
      <x:c r="A68" s="28" t="str">
        <x:v>SRC-067</x:v>
      </x:c>
      <x:c r="B68" s="28" t="str">
        <x:v>Smithsonian NMAH — Leica 1(C)</x:v>
      </x:c>
      <x:c r="C68" s="28" t="str">
        <x:v>https://americanhistory.si.edu/collections/object/nmah_1145349</x:v>
      </x:c>
      <x:c r="D68" s="28" t="str">
        <x:v>First Leica with interchangeable lenses in 1930; standardized lens mount by the end of 1930</x:v>
      </x:c>
      <x:c r="E68" s="28" t="str">
        <x:v>музейная карточка предмета</x:v>
      </x:c>
    </x:row>
    <x:row r="69">
      <x:c r="A69" s="28" t="str">
        <x:v>SRC-068</x:v>
      </x:c>
      <x:c r="B69" s="28" t="str">
        <x:v>Leica Timeline — 1932</x:v>
      </x:c>
      <x:c r="C69" s="28" t="str">
        <x:v>https://timeline.leica-camera.com/en-US/years/1932</x:v>
      </x:c>
      <x:c r="D69" s="28" t="str">
        <x:v>Leica II becomes the first Leica with a built-in rangefinder</x:v>
      </x:c>
      <x:c r="E69" s="28" t="str">
        <x:v>официальная история Leica</x:v>
      </x:c>
    </x:row>
  </x:sheetData>
  <x:pageMargins left="0.7" right="0.7" top="0.75" bottom="0.75" header="0.3" footer="0.3"/>
  <x:tableParts count="1">
    <x:tablePart xmlns:r="http://schemas.openxmlformats.org/officeDocument/2006/relationships" r:id="Rb64bb8c9dd7f4843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customWidth="1"/>
    <x:col min="2" max="2" width="57.83203125" customWidth="1"/>
    <x:col min="3" max="3" width="14.6640625" customWidth="1"/>
    <x:col min="4" max="4" width="28" customWidth="1"/>
    <x:col min="5" max="5" width="8.1640625" customWidth="1"/>
    <x:col min="6" max="6" width="10.6640625" customWidth="1"/>
    <x:col min="7" max="7" width="30.6640625" customWidth="1"/>
    <x:col min="8" max="8" width="40.1640625" customWidth="1"/>
  </x:cols>
  <x:sheetData>
    <x:row r="1" ht="27.75" customHeight="1">
      <x:c r="A1" s="1" t="s">
        <x:v>47</x:v>
      </x:c>
      <x:c r="B1" s="1" t="s">
        <x:v>55</x:v>
      </x:c>
      <x:c r="C1" s="1" t="s">
        <x:v>11</x:v>
      </x:c>
      <x:c r="D1" s="1" t="s">
        <x:v>1202</x:v>
      </x:c>
      <x:c r="E1" s="1" t="s">
        <x:v>1375</x:v>
      </x:c>
      <x:c r="F1" s="1" t="s">
        <x:v>1376</x:v>
      </x:c>
      <x:c r="G1" s="2" t="s">
        <x:v>33</x:v>
      </x:c>
      <x:c r="H1" s="2" t="s">
        <x:v>67</x:v>
      </x:c>
    </x:row>
    <x:row r="2" ht="15.75" customHeight="1">
      <x:c r="A2" s="6" t="s">
        <x:v>409</x:v>
      </x:c>
      <x:c r="B2" s="6" t="s">
        <x:v>416</x:v>
      </x:c>
      <x:c r="C2" s="34" t="str">
        <x:v>PL-001</x:v>
      </x:c>
      <x:c r="D2" s="6" t="s">
        <x:v>12</x:v>
      </x:c>
      <x:c r="E2" s="6">
        <x:v>1</x:v>
      </x:c>
      <x:c r="F2" s="6">
        <x:v>1</x:v>
      </x:c>
      <x:c r="G2" s="11" t="s">
        <x:v>34</x:v>
      </x:c>
      <x:c r="H2" s="11" t="s">
        <x:v>153</x:v>
      </x:c>
    </x:row>
    <x:row r="3" ht="15.75" customHeight="1">
      <x:c r="A3" s="6" t="s">
        <x:v>92</x:v>
      </x:c>
      <x:c r="B3" s="6" t="s">
        <x:v>328</x:v>
      </x:c>
      <x:c r="C3" s="34" t="str">
        <x:v>PL-002</x:v>
      </x:c>
      <x:c r="D3" s="6" t="s">
        <x:v>14</x:v>
      </x:c>
      <x:c r="E3" s="6">
        <x:v>2</x:v>
      </x:c>
      <x:c r="F3" s="6">
        <x:v>2</x:v>
      </x:c>
      <x:c r="G3" s="11" t="s">
        <x:v>35</x:v>
      </x:c>
      <x:c r="H3" s="11" t="s">
        <x:v>167</x:v>
      </x:c>
    </x:row>
    <x:row r="4" ht="15.75" customHeight="1">
      <x:c r="A4" s="6" t="s">
        <x:v>170</x:v>
      </x:c>
      <x:c r="B4" s="6" t="s">
        <x:v>664</x:v>
      </x:c>
      <x:c r="C4" s="34" t="str">
        <x:v>PL-003</x:v>
      </x:c>
      <x:c r="D4" s="6" t="s">
        <x:v>16</x:v>
      </x:c>
      <x:c r="E4" s="6">
        <x:v>3</x:v>
      </x:c>
      <x:c r="F4" s="6">
        <x:v>3</x:v>
      </x:c>
      <x:c r="G4" s="11" t="s">
        <x:v>36</x:v>
      </x:c>
      <x:c r="H4" s="11" t="s">
        <x:v>496</x:v>
      </x:c>
    </x:row>
    <x:row r="5" ht="15.75" customHeight="1">
      <x:c r="A5" s="6" t="s">
        <x:v>71</x:v>
      </x:c>
      <x:c r="B5" s="6" t="s">
        <x:v>399</x:v>
      </x:c>
      <x:c r="C5" s="34" t="str">
        <x:v>PL-004</x:v>
      </x:c>
      <x:c r="D5" s="6" t="s">
        <x:v>18</x:v>
      </x:c>
      <x:c r="E5" s="6">
        <x:v>4</x:v>
      </x:c>
      <x:c r="F5" s="6">
        <x:v>4</x:v>
      </x:c>
      <x:c r="G5" s="11" t="s">
        <x:v>37</x:v>
      </x:c>
      <x:c r="H5" s="11" t="s">
        <x:v>232</x:v>
      </x:c>
    </x:row>
    <x:row r="6" ht="31.5" customHeight="1">
      <x:c r="A6" s="6" t="s">
        <x:v>321</x:v>
      </x:c>
      <x:c r="B6" s="6" t="s">
        <x:v>756</x:v>
      </x:c>
      <x:c r="C6" s="34" t="str">
        <x:v>PL-005</x:v>
      </x:c>
      <x:c r="D6" s="6" t="s">
        <x:v>20</x:v>
      </x:c>
      <x:c r="E6" s="6">
        <x:v>5</x:v>
      </x:c>
      <x:c r="F6" s="6">
        <x:v>5</x:v>
      </x:c>
      <x:c r="G6" s="11" t="s">
        <x:v>38</x:v>
      </x:c>
      <x:c r="H6" s="11" t="s">
        <x:v>251</x:v>
      </x:c>
    </x:row>
    <x:row r="7" ht="31.5" customHeight="1">
      <x:c r="A7" s="6"/>
      <x:c r="B7" s="6" t="s">
        <x:v>80</x:v>
      </x:c>
      <x:c r="C7" s="34" t="str">
        <x:v>PL-006</x:v>
      </x:c>
      <x:c r="D7" s="6" t="s">
        <x:v>22</x:v>
      </x:c>
      <x:c r="E7" s="6"/>
      <x:c r="F7" s="6"/>
      <x:c r="G7" s="11" t="s">
        <x:v>39</x:v>
      </x:c>
      <x:c r="H7" s="11" t="s">
        <x:v>269</x:v>
      </x:c>
    </x:row>
    <x:row r="8" ht="15.75" customHeight="1">
      <x:c r="A8" s="6"/>
      <x:c r="B8" s="6" t="s">
        <x:v>296</x:v>
      </x:c>
      <x:c r="C8" s="34" t="str">
        <x:v>PL-007</x:v>
      </x:c>
      <x:c r="D8" s="6" t="s">
        <x:v>24</x:v>
      </x:c>
      <x:c r="E8" s="6"/>
      <x:c r="F8" s="6"/>
      <x:c r="G8" s="11" t="s">
        <x:v>40</x:v>
      </x:c>
      <x:c r="H8" s="11" t="s">
        <x:v>251</x:v>
      </x:c>
    </x:row>
    <x:row r="9" ht="31.5" customHeight="1">
      <x:c r="A9" s="6"/>
      <x:c r="B9" s="6" t="s">
        <x:v>555</x:v>
      </x:c>
      <x:c r="C9" s="34" t="str">
        <x:v>PL-008</x:v>
      </x:c>
      <x:c r="D9" s="6" t="s">
        <x:v>26</x:v>
      </x:c>
      <x:c r="E9" s="6"/>
      <x:c r="F9" s="6"/>
      <x:c r="G9" s="11" t="s">
        <x:v>41</x:v>
      </x:c>
      <x:c r="H9" s="11" t="s">
        <x:v>304</x:v>
      </x:c>
    </x:row>
    <x:row r="10" ht="15.75" customHeight="1">
      <x:c r="A10" s="6"/>
      <x:c r="B10" s="6" t="s">
        <x:v>243</x:v>
      </x:c>
      <x:c r="C10" s="34" t="str">
        <x:v>PL-009</x:v>
      </x:c>
      <x:c r="D10" s="6" t="s">
        <x:v>28</x:v>
      </x:c>
      <x:c r="E10" s="6"/>
      <x:c r="F10" s="6"/>
      <x:c r="G10" s="11" t="s">
        <x:v>42</x:v>
      </x:c>
      <x:c r="H10" s="11" t="s">
        <x:v>333</x:v>
      </x:c>
    </x:row>
    <x:row r="11" ht="15.75" customHeight="1">
      <x:c r="A11" s="6"/>
      <x:c r="B11" s="6" t="s">
        <x:v>206</x:v>
      </x:c>
      <x:c r="C11" s="34" t="str">
        <x:v>PL-010</x:v>
      </x:c>
      <x:c r="D11" s="6" t="s">
        <x:v>29</x:v>
      </x:c>
      <x:c r="E11" s="6"/>
      <x:c r="F11" s="6"/>
      <x:c r="G11" s="11" t="s">
        <x:v>43</x:v>
      </x:c>
      <x:c r="H11" s="11" t="s">
        <x:v>347</x:v>
      </x:c>
    </x:row>
    <x:row r="12" ht="15.75" customHeight="1">
      <x:c r="A12" s="6"/>
      <x:c r="B12" s="6"/>
      <x:c r="C12" s="34" t="str">
        <x:v>будущие PL</x:v>
      </x:c>
      <x:c r="D12" s="6" t="s">
        <x:v>30</x:v>
      </x:c>
      <x:c r="E12" s="6"/>
      <x:c r="F12" s="6"/>
      <x:c r="G12" s="11" t="s">
        <x:v>44</x:v>
      </x:c>
      <x:c r="H12" s="11" t="s">
        <x:v>420</x:v>
      </x:c>
    </x:row>
    <x:row r="13" ht="15.75" customHeight="1">
      <x:c r="A13" s="6"/>
      <x:c r="B13" s="6"/>
      <x:c r="C13" s="34" t="str">
        <x:v>межурочный узел</x:v>
      </x:c>
      <x:c r="D13" s="6" t="s">
        <x:v>31</x:v>
      </x:c>
      <x:c r="E13" s="6"/>
      <x:c r="F13" s="6"/>
      <x:c r="G13" s="11"/>
      <x:c r="H13" s="11" t="s">
        <x:v>434</x:v>
      </x:c>
    </x:row>
    <x:row r="14" ht="15.75" customHeight="1">
      <x:c r="A14" s="6"/>
      <x:c r="B14" s="6"/>
      <x:c r="C14" s="34" t="str">
        <x:v>проверить</x:v>
      </x:c>
      <x:c r="D14" s="6" t="s">
        <x:v>32</x:v>
      </x:c>
      <x:c r="E14" s="6"/>
      <x:c r="F14" s="6"/>
      <x:c r="G14" s="11"/>
      <x:c r="H14" s="11" t="s">
        <x:v>444</x:v>
      </x:c>
    </x:row>
    <x:row r="15" ht="15" customHeight="1">
      <x:c r="A15" s="6"/>
      <x:c r="B15" s="6"/>
      <x:c r="C15" s="6"/>
      <x:c r="D15" s="6"/>
      <x:c r="E15" s="6"/>
      <x:c r="F15" s="6"/>
      <x:c r="G15" s="11"/>
      <x:c r="H15" s="11" t="s">
        <x:v>506</x:v>
      </x:c>
    </x:row>
    <x:row r="16" ht="15" customHeight="1">
      <x:c r="A16" s="6"/>
      <x:c r="B16" s="6"/>
      <x:c r="C16" s="6"/>
      <x:c r="D16" s="6"/>
      <x:c r="E16" s="6"/>
      <x:c r="F16" s="6"/>
      <x:c r="G16" s="11"/>
      <x:c r="H16" s="11" t="s">
        <x:v>521</x:v>
      </x:c>
    </x:row>
    <x:row r="17" ht="15" customHeight="1">
      <x:c r="A17" s="6"/>
      <x:c r="B17" s="6"/>
      <x:c r="C17" s="6"/>
      <x:c r="D17" s="6"/>
      <x:c r="E17" s="6"/>
      <x:c r="F17" s="6"/>
      <x:c r="G17" s="11"/>
      <x:c r="H17" s="11" t="s">
        <x:v>563</x:v>
      </x:c>
    </x:row>
    <x:row r="18" ht="15" customHeight="1">
      <x:c r="A18" s="6"/>
      <x:c r="B18" s="6"/>
      <x:c r="C18" s="6"/>
      <x:c r="D18" s="6"/>
      <x:c r="E18" s="6"/>
      <x:c r="F18" s="6"/>
      <x:c r="G18" s="11"/>
      <x:c r="H18" s="11" t="s">
        <x:v>580</x:v>
      </x:c>
    </x:row>
    <x:row r="19" ht="15" customHeight="1">
      <x:c r="A19" s="6"/>
      <x:c r="B19" s="6"/>
      <x:c r="C19" s="6"/>
      <x:c r="D19" s="6"/>
      <x:c r="E19" s="6"/>
      <x:c r="F19" s="6"/>
      <x:c r="G19" s="11"/>
      <x:c r="H19" s="11" t="s">
        <x:v>591</x:v>
      </x:c>
    </x:row>
    <x:row r="20" ht="15" customHeight="1">
      <x:c r="A20" s="6"/>
      <x:c r="B20" s="6"/>
      <x:c r="C20" s="6"/>
      <x:c r="D20" s="6"/>
      <x:c r="E20" s="6"/>
      <x:c r="F20" s="6"/>
      <x:c r="G20" s="11"/>
      <x:c r="H20" s="11" t="s">
        <x:v>605</x:v>
      </x:c>
    </x:row>
    <x:row r="21" ht="15" customHeight="1">
      <x:c r="A21" s="6"/>
      <x:c r="B21" s="6"/>
      <x:c r="C21" s="6"/>
      <x:c r="D21" s="6"/>
      <x:c r="E21" s="6"/>
      <x:c r="F21" s="6"/>
      <x:c r="G21" s="11"/>
      <x:c r="H21" s="11" t="s">
        <x:v>684</x:v>
      </x:c>
    </x:row>
    <x:row r="22" ht="15" customHeight="1">
      <x:c r="A22" s="6"/>
      <x:c r="B22" s="6"/>
      <x:c r="C22" s="6"/>
      <x:c r="D22" s="6"/>
      <x:c r="E22" s="6"/>
      <x:c r="F22" s="6"/>
      <x:c r="G22" s="11"/>
      <x:c r="H22" s="11" t="s">
        <x:v>694</x:v>
      </x:c>
    </x:row>
    <x:row r="23" ht="15" customHeight="1">
      <x:c r="A23" s="6"/>
      <x:c r="B23" s="6"/>
      <x:c r="C23" s="6"/>
      <x:c r="D23" s="6"/>
      <x:c r="E23" s="6"/>
      <x:c r="F23" s="6"/>
      <x:c r="G23" s="11"/>
      <x:c r="H23" s="11" t="s">
        <x:v>705</x:v>
      </x:c>
    </x:row>
    <x:row r="24" ht="15" customHeight="1">
      <x:c r="A24" s="6"/>
      <x:c r="B24" s="6"/>
      <x:c r="C24" s="6"/>
      <x:c r="D24" s="6"/>
      <x:c r="E24" s="6"/>
      <x:c r="F24" s="6"/>
      <x:c r="G24" s="11"/>
      <x:c r="H24" s="11" t="s">
        <x:v>722</x:v>
      </x:c>
    </x:row>
    <x:row r="25" ht="15" customHeight="1">
      <x:c r="A25" s="6"/>
      <x:c r="B25" s="6"/>
      <x:c r="C25" s="6"/>
      <x:c r="D25" s="6"/>
      <x:c r="E25" s="6"/>
      <x:c r="F25" s="6"/>
      <x:c r="G25" s="11"/>
      <x:c r="H25" s="11" t="s">
        <x:v>746</x:v>
      </x:c>
    </x:row>
    <x:row r="26" ht="15" customHeight="1">
      <x:c r="A26" s="6"/>
      <x:c r="B26" s="6"/>
      <x:c r="C26" s="6"/>
      <x:c r="D26" s="6"/>
      <x:c r="E26" s="6"/>
      <x:c r="F26" s="6"/>
      <x:c r="G26" s="11"/>
      <x:c r="H26" s="11" t="s">
        <x:v>761</x:v>
      </x:c>
    </x:row>
    <x:row r="27" ht="15" customHeight="1">
      <x:c r="A27" s="6"/>
      <x:c r="B27" s="6"/>
      <x:c r="C27" s="6"/>
      <x:c r="D27" s="6"/>
      <x:c r="E27" s="6"/>
      <x:c r="F27" s="6"/>
      <x:c r="G27" s="11"/>
      <x:c r="H27" s="11" t="s">
        <x:v>778</x:v>
      </x:c>
    </x:row>
    <x:row r="28" ht="15" customHeight="1">
      <x:c r="A28" s="6"/>
      <x:c r="B28" s="6"/>
      <x:c r="C28" s="6"/>
      <x:c r="D28" s="6"/>
      <x:c r="E28" s="6"/>
      <x:c r="F28" s="6"/>
      <x:c r="G28" s="11"/>
      <x:c r="H28" s="11" t="s">
        <x:v>793</x:v>
      </x:c>
    </x:row>
    <x:row r="29" ht="15" customHeight="1">
      <x:c r="A29" s="6"/>
      <x:c r="B29" s="6"/>
      <x:c r="C29" s="6"/>
      <x:c r="D29" s="6"/>
      <x:c r="E29" s="6"/>
      <x:c r="F29" s="6"/>
      <x:c r="G29" s="11"/>
      <x:c r="H29" s="11" t="s">
        <x:v>808</x:v>
      </x:c>
    </x:row>
    <x:row r="30" ht="15" customHeight="1">
      <x:c r="A30" s="6"/>
      <x:c r="B30" s="6"/>
      <x:c r="C30" s="6"/>
      <x:c r="D30" s="6"/>
      <x:c r="E30" s="6"/>
      <x:c r="F30" s="6"/>
      <x:c r="G30" s="11"/>
      <x:c r="H30" s="11" t="s">
        <x:v>824</x:v>
      </x:c>
    </x:row>
    <x:row r="31" ht="15" customHeight="1">
      <x:c r="A31" s="6"/>
      <x:c r="B31" s="6"/>
      <x:c r="C31" s="6"/>
      <x:c r="D31" s="6"/>
      <x:c r="E31" s="6"/>
      <x:c r="F31" s="6"/>
      <x:c r="G31" s="11"/>
      <x:c r="H31" s="11" t="s">
        <x:v>840</x:v>
      </x:c>
    </x:row>
    <x:row r="32" ht="15" customHeight="1">
      <x:c r="A32" s="6"/>
      <x:c r="B32" s="6"/>
      <x:c r="C32" s="6"/>
      <x:c r="D32" s="6"/>
      <x:c r="E32" s="6"/>
      <x:c r="F32" s="6"/>
      <x:c r="G32" s="11"/>
      <x:c r="H32" s="11" t="s">
        <x:v>857</x:v>
      </x:c>
    </x:row>
    <x:row r="33" ht="15" customHeight="1">
      <x:c r="A33" s="6"/>
      <x:c r="B33" s="6"/>
      <x:c r="C33" s="6"/>
      <x:c r="D33" s="6"/>
      <x:c r="E33" s="6"/>
      <x:c r="F33" s="6"/>
      <x:c r="G33" s="11"/>
      <x:c r="H33" s="11" t="s">
        <x:v>872</x:v>
      </x:c>
    </x:row>
    <x:row r="34" ht="15" customHeight="1">
      <x:c r="A34" s="6"/>
      <x:c r="B34" s="6"/>
      <x:c r="C34" s="6"/>
      <x:c r="D34" s="6"/>
      <x:c r="E34" s="6"/>
      <x:c r="F34" s="6"/>
      <x:c r="G34" s="11"/>
      <x:c r="H34" s="11" t="s">
        <x:v>887</x:v>
      </x:c>
    </x:row>
    <x:row r="35" ht="15" customHeight="1">
      <x:c r="A35" s="6"/>
      <x:c r="B35" s="6"/>
      <x:c r="C35" s="6"/>
      <x:c r="D35" s="6"/>
      <x:c r="E35" s="6"/>
      <x:c r="F35" s="6"/>
      <x:c r="G35" s="11"/>
      <x:c r="H35" s="11" t="s">
        <x:v>902</x:v>
      </x:c>
    </x:row>
    <x:row r="36" ht="15" customHeight="1">
      <x:c r="A36" s="6"/>
      <x:c r="B36" s="6"/>
      <x:c r="C36" s="6"/>
      <x:c r="D36" s="6"/>
      <x:c r="E36" s="6"/>
      <x:c r="F36" s="6"/>
      <x:c r="G36" s="11"/>
      <x:c r="H36" s="11" t="s">
        <x:v>915</x:v>
      </x:c>
    </x:row>
    <x:row r="37" ht="15" customHeight="1">
      <x:c r="A37" s="6"/>
      <x:c r="B37" s="6"/>
      <x:c r="C37" s="6"/>
      <x:c r="D37" s="6"/>
      <x:c r="E37" s="6"/>
      <x:c r="F37" s="6"/>
      <x:c r="G37" s="11"/>
      <x:c r="H37" s="11" t="s">
        <x:v>928</x:v>
      </x:c>
    </x:row>
    <x:row r="38" ht="15" customHeight="1">
      <x:c r="A38" s="6"/>
      <x:c r="B38" s="6"/>
      <x:c r="C38" s="6"/>
      <x:c r="D38" s="6"/>
      <x:c r="E38" s="6"/>
      <x:c r="F38" s="6"/>
      <x:c r="G38" s="11"/>
      <x:c r="H38" s="11" t="s">
        <x:v>943</x:v>
      </x:c>
    </x:row>
    <x:row r="39" ht="14">
      <x:c r="A39" s="11"/>
      <x:c r="B39" s="11"/>
      <x:c r="C39" s="11"/>
      <x:c r="D39" s="11"/>
      <x:c r="E39" s="11"/>
      <x:c r="F39" s="11"/>
      <x:c r="G39" s="11"/>
      <x:c r="H39" s="11" t="s">
        <x:v>955</x:v>
      </x:c>
    </x:row>
    <x:row r="40" ht="14">
      <x:c r="A40" s="11"/>
      <x:c r="B40" s="11"/>
      <x:c r="C40" s="11"/>
      <x:c r="D40" s="11"/>
      <x:c r="E40" s="11"/>
      <x:c r="F40" s="11"/>
      <x:c r="G40" s="11"/>
      <x:c r="H40" s="11" t="s">
        <x:v>973</x:v>
      </x:c>
    </x:row>
    <x:row r="41" ht="14">
      <x:c r="A41" s="11"/>
      <x:c r="B41" s="11"/>
      <x:c r="C41" s="11"/>
      <x:c r="D41" s="11"/>
      <x:c r="E41" s="11"/>
      <x:c r="F41" s="11"/>
      <x:c r="G41" s="11"/>
      <x:c r="H41" s="11" t="s">
        <x:v>988</x:v>
      </x:c>
    </x:row>
    <x:row r="42" ht="14">
      <x:c r="A42" s="11"/>
      <x:c r="B42" s="11"/>
      <x:c r="C42" s="11"/>
      <x:c r="D42" s="11"/>
      <x:c r="E42" s="11"/>
      <x:c r="F42" s="11"/>
      <x:c r="G42" s="11"/>
      <x:c r="H42" s="11" t="s">
        <x:v>1001</x:v>
      </x:c>
    </x:row>
    <x:row r="43" ht="14">
      <x:c r="A43" s="11"/>
      <x:c r="B43" s="11"/>
      <x:c r="C43" s="11"/>
      <x:c r="D43" s="11"/>
      <x:c r="E43" s="11"/>
      <x:c r="F43" s="11"/>
      <x:c r="G43" s="11"/>
      <x:c r="H43" s="11" t="s">
        <x:v>1014</x:v>
      </x:c>
    </x:row>
    <x:row r="44" ht="14">
      <x:c r="A44" s="11"/>
      <x:c r="B44" s="11"/>
      <x:c r="C44" s="11"/>
      <x:c r="D44" s="11"/>
      <x:c r="E44" s="11"/>
      <x:c r="F44" s="11"/>
      <x:c r="G44" s="11"/>
      <x:c r="H44" s="11" t="s">
        <x:v>1029</x:v>
      </x:c>
    </x:row>
    <x:row r="45" ht="14">
      <x:c r="A45" s="11"/>
      <x:c r="B45" s="11"/>
      <x:c r="C45" s="11"/>
      <x:c r="D45" s="11"/>
      <x:c r="E45" s="11"/>
      <x:c r="F45" s="11"/>
      <x:c r="G45" s="11"/>
      <x:c r="H45" s="11" t="s">
        <x:v>1044</x:v>
      </x:c>
    </x:row>
    <x:row r="46" ht="14">
      <x:c r="A46" s="11"/>
      <x:c r="B46" s="11"/>
      <x:c r="C46" s="11"/>
      <x:c r="D46" s="11"/>
      <x:c r="E46" s="11"/>
      <x:c r="F46" s="11"/>
      <x:c r="G46" s="11"/>
      <x:c r="H46" s="11" t="s">
        <x:v>1059</x:v>
      </x:c>
    </x:row>
    <x:row r="47" ht="14">
      <x:c r="H47" s="11" t="s">
        <x:v>1072</x:v>
      </x:c>
    </x:row>
    <x:row r="48" ht="14">
      <x:c r="H48" s="11" t="s">
        <x:v>1086</x:v>
      </x:c>
    </x:row>
    <x:row r="49" ht="14">
      <x:c r="H49" s="11" t="s">
        <x:v>1102</x:v>
      </x:c>
    </x:row>
    <x:row r="50" ht="14">
      <x:c r="H50" s="11" t="s">
        <x:v>1118</x:v>
      </x:c>
    </x:row>
    <x:row r="51" ht="14">
      <x:c r="H51" s="11" t="s">
        <x:v>1133</x:v>
      </x:c>
    </x:row>
    <x:row r="52" ht="14">
      <x:c r="H52" s="11" t="s">
        <x:v>1144</x:v>
      </x:c>
    </x:row>
    <x:row r="53" ht="14">
      <x:c r="H53" s="11" t="s">
        <x:v>1156</x:v>
      </x:c>
    </x:row>
    <x:row r="54" ht="14">
      <x:c r="H54" s="11" t="s">
        <x:v>1170</x:v>
      </x:c>
    </x:row>
    <x:row r="55" ht="14">
      <x:c r="H55" s="11" t="s">
        <x:v>1183</x:v>
      </x:c>
    </x:row>
    <x:row r="56" ht="14">
      <x:c r="H56" s="11" t="s">
        <x:v>1201</x:v>
      </x:c>
    </x:row>
    <x:row r="57">
      <x:c r="H57" s="28" t="str">
        <x:v>35 мм / прозрачная рулонная плёнка</x:v>
      </x:c>
    </x:row>
    <x:row r="58">
      <x:c r="H58" s="28" t="str">
        <x:v>35 мм / киноистоки</x:v>
      </x:c>
    </x:row>
    <x:row r="59">
      <x:c r="H59" s="28" t="str">
        <x:v>35 мм / ширина и перфорация</x:v>
      </x:c>
    </x:row>
    <x:row r="60">
      <x:c r="H60" s="28" t="str">
        <x:v>35 мм / Kinetoscope</x:v>
      </x:c>
    </x:row>
    <x:row r="61">
      <x:c r="H61" s="28" t="str">
        <x:v>35 мм / международный стандарт</x:v>
      </x:c>
    </x:row>
    <x:row r="62">
      <x:c r="H62" s="28" t="str">
        <x:v>35 мм / 24×36</x:v>
      </x:c>
    </x:row>
    <x:row r="63">
      <x:c r="H63" s="28" t="str">
        <x:v>35 мм / репортажность</x:v>
      </x:c>
    </x:row>
    <x:row r="64">
      <x:c r="H64" s="28" t="str">
        <x:v>35 мм / коммерциализация Leica</x:v>
      </x:c>
    </x:row>
    <x:row r="65">
      <x:c r="H65" s="28" t="str">
        <x:v>35 мм / мост к Leica I</x:v>
      </x:c>
    </x:row>
    <x:row r="66">
      <x:c r="H66" s="28" t="str">
        <x:v>35 мм / 135 cartridge</x:v>
      </x:c>
    </x:row>
    <x:row r="67">
      <x:c r="H67" s="28" t="str">
        <x:v>Leica I / прототип</x:v>
      </x:c>
    </x:row>
    <x:row r="68">
      <x:c r="H68" s="28" t="str">
        <x:v>Leica I / проверочная серия</x:v>
      </x:c>
    </x:row>
    <x:row r="69">
      <x:c r="H69" s="28" t="str">
        <x:v>Leica I / начало производства</x:v>
      </x:c>
    </x:row>
    <x:row r="70">
      <x:c r="H70" s="28" t="str">
        <x:v>Leica I / публичный дебют</x:v>
      </x:c>
    </x:row>
    <x:row r="71">
      <x:c r="H71" s="28" t="str">
        <x:v>Leica I / компактная камера</x:v>
      </x:c>
    </x:row>
    <x:row r="72">
      <x:c r="H72" s="28" t="str">
        <x:v>Leica I / оптика и Elmar</x:v>
      </x:c>
    </x:row>
    <x:row r="73">
      <x:c r="H73" s="28" t="str">
        <x:v>Leica I / массовое принятие</x:v>
      </x:c>
    </x:row>
    <x:row r="74">
      <x:c r="H74" s="28" t="str">
        <x:v>Leica I / новая визуальная практика</x:v>
      </x:c>
    </x:row>
    <x:row r="75">
      <x:c r="H75" s="28" t="str">
        <x:v>Leica I / сменные объективы</x:v>
      </x:c>
    </x:row>
    <x:row r="76">
      <x:c r="H76" s="28" t="str">
        <x:v>Leica I / мост к дальномерной системе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customWidth="1"/>
    <x:col min="2" max="2" width="165" customWidth="1"/>
  </x:cols>
  <x:sheetData>
    <x:row r="1" ht="30" customHeight="1">
      <x:c r="A1" s="35" t="str">
        <x:v>PHOTO LAB — History Map Master v0.7</x:v>
      </x:c>
      <x:c r="B1" s="28"/>
    </x:row>
    <x:row r="2" ht="15.75" customHeight="1">
      <x:c r="A2" s="36" t="str">
        <x:v>Назначение</x:v>
      </x:c>
      <x:c r="B2" s="32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15.75" customHeight="1">
      <x:c r="A3" s="36" t="str">
        <x:v>Охват v0.7</x:v>
      </x:c>
      <x:c r="B3" s="32" t="str">
        <x:v>От оптических предпосылок камеры-обскуры до мокрого коллодия, сухих желатиновых пластин, рулонной плёнки, Kodak, Brownie, snapshot-культуры, 35-мм малого формата и Leica I; основа для PL-001–PL-010.</x:v>
      </x:c>
    </x:row>
    <x:row r="4" ht="15.75" customHeight="1">
      <x:c r="A4" s="36" t="str">
        <x:v>Принцип</x:v>
      </x:c>
      <x:c r="B4" s="32" t="str">
        <x:v>Каждый факт должен отвечать на 5 вопросов: что произошло, где, кто связан, почему важно, чем подтверждено.</x:v>
      </x:c>
    </x:row>
    <x:row r="5" ht="15.75" customHeight="1">
      <x:c r="A5" s="36" t="str">
        <x:v>Как пользоваться</x:v>
      </x:c>
      <x:c r="B5" s="32" t="str">
        <x:v>Фильтровать лист 01_Master_Facts по уроку, ветке развития, статусу ветки, типу узла, стране или уровню уверенности.</x:v>
      </x:c>
    </x:row>
    <x:row r="6" ht="15.75" customHeight="1">
      <x:c r="A6" s="36" t="str">
        <x:v>Важно</x:v>
      </x:c>
      <x:c r="B6" s="32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15.75" customHeight="1">
      <x:c r="A7" s="36" t="str">
        <x:v>Правило веток</x:v>
      </x:c>
      <x:c r="B7" s="32" t="str">
        <x:v>Ветка развития = одна из 13 крупных линий из 02_Branches. Для PL-006…PL-010 сухие пластины, рулонная плёнка, Brownie, snapshot-культура, 35 мм и Leica I пока идут внутри крупных веток «Негатив-позитив», «Печать / тиражирование», «Проекция / распространение» и «Оптические инструменты», а детали фиксируются в подветках.</x:v>
      </x:c>
    </x:row>
    <x:row r="8" ht="15.75" customHeight="1">
      <x:c r="A8" s="36" t="str">
        <x:v>Правило подветок</x:v>
      </x:c>
      <x:c r="B8" s="32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snapshot-культура, 35 мм, Leica I и т.п.</x:v>
      </x:c>
    </x:row>
    <x:row r="9" ht="12.75" customHeight="1">
      <x:c r="A9" s="28" t="str">
        <x:v>Правило типа узла</x:v>
      </x:c>
      <x:c r="B9" s="28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ht="23.25" customHeight="1">
      <x:c r="A10" s="28" t="str">
        <x:v>Единственный источник истины по урокам</x:v>
      </x:c>
      <x:c r="B10" s="28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ht="23.25" customHeight="1">
      <x:c r="A11" s="28" t="str">
        <x:v>Что изменено в v0.2.1</x:v>
      </x:c>
      <x:c r="B11" s="28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ht="23.25" customHeight="1">
      <x:c r="A12" s="28" t="str">
        <x:v>Что изменено в v0.3</x:v>
      </x:c>
      <x:c r="B12" s="28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ht="12.75" customHeight="1">
      <x:c r="A13" s="28" t="str">
        <x:v>Что изменено в v0.3.1</x:v>
      </x:c>
      <x:c r="B13" s="28" t="str">
        <x:v>Добавлена колонка «Флагман урока (да/нет)» в 01_Master_Facts: по одному флагманскому узлу на каждый из PL-001–PL-006.</x:v>
      </x:c>
    </x:row>
    <x:row r="14" ht="12.75" customHeight="1">
      <x:c r="A14" s="28" t="str">
        <x:v>Что изменено в v0.4</x:v>
      </x:c>
      <x:c r="B14" s="28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x:v>
      </x:c>
    </x:row>
    <x:row r="15" ht="12.75" customHeight="1">
      <x:c r="A15" s="28" t="str">
        <x:v>Что изменено в v0.5</x:v>
      </x:c>
      <x:c r="B15" s="28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 Добавлены источники SRC-044…SRC-051 и флагманский узел PL-HIST-0069.</x:v>
      </x:c>
    </x:row>
    <x:row r="16" ht="12.75" customHeight="1">
      <x:c r="A16" s="28" t="str">
        <x:v>Что изменено в v0.6</x:v>
      </x:c>
      <x:c r="B16" s="28" t="str">
        <x:v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 Добавлены источники SRC-052…SRC-061 и флагманский узел PL-HIST-0084.</x:v>
      </x:c>
    </x:row>
    <x:row r="17" ht="28">
      <x:c r="A17" s="28" t="str">
        <x:v>Что изменено в v0.7</x:v>
      </x:c>
      <x:c r="B17" s="28" t="str">
        <x:v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 Добавлены источники SRC-062…SRC-068 и флагманский узел PL-HIST-0092.</x:v>
      </x:c>
    </x:row>
    <x:row r="18" ht="14">
      <x:c r="A18" s="28" t="str">
        <x:v>Правило флагманских узлов</x:v>
      </x:c>
      <x:c r="B18" s="28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19">
      <x:c r="A19" s="28" t="str">
        <x:v>Ссылка на урок в Telegram</x:v>
      </x:c>
      <x:c r="B19" s="28" t="str">
        <x:v>Колонка F в 03_Lessons_Map сейчас указывает на канал целиком, если точные номера постов для конкретного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20">
      <x:c r="A20" s="28" t="str">
        <x:v>Следующий шаг</x:v>
      </x:c>
      <x:c r="B20" s="28" t="str">
        <x:v>PL-011 начинает Модуль 2: плёнка как светочувствительный материал — нужно перейти от исторической камеры Leica к пониманию самой фотоплёнки.</x:v>
      </x:c>
    </x:row>
  </x:sheetData>
  <x:mergeCells>
    <x:mergeCell ref="A1:B1"/>
  </x:mergeCells>
  <x:pageMargins left="0.7" right="0.7" top="0.75" bottom="0.75" header="0.3" footer="0.3"/>
</x:worksheet>
</file>