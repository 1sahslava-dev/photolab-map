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e6c2da162641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4cbbfe863ec840cb"/>
    <x:sheet xmlns:r="http://schemas.openxmlformats.org/officeDocument/2006/relationships" name="01_Master_Facts" sheetId="2" r:id="Raf01e80066c4400f"/>
    <x:sheet xmlns:r="http://schemas.openxmlformats.org/officeDocument/2006/relationships" name="02_Branches" sheetId="3" r:id="Rf970178dfc0947b3"/>
    <x:sheet xmlns:r="http://schemas.openxmlformats.org/officeDocument/2006/relationships" name="03_Lessons_Map" sheetId="4" r:id="Rca51f3a113434a9d"/>
    <x:sheet xmlns:r="http://schemas.openxmlformats.org/officeDocument/2006/relationships" name="04_Sources" sheetId="5" r:id="R84cf70e87bd248b9"/>
    <x:sheet xmlns:r="http://schemas.openxmlformats.org/officeDocument/2006/relationships" name="06_Lists" sheetId="6" r:id="R7b5d9288fde24bbd"/>
    <x:sheet xmlns:r="http://schemas.openxmlformats.org/officeDocument/2006/relationships" name="00_README" sheetId="7" r:id="Rc0c2ac9e1cad4c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b/>
      <x:sz val="18"/>
      <x:color rgb="FF000000"/>
      <x:name val="Calibri"/>
    </x:font>
    <x:font>
      <x:sz val="10"/>
      <x:color rgb="FF000000"/>
      <x:name val="Calibri"/>
    </x:font>
    <x:font>
      <x:sz val="10"/>
      <x:name val="Calibri"/>
    </x:font>
    <x:font>
      <x:b/>
      <x:sz val="11"/>
      <x:color rgb="FF111827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2">
    <x:border/>
    <x:border/>
  </x:borders>
  <x:cellStyleXfs count="7">
    <x:xf numFmtId="0" fontId="4" fillId="0" borderId="1" applyAlignment="1">
      <x:alignment horizontal="general" vertical="bottom"/>
    </x:xf>
    <x:xf numFmtId="43" fontId="4" fillId="0" borderId="1"/>
    <x:xf numFmtId="41" fontId="4" fillId="0" borderId="1"/>
    <x:xf numFmtId="44" fontId="4" fillId="0" borderId="1"/>
    <x:xf numFmtId="42" fontId="4" fillId="0" borderId="1"/>
    <x:xf numFmtId="9" fontId="4" fillId="0" borderId="1"/>
    <x:xf numFmtId="0" fontId="4" fillId="0" borderId="1" applyAlignment="1">
      <x:alignment horizontal="general" vertical="bottom"/>
    </x:xf>
  </x:cellStyleXfs>
  <x:cellXfs count="68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5" fillId="2" borderId="0" xfId="0" applyAlignment="1">
      <x:alignment horizontal="center" vertical="center" wrapText="1"/>
    </x:xf>
    <x:xf numFmtId="0" fontId="6" fillId="3" borderId="0" xfId="0" applyAlignment="1">
      <x:alignment horizontal="center" vertical="center" wrapText="1"/>
    </x:xf>
    <x:xf numFmtId="0" fontId="7" fillId="3" borderId="0" xfId="0" applyAlignment="1">
      <x:alignment horizontal="center" vertical="center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center" vertical="top" wrapText="1"/>
    </x:xf>
    <x:xf numFmtId="0" fontId="4" fillId="0" borderId="0" xfId="0" applyAlignment="1">
      <x:alignment horizontal="general" vertical="bottom" wrapText="1"/>
    </x:xf>
    <x:xf numFmtId="0" fontId="8" fillId="0" borderId="0" xfId="0" applyAlignment="1">
      <x:alignment horizontal="general" vertical="bottom" wrapText="1"/>
    </x:xf>
    <x:xf numFmtId="0" fontId="12" fillId="0" borderId="0" xfId="0" applyAlignment="1">
      <x:alignment horizontal="general" vertical="top" wrapText="1"/>
    </x:xf>
    <x:xf numFmtId="0" fontId="12" fillId="0" borderId="0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6" fillId="4" borderId="0" xfId="0" applyAlignment="1">
      <x:alignment horizontal="center" vertical="center" wrapText="1"/>
    </x:xf>
    <x:xf numFmtId="0" fontId="5" fillId="3" borderId="0" xfId="0" applyAlignment="1">
      <x:alignment horizontal="center" vertical="center" wrapText="1"/>
    </x:xf>
    <x:xf numFmtId="0" fontId="13" fillId="5" borderId="0" xfId="0" applyAlignment="1">
      <x:alignment horizontal="general" vertical="top" wrapText="1"/>
    </x:xf>
    <x:xf numFmtId="0" fontId="0" fillId="0" borderId="1" xfId="0" applyAlignment="1">
      <x:alignment horizontal="general" vertical="bottom"/>
    </x:xf>
    <x:xf numFmtId="0" fontId="5" fillId="2" borderId="1" xfId="0" applyAlignment="1">
      <x:alignment horizontal="center" vertical="center" wrapText="1"/>
    </x:xf>
    <x:xf numFmtId="0" fontId="6" fillId="3" borderId="1" xfId="0" applyAlignment="1">
      <x:alignment horizontal="center" vertical="center" wrapText="1"/>
    </x:xf>
    <x:xf numFmtId="0" fontId="7" fillId="3" borderId="1" xfId="0" applyAlignment="1">
      <x:alignment horizontal="center" vertical="center" wrapText="1"/>
    </x:xf>
    <x:xf numFmtId="0" fontId="8" fillId="0" borderId="1" xfId="0" applyAlignment="1">
      <x:alignment horizontal="general" vertical="top" wrapText="1"/>
    </x:xf>
    <x:xf numFmtId="0" fontId="9" fillId="0" borderId="1" xfId="0" applyAlignment="1">
      <x:alignment horizontal="center" vertical="top" wrapText="1"/>
    </x:xf>
    <x:xf numFmtId="0" fontId="0" fillId="0" borderId="1" xfId="0" applyAlignment="1">
      <x:alignment horizontal="general" vertical="bottom" wrapText="1"/>
    </x:xf>
    <x:xf numFmtId="0" fontId="8" fillId="0" borderId="1" xfId="0" applyAlignment="1">
      <x:alignment horizontal="general" vertical="bottom" wrapText="1"/>
    </x:xf>
    <x:xf numFmtId="0" fontId="12" fillId="0" borderId="1" xfId="0" applyAlignment="1">
      <x:alignment horizontal="general" vertical="top" wrapText="1"/>
    </x:xf>
    <x:xf numFmtId="0" fontId="12" fillId="0" borderId="1" xfId="0" applyAlignment="1">
      <x:alignment horizontal="center" vertical="top" wrapText="1"/>
    </x:xf>
    <x:xf numFmtId="0" fontId="6" fillId="4" borderId="1" xfId="0" applyAlignment="1">
      <x:alignment horizontal="center" vertical="center" wrapText="1"/>
    </x:xf>
    <x:xf numFmtId="0" fontId="5" fillId="3" borderId="1" xfId="0" applyAlignment="1">
      <x:alignment horizontal="center" vertical="center" wrapText="1"/>
    </x:xf>
    <x:xf numFmtId="0" fontId="13" fillId="5" borderId="1" xfId="0" applyAlignment="1">
      <x:alignment horizontal="general" vertical="top" wrapText="1"/>
    </x:xf>
    <x:xf numFmtId="0" fontId="0" fillId="0" borderId="0" xfId="0" applyAlignment="1">
      <x:alignment horizontal="general" vertical="bottom" wrapText="1"/>
    </x:xf>
    <x:xf numFmtId="0" fontId="6" fillId="3" borderId="0" xfId="0" applyAlignment="1">
      <x:alignment horizontal="center" vertical="center" wrapText="1"/>
    </x:xf>
    <x:xf numFmtId="0" fontId="8" fillId="0" borderId="0" xfId="0" applyAlignment="1">
      <x:alignment horizontal="general" vertical="bottom" wrapText="1"/>
    </x:xf>
    <x:xf numFmtId="0" fontId="7" fillId="3" borderId="0" xfId="0" applyAlignment="1">
      <x:alignment horizontal="center" vertical="center" wrapText="1"/>
    </x:xf>
    <x:xf numFmtId="0" fontId="5" fillId="2" borderId="0" xfId="0" applyAlignment="1">
      <x:alignment horizontal="center" vertical="center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center" vertical="top" wrapText="1"/>
    </x:xf>
    <x:xf numFmtId="0" fontId="5" fillId="3" borderId="0" xfId="0" applyAlignment="1">
      <x:alignment horizontal="center" vertical="center" wrapText="1"/>
    </x:xf>
    <x:xf numFmtId="0" fontId="13" fillId="5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5" fillId="2" borderId="1" xfId="0" applyAlignment="1">
      <x:alignment horizontal="center" vertical="center" wrapText="1"/>
    </x:xf>
    <x:xf numFmtId="0" fontId="0" fillId="0" borderId="1" xfId="0"/>
    <x:xf numFmtId="0" fontId="6" fillId="3" borderId="0" xfId="0" applyAlignment="1">
      <x:alignment horizontal="center" vertical="center" wrapText="1"/>
    </x:xf>
    <x:xf numFmtId="0" fontId="7" fillId="3" borderId="0" xfId="0" applyAlignment="1">
      <x:alignment horizontal="center" vertical="center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center" vertical="top" wrapText="1"/>
    </x:xf>
    <x:xf numFmtId="0" fontId="0" fillId="0" borderId="0" xfId="0" applyAlignment="1">
      <x:alignment horizontal="general" vertical="bottom" wrapText="1"/>
    </x:xf>
    <x:xf numFmtId="0" fontId="8" fillId="0" borderId="0" xfId="0" applyAlignment="1">
      <x:alignment horizontal="general" vertical="bottom" wrapText="1"/>
    </x:xf>
    <x:xf numFmtId="0" fontId="12" fillId="0" borderId="0" xfId="0" applyAlignment="1">
      <x:alignment horizontal="general" vertical="top" wrapText="1"/>
    </x:xf>
    <x:xf numFmtId="0" fontId="12" fillId="0" borderId="0" xfId="0" applyAlignment="1">
      <x:alignment horizontal="center" vertical="top" wrapText="1"/>
    </x:xf>
    <x:xf numFmtId="0" fontId="4" fillId="0" borderId="0" xfId="0" applyAlignment="1">
      <x:alignment horizontal="general" vertical="bottom" wrapText="1"/>
    </x:xf>
    <x:xf numFmtId="0" fontId="6" fillId="4" borderId="0" xfId="0" applyAlignment="1">
      <x:alignment horizontal="center" vertical="center" wrapText="1"/>
    </x:xf>
    <x:xf numFmtId="0" fontId="5" fillId="3" borderId="1" xfId="0" applyAlignment="1">
      <x:alignment horizontal="center" vertical="center" wrapText="1"/>
    </x:xf>
    <x:xf numFmtId="0" fontId="13" fillId="5" borderId="0" xfId="0" applyAlignment="1">
      <x:alignment horizontal="general" vertical="top" wrapText="1"/>
    </x:xf>
    <x:xf numFmtId="0" fontId="0" fillId="0" borderId="0" xfId="0" applyNumberFormat="1" applyFont="1" applyFill="1" applyBorder="1" applyAlignment="1">
      <x:alignment horizontal="general" vertical="bottom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horizontal="general" vertical="top" wrapText="1"/>
    </x:xf>
    <x:xf numFmtId="0" fontId="9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  <x:xf numFmtId="0" fontId="8" fillId="0" borderId="0" xfId="0" applyNumberFormat="1" applyFont="1" applyFill="1" applyBorder="1" applyAlignment="1">
      <x:alignment horizontal="general" vertical="bottom" wrapText="1"/>
    </x:xf>
    <x:xf numFmtId="0" fontId="12" fillId="0" borderId="0" xfId="0" applyNumberFormat="1" applyFont="1" applyFill="1" applyBorder="1" applyAlignment="1">
      <x:alignment horizontal="general" vertical="top" wrapText="1"/>
    </x:xf>
    <x:xf numFmtId="0" fontId="12" fillId="0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 applyAlignment="1">
      <x:alignment horizontal="general"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7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Обычный" xfId="6"/>
  </x:cellStyles>
  <x:dxfs count="8">
    <x:dxf>
      <x:fill>
        <x:patternFill>
          <x:bgColor rgb="FF111827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AD5"/>
        </x:patternFill>
      </x:fill>
    </x:dxf>
    <x:dxf>
      <x:fill>
        <x:patternFill>
          <x:bgColor rgb="FF1F293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dcb7444dbd47ea" /><Relationship Type="http://schemas.openxmlformats.org/officeDocument/2006/relationships/theme" Target="/xl/theme/theme1.xml" Id="R2e9dc0698c5a476e" /><Relationship Type="http://schemas.openxmlformats.org/officeDocument/2006/relationships/sharedStrings" Target="/xl/sharedStrings.xml" Id="R15d7e28df4e8494c" /><Relationship Type="http://schemas.openxmlformats.org/officeDocument/2006/relationships/worksheet" Target="/xl/worksheets/sheet1.xml" Id="R4cbbfe863ec840cb" /><Relationship Type="http://schemas.openxmlformats.org/officeDocument/2006/relationships/worksheet" Target="/xl/worksheets/sheet2.xml" Id="Raf01e80066c4400f" /><Relationship Type="http://schemas.openxmlformats.org/officeDocument/2006/relationships/worksheet" Target="/xl/worksheets/sheet3.xml" Id="Rf970178dfc0947b3" /><Relationship Type="http://schemas.openxmlformats.org/officeDocument/2006/relationships/worksheet" Target="/xl/worksheets/sheet4.xml" Id="Rca51f3a113434a9d" /><Relationship Type="http://schemas.openxmlformats.org/officeDocument/2006/relationships/worksheet" Target="/xl/worksheets/sheet5.xml" Id="R84cf70e87bd248b9" /><Relationship Type="http://schemas.openxmlformats.org/officeDocument/2006/relationships/worksheet" Target="/xl/worksheets/sheet6.xml" Id="R7b5d9288fde24bbd" /><Relationship Type="http://schemas.openxmlformats.org/officeDocument/2006/relationships/worksheet" Target="/xl/worksheets/sheet7.xml" Id="Rc0c2ac9e1cad4c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e266764694f3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"Количество узлов"</c:f>
              <c:strCache>
                <c:ptCount val="1"/>
                <c:pt idx="0">
                  <c:v>Количество узлов</c:v>
                </c:pt>
              </c:strCache>
            </c:strRef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05_Dashboard!$A$10:$A$46</c:f>
              <c:strCache>
                <c:ptCount val="3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>None</c:v>
                </c:pt>
                <c:pt idx="14">
                  <c:v>None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  <c:pt idx="27">
                  <c:v>None</c:v>
                </c:pt>
                <c:pt idx="28">
                  <c:v>None</c:v>
                </c:pt>
                <c:pt idx="29">
                  <c:v>None</c:v>
                </c:pt>
                <c:pt idx="30">
                  <c:v>None</c:v>
                </c:pt>
                <c:pt idx="31">
                  <c:v>None</c:v>
                </c:pt>
                <c:pt idx="32">
                  <c:v>None</c:v>
                </c:pt>
                <c:pt idx="33">
                  <c:v>None</c:v>
                </c:pt>
                <c:pt idx="34">
                  <c:v>None</c:v>
                </c:pt>
                <c:pt idx="35">
                  <c:v>None</c:v>
                </c:pt>
                <c:pt idx="36">
                  <c:v>None</c:v>
                </c:pt>
              </c:strCache>
            </c:strRef>
          </c:cat>
          <c:val>
            <c:numRef>
              <c:f>05_Dashboard!$B$10:$B$46</c:f>
              <c:numCache>
                <c:formatCode>General</c:formatCode>
                <c:ptCount val="24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13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19</c:v>
                </c:pt>
                <c:pt idx="15">
                  <c:v>7</c:v>
                </c:pt>
                <c:pt idx="16">
                  <c:v>4</c:v>
                </c:pt>
                <c:pt idx="17">
                  <c:v>2</c:v>
                </c:pt>
                <c:pt idx="18">
                  <c:v>5</c:v>
                </c:pt>
                <c:pt idx="19">
                  <c:v>5</c:v>
                </c:pt>
                <c:pt idx="20">
                  <c:v>6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e266764694f3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ffaef891ad45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a825f3c69b4f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397307f7a54b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e8b1cb842e40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7594e6364034613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37.15999984741211" style="37" customWidth="1"/>
    <x:col min="2" max="2" width="14.670000076293945" style="37" customWidth="1"/>
    <x:col min="3" max="3" width="50.5" style="37" customWidth="1"/>
    <x:col min="4" max="5" width="14.670000076293945" style="37" customWidth="1"/>
  </x:cols>
  <x:sheetData>
    <x:row r="1" s="38" customFormat="1" ht="30" customHeight="1">
      <x:c r="A1" s="54" t="str">
        <x:v>PHOTO LAB — Master Timeline v0.5</x:v>
      </x:c>
      <x:c r="B1" s="67" t="n"/>
      <x:c r="C1" s="67" t="n"/>
      <x:c r="D1" s="67" t="n"/>
      <x:c r="E1" s="67" t="n"/>
      <x:c r="F1" s="40" t="n"/>
    </x:row>
    <x:row r="2" s="38" customFormat="1" ht="27.75" customHeight="1">
      <x:c r="A2" s="55" t="inlineStr">
        <x:is>
          <x:t xml:space="preserve">KPI</x:t>
        </x:is>
      </x:c>
      <x:c r="B2" s="55" t="inlineStr">
        <x:is>
          <x:t xml:space="preserve">Значение</x:t>
        </x:is>
      </x:c>
      <x:c r="C2" s="55" t="inlineStr">
        <x:is>
          <x:t xml:space="preserve">Комментарий</x:t>
        </x:is>
      </x:c>
      <x:c r="D2" s="56" t="n"/>
      <x:c r="E2" s="56" t="n"/>
    </x:row>
    <x:row r="3" s="38" customFormat="1" ht="15.75" customHeight="1">
      <x:c r="A3" s="57" t="inlineStr">
        <x:is>
          <x:t xml:space="preserve">Всего исторических узлов</x:t>
        </x:is>
      </x:c>
      <x:c r="B3" s="58" t="n">
        <x:f>COUNTA('01_Master_Facts'!$A$2:$A$500)</x:f>
        <x:v>78</x:v>
      </x:c>
      <x:c r="C3" s="57" t="inlineStr">
        <x:is>
          <x:t xml:space="preserve">Количество строк в 01_Master_Facts</x:t>
        </x:is>
      </x:c>
      <x:c r="D3" s="59" t="n"/>
      <x:c r="E3" s="59" t="n"/>
    </x:row>
    <x:row r="4" s="38" customFormat="1" ht="15.75" customHeight="1">
      <x:c r="A4" s="57" t="inlineStr">
        <x:is>
          <x:t xml:space="preserve">Узлов с важностью 5</x:t>
        </x:is>
      </x:c>
      <x:c r="B4" s="58" t="n">
        <x:f>COUNTIF('01_Master_Facts'!$N$2:$N$500,5)</x:f>
        <x:v>31</x:v>
      </x:c>
      <x:c r="C4" s="57" t="inlineStr">
        <x:is>
          <x:t xml:space="preserve">Критические для карты и уроков</x:t>
        </x:is>
      </x:c>
      <x:c r="D4" s="59" t="n"/>
      <x:c r="E4" s="59" t="n"/>
    </x:row>
    <x:row r="5" s="38" customFormat="1" ht="15.75" customHeight="1">
      <x:c r="A5" s="57" t="str">
        <x:v>Узлов для PL-001–PL-008</x:v>
      </x:c>
      <x:c r="B5" s="58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)</x:f>
        <x:v>67</x:v>
      </x:c>
      <x:c r="C5" s="57" t="str">
        <x:v>Без будущих PL и межурочных узлов</x:v>
      </x:c>
      <x:c r="D5" s="59" t="n"/>
      <x:c r="E5" s="59" t="n"/>
    </x:row>
    <x:row r="6" s="38" customFormat="1" ht="31.5" customHeight="1">
      <x:c r="A6" s="57" t="inlineStr">
        <x:is>
          <x:t xml:space="preserve">Строк с пометкой «проверить позже»</x:t>
        </x:is>
      </x:c>
      <x:c r="B6" s="58" t="n">
        <x:f>COUNTIF('01_Master_Facts'!$W$2:$W$500,"&lt;&gt;")</x:f>
        <x:v>26</x:v>
      </x:c>
      <x:c r="C6" s="57" t="inlineStr">
        <x:is>
          <x:t xml:space="preserve">Живая формула: считает непустые ячейки в «Проверить позже»</x:t>
        </x:is>
      </x:c>
      <x:c r="D6" s="59" t="n"/>
      <x:c r="E6" s="59" t="n"/>
    </x:row>
    <x:row r="7" s="38" customFormat="1" ht="12.75" customHeight="1">
      <x:c r="A7" s="59" t="n"/>
      <x:c r="B7" s="59" t="n"/>
      <x:c r="C7" s="59" t="n"/>
      <x:c r="D7" s="59" t="n"/>
      <x:c r="E7" s="59" t="n"/>
    </x:row>
    <x:row r="8" s="38" customFormat="1" ht="12.75" customHeight="1">
      <x:c r="A8" s="59" t="n"/>
      <x:c r="B8" s="59" t="n"/>
      <x:c r="C8" s="59" t="n"/>
      <x:c r="D8" s="59" t="n"/>
      <x:c r="E8" s="59" t="n"/>
    </x:row>
    <x:row r="9" s="38" customFormat="1" ht="27.75" customHeight="1">
      <x:c r="A9" s="55" t="inlineStr">
        <x:is>
          <x:t xml:space="preserve">Ветка развития</x:t>
        </x:is>
      </x:c>
      <x:c r="B9" s="55" t="inlineStr">
        <x:is>
          <x:t xml:space="preserve">Количество узлов</x:t>
        </x:is>
      </x:c>
      <x:c r="C9" s="59" t="n"/>
      <x:c r="D9" s="55" t="inlineStr">
        <x:is>
          <x:t xml:space="preserve">Урок</x:t>
        </x:is>
      </x:c>
      <x:c r="E9" s="55" t="inlineStr">
        <x:is>
          <x:t xml:space="preserve">Количество узлов</x:t>
        </x:is>
      </x:c>
    </x:row>
    <x:row r="10" s="38" customFormat="1" ht="15.75" customHeight="1">
      <x:c r="A10" s="60" t="inlineStr">
        <x:is>
          <x:t xml:space="preserve">Оптика / камера-обскура</x:t>
        </x:is>
      </x:c>
      <x:c r="B10" s="60" t="n">
        <x:f>COUNTIF('01_Master_Facts'!$H$2:$H$500,A10)</x:f>
        <x:v>6</x:v>
      </x:c>
      <x:c r="C10" s="59" t="n"/>
      <x:c r="D10" s="60" t="str">
        <x:v>PL-001</x:v>
      </x:c>
      <x:c r="E10" s="60" t="n">
        <x:f>COUNTIF('01_Master_Facts'!$O$2:$O$500,D10)</x:f>
        <x:v>8</x:v>
      </x:c>
    </x:row>
    <x:row r="11" s="38" customFormat="1" ht="15.75" customHeight="1">
      <x:c r="A11" s="60" t="inlineStr">
        <x:is>
          <x:t xml:space="preserve">Оптические инструменты</x:t>
        </x:is>
      </x:c>
      <x:c r="B11" s="60" t="n">
        <x:f>COUNTIF('01_Master_Facts'!$H$2:$H$500,A11)</x:f>
        <x:v>4</x:v>
      </x:c>
      <x:c r="C11" s="59" t="n"/>
      <x:c r="D11" s="60" t="str">
        <x:v>PL-002</x:v>
      </x:c>
      <x:c r="E11" s="60" t="n">
        <x:f>COUNTIF('01_Master_Facts'!$O$2:$O$500,D11)</x:f>
        <x:v>7</x:v>
      </x:c>
    </x:row>
    <x:row r="12" s="38" customFormat="1" ht="15.75" customHeight="1">
      <x:c r="A12" s="60" t="inlineStr">
        <x:is>
          <x:t xml:space="preserve">Фотохимия</x:t>
        </x:is>
      </x:c>
      <x:c r="B12" s="60" t="n">
        <x:f>COUNTIF('01_Master_Facts'!$H$2:$H$500,A12)</x:f>
        <x:v>4</x:v>
      </x:c>
      <x:c r="C12" s="59" t="n"/>
      <x:c r="D12" s="60" t="str">
        <x:v>PL-003</x:v>
      </x:c>
      <x:c r="E12" s="60" t="n">
        <x:f>COUNTIF('01_Master_Facts'!$O$2:$O$500,D12)</x:f>
        <x:v>5</x:v>
      </x:c>
    </x:row>
    <x:row r="13" s="38" customFormat="1" ht="15.75" customHeight="1">
      <x:c r="A13" s="60" t="inlineStr">
        <x:is>
          <x:t xml:space="preserve">Гелиография</x:t>
        </x:is>
      </x:c>
      <x:c r="B13" s="60" t="n">
        <x:f>COUNTIF('01_Master_Facts'!$H$2:$H$500,A13)</x:f>
        <x:v>3</x:v>
      </x:c>
      <x:c r="C13" s="59" t="n"/>
      <x:c r="D13" s="60" t="str">
        <x:v>PL-004</x:v>
      </x:c>
      <x:c r="E13" s="60" t="n">
        <x:f>COUNTIF('01_Master_Facts'!$O$2:$O$500,D13)</x:f>
        <x:v>9</x:v>
      </x:c>
    </x:row>
    <x:row r="14" s="38" customFormat="1" ht="15.75" customHeight="1">
      <x:c r="A14" s="60" t="inlineStr">
        <x:is>
          <x:t xml:space="preserve">Дагеротип</x:t>
        </x:is>
      </x:c>
      <x:c r="B14" s="60" t="n">
        <x:f>COUNTIF('01_Master_Facts'!$H$2:$H$500,A14)</x:f>
        <x:v>7</x:v>
      </x:c>
      <x:c r="C14" s="59" t="n"/>
      <x:c r="D14" s="60" t="str">
        <x:v>PL-005</x:v>
      </x:c>
      <x:c r="E14" s="60" t="n">
        <x:f>COUNTIF('01_Master_Facts'!$O$2:$O$500,D14)</x:f>
        <x:v>8</x:v>
      </x:c>
    </x:row>
    <x:row r="15" s="38" customFormat="1" ht="15.75" customHeight="1">
      <x:c r="A15" s="60" t="inlineStr">
        <x:is>
          <x:t xml:space="preserve">Фотогенный рисунок / фотограмма</x:t>
        </x:is>
      </x:c>
      <x:c r="B15" s="60" t="n">
        <x:f>COUNTIF('01_Master_Facts'!$H$2:$H$500,A15)</x:f>
        <x:v>2</x:v>
      </x:c>
      <x:c r="C15" s="59" t="n"/>
      <x:c r="D15" s="60" t="str">
        <x:v>PL-006</x:v>
      </x:c>
      <x:c r="E15" s="60" t="n">
        <x:f>COUNTIF('01_Master_Facts'!$O$2:$O$500,D15)</x:f>
        <x:v>10</x:v>
      </x:c>
    </x:row>
    <x:row r="16" s="38" customFormat="1" ht="15.75" customHeight="1">
      <x:c r="A16" s="60" t="inlineStr">
        <x:is>
          <x:t xml:space="preserve">Негатив-позитив</x:t>
        </x:is>
      </x:c>
      <x:c r="B16" s="60" t="n">
        <x:f>COUNTIF('01_Master_Facts'!$H$2:$H$500,A16)</x:f>
        <x:v>29</x:v>
      </x:c>
      <x:c r="C16" s="59" t="n"/>
      <x:c r="D16" s="60" t="str">
        <x:v>PL-007</x:v>
      </x:c>
      <x:c r="E16" s="60" t="n">
        <x:f>COUNTIF('01_Master_Facts'!$O$2:$O$500,D16)</x:f>
        <x:v>10</x:v>
      </x:c>
    </x:row>
    <x:row r="17" s="38" customFormat="1" ht="31.5" customHeight="1">
      <x:c r="A17" s="60" t="inlineStr">
        <x:is>
          <x:t xml:space="preserve">Фиксаж / терминология</x:t>
        </x:is>
      </x:c>
      <x:c r="B17" s="60" t="n">
        <x:f>COUNTIF('01_Master_Facts'!$H$2:$H$500,A17)</x:f>
        <x:v>2</x:v>
      </x:c>
      <x:c r="C17" s="59" t="n"/>
      <x:c r="D17" s="60" t="str">
        <x:v>PL-008</x:v>
      </x:c>
      <x:c r="E17" s="60" t="n">
        <x:f>COUNTIF('01_Master_Facts'!$O$2:$O$500,D17)</x:f>
        <x:v>10</x:v>
      </x:c>
    </x:row>
    <x:row r="18" s="38" customFormat="1" ht="15.75" customHeight="1">
      <x:c r="A18" s="60" t="inlineStr">
        <x:is>
          <x:t xml:space="preserve">Печать / тиражирование</x:t>
        </x:is>
      </x:c>
      <x:c r="B18" s="60" t="n">
        <x:f>COUNTIF('01_Master_Facts'!$H$2:$H$500,A18)</x:f>
        <x:v>10</x:v>
      </x:c>
      <x:c r="C18" s="59" t="n"/>
      <x:c r="D18" s="59" t="str">
        <x:v>будущие PL</x:v>
      </x:c>
      <x:c r="E18" s="59" t="n">
        <x:f>COUNTIF('01_Master_Facts'!$O$2:$O$500,D18)</x:f>
        <x:v>9</x:v>
      </x:c>
    </x:row>
    <x:row r="19" s="38" customFormat="1" ht="15.75" customHeight="1">
      <x:c r="A19" s="60" t="inlineStr">
        <x:is>
          <x:t xml:space="preserve">Мокрый коллодий</x:t>
        </x:is>
      </x:c>
      <x:c r="B19" s="60" t="n">
        <x:f>COUNTIF('01_Master_Facts'!$H$2:$H$500,A19)</x:f>
        <x:v>5</x:v>
      </x:c>
      <x:c r="C19" s="59" t="n"/>
      <x:c r="D19" s="59" t="str">
        <x:v>межурочный узел</x:v>
      </x:c>
      <x:c r="E19" s="59" t="n">
        <x:f>COUNTIF('01_Master_Facts'!$O$2:$O$500,D19)</x:f>
        <x:v>2</x:v>
      </x:c>
    </x:row>
    <x:row r="20" s="38" customFormat="1" ht="15.75" customHeight="1">
      <x:c r="A20" s="60" t="inlineStr">
        <x:is>
          <x:t xml:space="preserve">Уникальный позитив</x:t>
        </x:is>
      </x:c>
      <x:c r="B20" s="60" t="n">
        <x:f>COUNTIF('01_Master_Facts'!$H$2:$H$500,A20)</x:f>
        <x:v>4</x:v>
      </x:c>
      <x:c r="C20" s="59" t="n"/>
      <x:c r="D20" s="59" t="str">
        <x:v>проверить</x:v>
      </x:c>
      <x:c r="E20" s="59" t="n">
        <x:f>COUNTIF('01_Master_Facts'!$O$2:$O$500,D20)</x:f>
        <x:v>0</x:v>
      </x:c>
    </x:row>
    <x:row r="21" s="38" customFormat="1" ht="15.75" customHeight="1">
      <x:c r="A21" s="60" t="inlineStr">
        <x:is>
          <x:t xml:space="preserve">Цвет</x:t>
        </x:is>
      </x:c>
      <x:c r="B21" s="60" t="n">
        <x:f>COUNTIF('01_Master_Facts'!$H$2:$H$500,A21)</x:f>
        <x:v>1</x:v>
      </x:c>
      <x:c r="C21" s="59" t="n"/>
      <x:c r="D21" s="59" t="n"/>
      <x:c r="E21" s="59" t="n"/>
    </x:row>
    <x:row r="22" s="38" customFormat="1" ht="15.75" customHeight="1">
      <x:c r="A22" s="60" t="inlineStr">
        <x:is>
          <x:t xml:space="preserve">Проекция / распространение</x:t>
        </x:is>
      </x:c>
      <x:c r="B22" s="60" t="n">
        <x:f>COUNTIF('01_Master_Facts'!$H$2:$H$500,A22)</x:f>
        <x:v>1</x:v>
      </x:c>
      <x:c r="C22" s="59" t="n"/>
      <x:c r="D22" s="59" t="n"/>
      <x:c r="E22" s="59" t="n"/>
    </x:row>
    <x:row r="23" s="38" customFormat="1" ht="15" customHeight="1">
      <x:c r="A23" s="60" t="n"/>
      <x:c r="B23" s="60" t="n"/>
      <x:c r="C23" s="59" t="n"/>
      <x:c r="D23" s="59" t="n"/>
      <x:c r="E23" s="59" t="n"/>
    </x:row>
    <x:row r="24" s="38" customFormat="1" ht="15" customHeight="1">
      <x:c r="A24" s="60" t="n"/>
      <x:c r="B24" s="60" t="n"/>
      <x:c r="C24" s="59" t="n"/>
      <x:c r="D24" s="59" t="n"/>
      <x:c r="E24" s="59" t="n"/>
    </x:row>
    <x:row r="25" s="38" customFormat="1" ht="31.5" customHeight="1">
      <x:c r="A25" s="55" t="inlineStr">
        <x:is>
          <x:t xml:space="preserve">Тип узла</x:t>
        </x:is>
      </x:c>
      <x:c r="B25" s="55" t="inlineStr">
        <x:is>
          <x:t xml:space="preserve">Количество узлов</x:t>
        </x:is>
      </x:c>
      <x:c r="C25" s="59" t="n"/>
      <x:c r="D25" s="59" t="n"/>
      <x:c r="E25" s="59" t="n"/>
    </x:row>
    <x:row r="26" s="38" customFormat="1" ht="15.75" customHeight="1">
      <x:c r="A26" s="60" t="inlineStr">
        <x:is>
          <x:t xml:space="preserve">Фундаментальная предпосылка</x:t>
        </x:is>
      </x:c>
      <x:c r="B26" s="60" t="n">
        <x:f>COUNTIF('01_Master_Facts'!$Z$2:$Z$500,A26)</x:f>
        <x:v>4</x:v>
      </x:c>
      <x:c r="C26" s="59" t="n"/>
      <x:c r="D26" s="59" t="n"/>
      <x:c r="E26" s="59" t="n"/>
    </x:row>
    <x:row r="27" s="38" customFormat="1" ht="15.75" customHeight="1">
      <x:c r="A27" s="60" t="inlineStr">
        <x:is>
          <x:t xml:space="preserve">Технология / процесс</x:t>
        </x:is>
      </x:c>
      <x:c r="B27" s="60" t="n">
        <x:f>COUNTIF('01_Master_Facts'!$Z$2:$Z$500,A27)</x:f>
        <x:v>24</x:v>
      </x:c>
      <x:c r="C27" s="59" t="n"/>
      <x:c r="D27" s="59" t="n"/>
      <x:c r="E27" s="59" t="n"/>
    </x:row>
    <x:row r="28" s="38" customFormat="1" ht="15.75" customHeight="1">
      <x:c r="A28" s="60" t="inlineStr">
        <x:is>
          <x:t xml:space="preserve">Инструмент / устройство</x:t>
        </x:is>
      </x:c>
      <x:c r="B28" s="60" t="n">
        <x:f>COUNTIF('01_Master_Facts'!$Z$2:$Z$500,A28)</x:f>
        <x:v>8</x:v>
      </x:c>
      <x:c r="C28" s="59" t="n"/>
      <x:c r="D28" s="59" t="n"/>
      <x:c r="E28" s="59" t="n"/>
    </x:row>
    <x:row r="29" s="38" customFormat="1" ht="15.75" customHeight="1">
      <x:c r="A29" s="60" t="inlineStr">
        <x:is>
          <x:t xml:space="preserve">Публикация / объявление</x:t>
        </x:is>
      </x:c>
      <x:c r="B29" s="60" t="n">
        <x:f>COUNTIF('01_Master_Facts'!$Z$2:$Z$500,A29)</x:f>
        <x:v>5</x:v>
      </x:c>
      <x:c r="C29" s="59" t="n"/>
      <x:c r="D29" s="59" t="n"/>
      <x:c r="E29" s="59" t="n"/>
    </x:row>
    <x:row r="30" s="38" customFormat="1" ht="15.75" customHeight="1">
      <x:c r="A30" s="60" t="inlineStr">
        <x:is>
          <x:t xml:space="preserve">Терминология / язык</x:t>
        </x:is>
      </x:c>
      <x:c r="B30" s="60" t="n">
        <x:f>COUNTIF('01_Master_Facts'!$Z$2:$Z$500,A30)</x:f>
        <x:v>2</x:v>
      </x:c>
      <x:c r="C30" s="59" t="n"/>
      <x:c r="D30" s="59" t="n"/>
      <x:c r="E30" s="59" t="n"/>
    </x:row>
    <x:row r="31" s="38" customFormat="1" ht="15.75" customHeight="1">
      <x:c r="A31" s="60" t="inlineStr">
        <x:is>
          <x:t xml:space="preserve">Связь / переход</x:t>
        </x:is>
      </x:c>
      <x:c r="B31" s="60" t="n">
        <x:f>COUNTIF('01_Master_Facts'!$Z$2:$Z$500,A31)</x:f>
        <x:v>8</x:v>
      </x:c>
      <x:c r="C31" s="59" t="n"/>
      <x:c r="D31" s="59" t="n"/>
      <x:c r="E31" s="59" t="n"/>
    </x:row>
    <x:row r="32" s="38" customFormat="1" ht="15.75" customHeight="1">
      <x:c r="A32" s="60" t="inlineStr">
        <x:is>
          <x:t xml:space="preserve">Тиражирование / публикация</x:t>
        </x:is>
      </x:c>
      <x:c r="B32" s="60" t="n">
        <x:f>COUNTIF('01_Master_Facts'!$Z$2:$Z$500,A32)</x:f>
        <x:v>5</x:v>
      </x:c>
      <x:c r="C32" s="59" t="n"/>
      <x:c r="D32" s="59" t="n"/>
      <x:c r="E32" s="59" t="n"/>
    </x:row>
    <x:row r="33" s="38" customFormat="1" ht="15.75" customHeight="1">
      <x:c r="A33" s="60" t="inlineStr">
        <x:is>
          <x:t xml:space="preserve">Распространение / коммерциализация</x:t>
        </x:is>
      </x:c>
      <x:c r="B33" s="60" t="n">
        <x:f>COUNTIF('01_Master_Facts'!$Z$2:$Z$500,A33)</x:f>
        <x:v>11</x:v>
      </x:c>
      <x:c r="C33" s="59" t="n"/>
      <x:c r="D33" s="59" t="n"/>
      <x:c r="E33" s="59" t="n"/>
    </x:row>
    <x:row r="34" s="38" customFormat="1" ht="15.75" customHeight="1">
      <x:c r="A34" s="60" t="inlineStr">
        <x:is>
          <x:t xml:space="preserve">Научное применение / пример</x:t>
        </x:is>
      </x:c>
      <x:c r="B34" s="60" t="n">
        <x:f>COUNTIF('01_Master_Facts'!$Z$2:$Z$500,A34)</x:f>
        <x:v>2</x:v>
      </x:c>
      <x:c r="C34" s="59" t="n"/>
      <x:c r="D34" s="59" t="n"/>
      <x:c r="E34" s="59" t="n"/>
    </x:row>
    <x:row r="35" s="38" customFormat="1" ht="15.75" customHeight="1">
      <x:c r="A35" s="60" t="inlineStr">
        <x:is>
          <x:t xml:space="preserve">Применение / жанр</x:t>
        </x:is>
      </x:c>
      <x:c r="B35" s="60" t="n">
        <x:f>COUNTIF('01_Master_Facts'!$Z$2:$Z$500,A35)</x:f>
        <x:v>5</x:v>
      </x:c>
      <x:c r="C35" s="59" t="n"/>
      <x:c r="D35" s="59" t="n"/>
      <x:c r="E35" s="59" t="n"/>
    </x:row>
    <x:row r="36" s="38" customFormat="1" ht="15.75" customHeight="1">
      <x:c r="A36" s="60" t="inlineStr">
        <x:is>
          <x:t xml:space="preserve">Ключевой исторический узел</x:t>
        </x:is>
      </x:c>
      <x:c r="B36" s="60" t="n">
        <x:f>COUNTIF('01_Master_Facts'!$Z$2:$Z$500,A36)</x:f>
        <x:v>4</x:v>
      </x:c>
      <x:c r="C36" s="59" t="n"/>
      <x:c r="D36" s="59" t="n"/>
      <x:c r="E36" s="59" t="n"/>
    </x:row>
    <x:row r="37" s="38" customFormat="1" ht="15" customHeight="1">
      <x:c r="A37" s="46" t="n"/>
      <x:c r="B37" s="46" t="n"/>
      <x:c r="C37" s="45" t="n"/>
      <x:c r="D37" s="45" t="n"/>
      <x:c r="E37" s="45" t="n"/>
    </x:row>
    <x:row r="38" s="38" customFormat="1" ht="15" customHeight="1">
      <x:c r="A38" s="46" t="n"/>
      <x:c r="B38" s="46" t="n"/>
      <x:c r="C38" s="45" t="n"/>
      <x:c r="D38" s="45" t="n"/>
      <x:c r="E38" s="45" t="n"/>
    </x:row>
    <x:row r="39" s="38" customFormat="1" ht="15" customHeight="1">
      <x:c r="A39" s="46" t="n"/>
      <x:c r="B39" s="46" t="n"/>
      <x:c r="C39" s="45" t="n"/>
      <x:c r="D39" s="45" t="n"/>
      <x:c r="E39" s="45" t="n"/>
    </x:row>
    <x:row r="40" s="38" customFormat="1" ht="15" customHeight="1">
      <x:c r="A40" s="46" t="n"/>
      <x:c r="B40" s="46" t="n"/>
      <x:c r="C40" s="45" t="n"/>
      <x:c r="D40" s="45" t="n"/>
      <x:c r="E40" s="45" t="n"/>
    </x:row>
    <x:row r="41" s="38" customFormat="1" ht="15" customHeight="1">
      <x:c r="A41" s="46" t="n"/>
      <x:c r="B41" s="46" t="n"/>
    </x:row>
    <x:row r="42" s="38" customFormat="1" ht="15" customHeight="1">
      <x:c r="A42" s="46" t="n"/>
      <x:c r="B42" s="46" t="n"/>
    </x:row>
    <x:row r="43" s="38" customFormat="1" ht="15" customHeight="1">
      <x:c r="A43" s="46" t="n"/>
      <x:c r="B43" s="46" t="n"/>
    </x:row>
    <x:row r="44" s="38" customFormat="1" ht="15" customHeight="1">
      <x:c r="A44" s="46" t="n"/>
      <x:c r="B44" s="46" t="n"/>
    </x:row>
    <x:row r="45" s="38" customFormat="1" ht="15" customHeight="1">
      <x:c r="A45" s="46" t="n"/>
      <x:c r="B45" s="46" t="n"/>
    </x:row>
    <x:row r="46" s="38" customFormat="1" ht="15" customHeight="1">
      <x:c r="A46" s="46" t="n"/>
      <x:c r="B46" s="46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28ffaef891ad455d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14" style="37" customWidth="1"/>
    <x:col min="2" max="3" width="16" style="37" customWidth="1"/>
    <x:col min="4" max="4" width="20" style="37" customWidth="1"/>
    <x:col min="5" max="5" width="22" style="37" customWidth="1"/>
    <x:col min="6" max="6" width="24" style="37" customWidth="1"/>
    <x:col min="7" max="7" width="44" style="37" customWidth="1"/>
    <x:col min="8" max="9" width="24" style="37" customWidth="1"/>
    <x:col min="10" max="10" width="46" style="37" customWidth="1"/>
    <x:col min="11" max="12" width="30" style="37" customWidth="1"/>
    <x:col min="13" max="13" width="26" style="37" customWidth="1"/>
    <x:col min="14" max="14" width="12" style="37" customWidth="1"/>
    <x:col min="15" max="15" width="18" style="37" customWidth="1"/>
    <x:col min="16" max="16" width="12" style="37" customWidth="1"/>
    <x:col min="17" max="17" width="34" style="37" customWidth="1"/>
    <x:col min="18" max="18" width="52" style="37" customWidth="1"/>
    <x:col min="19" max="19" width="14" style="37" customWidth="1"/>
    <x:col min="20" max="20" width="46" style="37" customWidth="1"/>
    <x:col min="21" max="21" width="38" style="37" customWidth="1"/>
    <x:col min="22" max="22" width="24" style="37" customWidth="1"/>
    <x:col min="23" max="23" width="34" style="37" customWidth="1"/>
    <x:col min="24" max="24" width="20" style="37" customWidth="1"/>
    <x:col min="25" max="25" width="28" style="37" customWidth="1"/>
    <x:col min="26" max="26" width="26" style="37" customWidth="1"/>
    <x:col min="27" max="27" width="16" style="37" customWidth="1"/>
  </x:cols>
  <x:sheetData>
    <x:row r="1" s="38" customFormat="1" ht="27.75" customHeight="1">
      <x:c r="A1" s="41" t="inlineStr">
        <x:is>
          <x:t xml:space="preserve">ID</x:t>
        </x:is>
      </x:c>
      <x:c r="B1" s="41" t="inlineStr">
        <x:is>
          <x:t xml:space="preserve">Период / дата</x:t>
        </x:is>
      </x:c>
      <x:c r="C1" s="41" t="inlineStr">
        <x:is>
          <x:t xml:space="preserve">Точность даты</x:t>
        </x:is>
      </x:c>
      <x:c r="D1" s="41" t="inlineStr">
        <x:is>
          <x:t xml:space="preserve">Страна</x:t>
        </x:is>
      </x:c>
      <x:c r="E1" s="41" t="inlineStr">
        <x:is>
          <x:t xml:space="preserve">Город / регион</x:t>
        </x:is>
      </x:c>
      <x:c r="F1" s="41" t="inlineStr">
        <x:is>
          <x:t xml:space="preserve">Персона / группа</x:t>
        </x:is>
      </x:c>
      <x:c r="G1" s="41" t="inlineStr">
        <x:is>
          <x:t xml:space="preserve">Событие</x:t>
        </x:is>
      </x:c>
      <x:c r="H1" s="41" t="inlineStr">
        <x:is>
          <x:t xml:space="preserve">Ветка развития</x:t>
        </x:is>
      </x:c>
      <x:c r="I1" s="41" t="inlineStr">
        <x:is>
          <x:t xml:space="preserve">Технология / процесс</x:t>
        </x:is>
      </x:c>
      <x:c r="J1" s="41" t="inlineStr">
        <x:is>
          <x:t xml:space="preserve">Что изменилось</x:t>
        </x:is>
      </x:c>
      <x:c r="K1" s="41" t="inlineStr">
        <x:is>
          <x:t xml:space="preserve">Предыдущая связь</x:t>
        </x:is>
      </x:c>
      <x:c r="L1" s="41" t="inlineStr">
        <x:is>
          <x:t xml:space="preserve">Следующая связь</x:t>
        </x:is>
      </x:c>
      <x:c r="M1" s="41" t="inlineStr">
        <x:is>
          <x:t xml:space="preserve">Статус ветки</x:t>
        </x:is>
      </x:c>
      <x:c r="N1" s="41" t="inlineStr">
        <x:is>
          <x:t xml:space="preserve">Важность 1–5</x:t>
        </x:is>
      </x:c>
      <x:c r="O1" s="41" t="inlineStr">
        <x:is>
          <x:t xml:space="preserve">Привязка к уроку</x:t>
        </x:is>
      </x:c>
      <x:c r="P1" s="41" t="inlineStr">
        <x:is>
          <x:t xml:space="preserve">Источник ID</x:t>
        </x:is>
      </x:c>
      <x:c r="Q1" s="41" t="inlineStr">
        <x:is>
          <x:t xml:space="preserve">Название источника</x:t>
        </x:is>
      </x:c>
      <x:c r="R1" s="41" t="inlineStr">
        <x:is>
          <x:t xml:space="preserve">URL источника</x:t>
        </x:is>
      </x:c>
      <x:c r="S1" s="41" t="inlineStr">
        <x:is>
          <x:t xml:space="preserve">Уверенность 1–5</x:t>
        </x:is>
      </x:c>
      <x:c r="T1" s="41" t="inlineStr">
        <x:is>
          <x:t xml:space="preserve">Комментарий для лекции</x:t>
        </x:is>
      </x:c>
      <x:c r="U1" s="41" t="inlineStr">
        <x:is>
          <x:t xml:space="preserve">Визуальная идея для карты</x:t>
        </x:is>
      </x:c>
      <x:c r="V1" s="41" t="inlineStr">
        <x:is>
          <x:t xml:space="preserve">Теги</x:t>
        </x:is>
      </x:c>
      <x:c r="W1" s="41" t="inlineStr">
        <x:is>
          <x:t xml:space="preserve">Проверить позже</x:t>
        </x:is>
      </x:c>
      <x:c r="X1" s="42" t="inlineStr">
        <x:is>
          <x:t xml:space="preserve">Координаты (lat, lon)</x:t>
        </x:is>
      </x:c>
      <x:c r="Y1" s="42" t="inlineStr">
        <x:is>
          <x:t xml:space="preserve">Подветка (детали)</x:t>
        </x:is>
      </x:c>
      <x:c r="Z1" s="42" t="inlineStr">
        <x:is>
          <x:t xml:space="preserve">Тип узла</x:t>
        </x:is>
      </x:c>
      <x:c r="AA1" s="37" t="inlineStr">
        <x:is>
          <x:t xml:space="preserve">Флагман урока (да/нет)</x:t>
        </x:is>
      </x:c>
    </x:row>
    <x:row r="2" s="38" customFormat="1" ht="45" customHeight="1">
      <x:c r="A2" s="47" t="inlineStr">
        <x:is>
          <x:t xml:space="preserve">PL-HIST-0001</x:t>
        </x:is>
      </x:c>
      <x:c r="B2" s="47" t="inlineStr">
        <x:is>
          <x:t xml:space="preserve">ок. 1011–1021</x:t>
        </x:is>
      </x:c>
      <x:c r="C2" s="47" t="inlineStr">
        <x:is>
          <x:t xml:space="preserve">диапазон</x:t>
        </x:is>
      </x:c>
      <x:c r="D2" s="47" t="inlineStr">
        <x:is>
          <x:t xml:space="preserve">Египет / исламский научный мир</x:t>
        </x:is>
      </x:c>
      <x:c r="E2" s="47" t="inlineStr">
        <x:is>
          <x:t xml:space="preserve">Каир / Басра (контекст учёного)</x:t>
        </x:is>
      </x:c>
      <x:c r="F2" s="47" t="inlineStr">
        <x:is>
          <x:t xml:space="preserve">Ибн аль-Хайсам (Альхазен)</x:t>
        </x:is>
      </x:c>
      <x:c r="G2" s="47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47" t="inlineStr">
        <x:is>
          <x:t xml:space="preserve">Оптика / камера-обскура</x:t>
        </x:is>
      </x:c>
      <x:c r="I2" s="47" t="inlineStr">
        <x:is>
          <x:t xml:space="preserve">Камера-обскура / pinhole image</x:t>
        </x:is>
      </x:c>
      <x:c r="J2" s="47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47" t="inlineStr">
        <x:is>
          <x:t xml:space="preserve">Античная оптика и астрономические наблюдения</x:t>
        </x:is>
      </x:c>
      <x:c r="L2" s="47" t="inlineStr">
        <x:is>
          <x:t xml:space="preserve">Европейская оптика, камера-обскура как инструмент наблюдения</x:t>
        </x:is>
      </x:c>
      <x:c r="M2" s="47" t="inlineStr">
        <x:is>
          <x:t xml:space="preserve">Оптическая предпосылка</x:t>
        </x:is>
      </x:c>
      <x:c r="N2" s="48" t="n">
        <x:v>5</x:v>
      </x:c>
      <x:c r="O2" s="47" t="inlineStr">
        <x:is>
          <x:t xml:space="preserve">PL-001</x:t>
        </x:is>
      </x:c>
      <x:c r="P2" s="47" t="inlineStr">
        <x:is>
          <x:t xml:space="preserve">SRC-001</x:t>
        </x:is>
      </x:c>
      <x:c r="Q2" s="47" t="inlineStr">
        <x:is>
          <x:t xml:space="preserve">AramcoWorld — Ibn al-Haytham: Testing is Believing</x:t>
        </x:is>
      </x:c>
      <x:c r="R2" s="47" t="inlineStr">
        <x:is>
          <x:t xml:space="preserve">https://www.aramcoworld.com/en/articles/2023/ibn-al-haytham-testing-is-believing</x:t>
        </x:is>
      </x:c>
      <x:c r="S2" s="48" t="n">
        <x:v>4</x:v>
      </x:c>
      <x:c r="T2" s="47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47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47" t="inlineStr">
        <x:is>
          <x:t xml:space="preserve">#оптика #камера-обскура #ИбнАльХайсам #PL001</x:t>
        </x:is>
      </x:c>
      <x:c r="W2" s="47" t="inlineStr">
        <x:is>
          <x:t xml:space="preserve">Уточнить формулировку места: не привязывать к современной стране слишком жёстко.</x:t>
        </x:is>
      </x:c>
      <x:c r="X2" s="37" t="inlineStr">
        <x:is>
          <x:t xml:space="preserve">30.0444, 31.2357</x:t>
        </x:is>
      </x:c>
      <x:c r="Z2" s="37" t="inlineStr">
        <x:is>
          <x:t xml:space="preserve">Фундаментальная предпосылка</x:t>
        </x:is>
      </x:c>
      <x:c r="AA2" s="37" t="inlineStr">
        <x:is>
          <x:t xml:space="preserve">да</x:t>
        </x:is>
      </x:c>
    </x:row>
    <x:row r="3" s="38" customFormat="1" ht="45" customHeight="1">
      <x:c r="A3" s="47" t="inlineStr">
        <x:is>
          <x:t xml:space="preserve">PL-HIST-0002</x:t>
        </x:is>
      </x:c>
      <x:c r="B3" s="47" t="inlineStr">
        <x:is>
          <x:t xml:space="preserve">1545</x:t>
        </x:is>
      </x:c>
      <x:c r="C3" s="47" t="inlineStr">
        <x:is>
          <x:t xml:space="preserve">год</x:t>
        </x:is>
      </x:c>
      <x:c r="D3" s="47" t="inlineStr">
        <x:is>
          <x:t xml:space="preserve">Нидерланды / Священная Римская империя</x:t>
        </x:is>
      </x:c>
      <x:c r="E3" s="47" t="inlineStr">
        <x:is>
          <x:t xml:space="preserve">Лёвен / Фрисландия (контекст публикации)</x:t>
        </x:is>
      </x:c>
      <x:c r="F3" s="47" t="inlineStr">
        <x:is>
          <x:t xml:space="preserve">Гемма Фризиус</x:t>
        </x:is>
      </x:c>
      <x:c r="G3" s="47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47" t="inlineStr">
        <x:is>
          <x:t xml:space="preserve">Оптика / камера-обскура</x:t>
        </x:is>
      </x:c>
      <x:c r="I3" s="47" t="inlineStr">
        <x:is>
          <x:t xml:space="preserve">Камера-обскура как астрономический инструмент</x:t>
        </x:is>
      </x:c>
      <x:c r="J3" s="47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47" t="inlineStr">
        <x:is>
          <x:t xml:space="preserve">Ибн аль-Хайсам и средневековая оптика</x:t>
        </x:is>
      </x:c>
      <x:c r="L3" s="47" t="inlineStr">
        <x:is>
          <x:t xml:space="preserve">Линза и художественное применение камеры-обскуры</x:t>
        </x:is>
      </x:c>
      <x:c r="M3" s="47" t="inlineStr">
        <x:is>
          <x:t xml:space="preserve">Оптическая предпосылка</x:t>
        </x:is>
      </x:c>
      <x:c r="N3" s="48" t="n">
        <x:v>3</x:v>
      </x:c>
      <x:c r="O3" s="47" t="inlineStr">
        <x:is>
          <x:t xml:space="preserve">PL-001</x:t>
        </x:is>
      </x:c>
      <x:c r="P3" s="47" t="inlineStr">
        <x:is>
          <x:t xml:space="preserve">SRC-003</x:t>
        </x:is>
      </x:c>
      <x:c r="Q3" s="47" t="inlineStr">
        <x:is>
          <x:t xml:space="preserve">Max Planck Institute — Camera Obscura PDF</x:t>
        </x:is>
      </x:c>
      <x:c r="R3" s="47" t="inlineStr">
        <x:is>
          <x:t xml:space="preserve">https://www.mpiwg-berlin.mpg.de/sites/default/files/Preprints/P307.pdf</x:t>
        </x:is>
      </x:c>
      <x:c r="S3" s="48" t="n">
        <x:v>3</x:v>
      </x:c>
      <x:c r="T3" s="47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47" t="inlineStr">
        <x:is>
          <x:t xml:space="preserve">Иконка солнечного затмения + тёмная комната.</x:t>
        </x:is>
      </x:c>
      <x:c r="V3" s="47" t="inlineStr">
        <x:is>
          <x:t xml:space="preserve">#оптика #астрономия #камера-обскура</x:t>
        </x:is>
      </x:c>
      <x:c r="W3" s="47" t="inlineStr">
        <x:is>
          <x:t xml:space="preserve">Нужен первичный источник/точная ссылка на публикацию Frisius.</x:t>
        </x:is>
      </x:c>
      <x:c r="X3" s="37" t="inlineStr">
        <x:is>
          <x:t xml:space="preserve">50.8798, 4.7005</x:t>
        </x:is>
      </x:c>
      <x:c r="Z3" s="37" t="inlineStr">
        <x:is>
          <x:t xml:space="preserve">Инструмент / устройство</x:t>
        </x:is>
      </x:c>
    </x:row>
    <x:row r="4" s="38" customFormat="1" ht="45" customHeight="1">
      <x:c r="A4" s="47" t="inlineStr">
        <x:is>
          <x:t xml:space="preserve">PL-HIST-0003</x:t>
        </x:is>
      </x:c>
      <x:c r="B4" s="47" t="inlineStr">
        <x:is>
          <x:t xml:space="preserve">1550</x:t>
        </x:is>
      </x:c>
      <x:c r="C4" s="47" t="inlineStr">
        <x:is>
          <x:t xml:space="preserve">год</x:t>
        </x:is>
      </x:c>
      <x:c r="D4" s="47" t="inlineStr">
        <x:is>
          <x:t xml:space="preserve">Италия</x:t>
        </x:is>
      </x:c>
      <x:c r="E4" s="47" t="inlineStr">
        <x:is>
          <x:t xml:space="preserve">Павия / Италия</x:t>
        </x:is>
      </x:c>
      <x:c r="F4" s="47" t="inlineStr">
        <x:is>
          <x:t xml:space="preserve">Джероламо Кардано</x:t>
        </x:is>
      </x:c>
      <x:c r="G4" s="47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47" t="inlineStr">
        <x:is>
          <x:t xml:space="preserve">Оптика / камера-обскура</x:t>
        </x:is>
      </x:c>
      <x:c r="I4" s="47" t="inlineStr">
        <x:is>
          <x:t xml:space="preserve">Линза в камере-обскуре</x:t>
        </x:is>
      </x:c>
      <x:c r="J4" s="47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47" t="inlineStr">
        <x:is>
          <x:t xml:space="preserve">Пинхол / тёмная комната</x:t>
        </x:is>
      </x:c>
      <x:c r="L4" s="47" t="inlineStr">
        <x:is>
          <x:t xml:space="preserve">Della Porta и популяризация камеры-обскуры</x:t>
        </x:is>
      </x:c>
      <x:c r="M4" s="47" t="inlineStr">
        <x:is>
          <x:t xml:space="preserve">Оптическая предпосылка</x:t>
        </x:is>
      </x:c>
      <x:c r="N4" s="48" t="n">
        <x:v>4</x:v>
      </x:c>
      <x:c r="O4" s="47" t="inlineStr">
        <x:is>
          <x:t xml:space="preserve">PL-001</x:t>
        </x:is>
      </x:c>
      <x:c r="P4" s="47" t="inlineStr">
        <x:is>
          <x:t xml:space="preserve">SRC-002</x:t>
        </x:is>
      </x:c>
      <x:c r="Q4" s="47" t="inlineStr">
        <x:is>
          <x:t xml:space="preserve">IMSS / Museo Galileo — Camera Obscura</x:t>
        </x:is>
      </x:c>
      <x:c r="R4" s="47" t="inlineStr">
        <x:is>
          <x:t xml:space="preserve">https://redi.imss.fi.it/inventions/index.php/Camera_Obscura</x:t>
        </x:is>
      </x:c>
      <x:c r="S4" s="48" t="n">
        <x:v>4</x:v>
      </x:c>
      <x:c r="T4" s="47" t="inlineStr">
        <x:is>
          <x:t xml:space="preserve">Для новичка: отверстие даёт картинку, линза делает её ярче и удобнее.</x:t>
        </x:is>
      </x:c>
      <x:c r="U4" s="47" t="inlineStr">
        <x:is>
          <x:t xml:space="preserve">На линии добавить маленькую линзу перед тёмной комнатой.</x:t>
        </x:is>
      </x:c>
      <x:c r="V4" s="47" t="inlineStr">
        <x:is>
          <x:t xml:space="preserve">#оптика #линза #камера</x:t>
        </x:is>
      </x:c>
      <x:c r="W4" s="47" t="n"/>
      <x:c r="X4" s="37" t="inlineStr">
        <x:is>
          <x:t xml:space="preserve">45.1847, 9.1582</x:t>
        </x:is>
      </x:c>
      <x:c r="Z4" s="37" t="inlineStr">
        <x:is>
          <x:t xml:space="preserve">Инструмент / устройство</x:t>
        </x:is>
      </x:c>
    </x:row>
    <x:row r="5" s="38" customFormat="1" ht="45" customHeight="1">
      <x:c r="A5" s="47" t="inlineStr">
        <x:is>
          <x:t xml:space="preserve">PL-HIST-0004</x:t>
        </x:is>
      </x:c>
      <x:c r="B5" s="47" t="inlineStr">
        <x:is>
          <x:t xml:space="preserve">1558</x:t>
        </x:is>
      </x:c>
      <x:c r="C5" s="47" t="inlineStr">
        <x:is>
          <x:t xml:space="preserve">год</x:t>
        </x:is>
      </x:c>
      <x:c r="D5" s="47" t="inlineStr">
        <x:is>
          <x:t xml:space="preserve">Италия</x:t>
        </x:is>
      </x:c>
      <x:c r="E5" s="47" t="inlineStr">
        <x:is>
          <x:t xml:space="preserve">Неаполь</x:t>
        </x:is>
      </x:c>
      <x:c r="F5" s="47" t="inlineStr">
        <x:is>
          <x:t xml:space="preserve">Джамбаттиста делла Порта</x:t>
        </x:is>
      </x:c>
      <x:c r="G5" s="47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47" t="inlineStr">
        <x:is>
          <x:t xml:space="preserve">Оптика / камера-обскура</x:t>
        </x:is>
      </x:c>
      <x:c r="I5" s="47" t="inlineStr">
        <x:is>
          <x:t xml:space="preserve">Камера-обскура как инструмент художника</x:t>
        </x:is>
      </x:c>
      <x:c r="J5" s="47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47" t="inlineStr">
        <x:is>
          <x:t xml:space="preserve">Кардано и линза</x:t>
        </x:is>
      </x:c>
      <x:c r="L5" s="47" t="inlineStr">
        <x:is>
          <x:t xml:space="preserve">Kepler, портативные камеры-обскуры</x:t>
        </x:is>
      </x:c>
      <x:c r="M5" s="47" t="inlineStr">
        <x:is>
          <x:t xml:space="preserve">Оптическая предпосылка</x:t>
        </x:is>
      </x:c>
      <x:c r="N5" s="48" t="n">
        <x:v>4</x:v>
      </x:c>
      <x:c r="O5" s="47" t="inlineStr">
        <x:is>
          <x:t xml:space="preserve">PL-001</x:t>
        </x:is>
      </x:c>
      <x:c r="P5" s="47" t="inlineStr">
        <x:is>
          <x:t xml:space="preserve">SRC-002</x:t>
        </x:is>
      </x:c>
      <x:c r="Q5" s="47" t="inlineStr">
        <x:is>
          <x:t xml:space="preserve">IMSS / Museo Galileo — Camera Obscura</x:t>
        </x:is>
      </x:c>
      <x:c r="R5" s="47" t="inlineStr">
        <x:is>
          <x:t xml:space="preserve">https://redi.imss.fi.it/inventions/index.php/Camera_Obscura</x:t>
        </x:is>
      </x:c>
      <x:c r="S5" s="48" t="n">
        <x:v>4</x:v>
      </x:c>
      <x:c r="T5" s="47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47" t="inlineStr">
        <x:is>
          <x:t xml:space="preserve">Иконка художника, который обводит проекцию.</x:t>
        </x:is>
      </x:c>
      <x:c r="V5" s="47" t="inlineStr">
        <x:is>
          <x:t xml:space="preserve">#оптика #искусство #DellaPorta</x:t>
        </x:is>
      </x:c>
      <x:c r="W5" s="47" t="n"/>
      <x:c r="X5" s="37" t="inlineStr">
        <x:is>
          <x:t xml:space="preserve">40.8518, 14.2681</x:t>
        </x:is>
      </x:c>
      <x:c r="Z5" s="37" t="inlineStr">
        <x:is>
          <x:t xml:space="preserve">Применение / жанр</x:t>
        </x:is>
      </x:c>
    </x:row>
    <x:row r="6" s="38" customFormat="1" ht="30" customHeight="1">
      <x:c r="A6" s="47" t="inlineStr">
        <x:is>
          <x:t xml:space="preserve">PL-HIST-0005</x:t>
        </x:is>
      </x:c>
      <x:c r="B6" s="47" t="inlineStr">
        <x:is>
          <x:t xml:space="preserve">1604</x:t>
        </x:is>
      </x:c>
      <x:c r="C6" s="47" t="inlineStr">
        <x:is>
          <x:t xml:space="preserve">год</x:t>
        </x:is>
      </x:c>
      <x:c r="D6" s="47" t="inlineStr">
        <x:is>
          <x:t xml:space="preserve">Германия</x:t>
        </x:is>
      </x:c>
      <x:c r="E6" s="47" t="inlineStr">
        <x:is>
          <x:t xml:space="preserve">Прага / Линц (контекст Kepler)</x:t>
        </x:is>
      </x:c>
      <x:c r="F6" s="47" t="inlineStr">
        <x:is>
          <x:t xml:space="preserve">Иоганн Кеплер</x:t>
        </x:is>
      </x:c>
      <x:c r="G6" s="47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47" t="inlineStr">
        <x:is>
          <x:t xml:space="preserve">Оптика / камера-обскура</x:t>
        </x:is>
      </x:c>
      <x:c r="I6" s="47" t="inlineStr">
        <x:is>
          <x:t xml:space="preserve">Camera obscura</x:t>
        </x:is>
      </x:c>
      <x:c r="J6" s="47" t="inlineStr">
        <x:is>
          <x:t xml:space="preserve">Понятие получает устойчивое научное имя и входит в язык оптики.</x:t>
        </x:is>
      </x:c>
      <x:c r="K6" s="47" t="inlineStr">
        <x:is>
          <x:t xml:space="preserve">Renaissance descriptions of camera obscura</x:t>
        </x:is>
      </x:c>
      <x:c r="L6" s="47" t="inlineStr">
        <x:is>
          <x:t xml:space="preserve">Kepler's Dioptrice and portable camera obscura</x:t>
        </x:is>
      </x:c>
      <x:c r="M6" s="47" t="inlineStr">
        <x:is>
          <x:t xml:space="preserve">Оптическая предпосылка</x:t>
        </x:is>
      </x:c>
      <x:c r="N6" s="48" t="n">
        <x:v>3</x:v>
      </x:c>
      <x:c r="O6" s="47" t="inlineStr">
        <x:is>
          <x:t xml:space="preserve">PL-001</x:t>
        </x:is>
      </x:c>
      <x:c r="P6" s="47" t="inlineStr">
        <x:is>
          <x:t xml:space="preserve">SRC-003</x:t>
        </x:is>
      </x:c>
      <x:c r="Q6" s="47" t="inlineStr">
        <x:is>
          <x:t xml:space="preserve">Max Planck Institute — Camera Obscura PDF</x:t>
        </x:is>
      </x:c>
      <x:c r="R6" s="47" t="inlineStr">
        <x:is>
          <x:t xml:space="preserve">https://www.mpiwg-berlin.mpg.de/sites/default/files/Preprints/P307.pdf</x:t>
        </x:is>
      </x:c>
      <x:c r="S6" s="48" t="n">
        <x:v>4</x:v>
      </x:c>
      <x:c r="T6" s="47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47" t="inlineStr">
        <x:is>
          <x:t xml:space="preserve">Плашка-термин: CAMERA OBSCURA.</x:t>
        </x:is>
      </x:c>
      <x:c r="V6" s="47" t="inlineStr">
        <x:is>
          <x:t xml:space="preserve">#оптика #Kepler #термин</x:t>
        </x:is>
      </x:c>
      <x:c r="W6" s="47" t="n"/>
      <x:c r="X6" s="37" t="inlineStr">
        <x:is>
          <x:t xml:space="preserve">50.0755, 14.4378</x:t>
        </x:is>
      </x:c>
      <x:c r="Y6" s="37" t="inlineStr">
        <x:is>
          <x:t xml:space="preserve">Оптика / терминология</x:t>
        </x:is>
      </x:c>
      <x:c r="Z6" s="37" t="inlineStr">
        <x:is>
          <x:t xml:space="preserve">Терминология / язык</x:t>
        </x:is>
      </x:c>
    </x:row>
    <x:row r="7" s="38" customFormat="1" ht="30" customHeight="1">
      <x:c r="A7" s="47" t="inlineStr">
        <x:is>
          <x:t xml:space="preserve">PL-HIST-0006</x:t>
        </x:is>
      </x:c>
      <x:c r="B7" s="47" t="inlineStr">
        <x:is>
          <x:t xml:space="preserve">1611</x:t>
        </x:is>
      </x:c>
      <x:c r="C7" s="47" t="inlineStr">
        <x:is>
          <x:t xml:space="preserve">год</x:t>
        </x:is>
      </x:c>
      <x:c r="D7" s="47" t="inlineStr">
        <x:is>
          <x:t xml:space="preserve">Германия</x:t>
        </x:is>
      </x:c>
      <x:c r="E7" s="47" t="inlineStr">
        <x:is>
          <x:t xml:space="preserve">Линц / Прага</x:t>
        </x:is>
      </x:c>
      <x:c r="F7" s="47" t="inlineStr">
        <x:is>
          <x:t xml:space="preserve">Иоганн Кеплер</x:t>
        </x:is>
      </x:c>
      <x:c r="G7" s="47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47" t="inlineStr">
        <x:is>
          <x:t xml:space="preserve">Оптика / камера-обскура</x:t>
        </x:is>
      </x:c>
      <x:c r="I7" s="47" t="inlineStr">
        <x:is>
          <x:t xml:space="preserve">Линзовая камера-обскура</x:t>
        </x:is>
      </x:c>
      <x:c r="J7" s="47" t="inlineStr">
        <x:is>
          <x:t xml:space="preserve">Будущая камера всё больше зависит от оптики: линзы дают контроль над изображением.</x:t>
        </x:is>
      </x:c>
      <x:c r="K7" s="47" t="inlineStr">
        <x:is>
          <x:t xml:space="preserve">Термин camera obscura</x:t>
        </x:is>
      </x:c>
      <x:c r="L7" s="47" t="inlineStr">
        <x:is>
          <x:t xml:space="preserve">Портативные камеры-обскуры и объективы</x:t>
        </x:is>
      </x:c>
      <x:c r="M7" s="47" t="inlineStr">
        <x:is>
          <x:t xml:space="preserve">Оптическая предпосылка</x:t>
        </x:is>
      </x:c>
      <x:c r="N7" s="48" t="n">
        <x:v>4</x:v>
      </x:c>
      <x:c r="O7" s="47" t="inlineStr">
        <x:is>
          <x:t xml:space="preserve">PL-001</x:t>
        </x:is>
      </x:c>
      <x:c r="P7" s="47" t="inlineStr">
        <x:is>
          <x:t xml:space="preserve">SRC-003</x:t>
        </x:is>
      </x:c>
      <x:c r="Q7" s="47" t="inlineStr">
        <x:is>
          <x:t xml:space="preserve">Max Planck Institute — Camera Obscura PDF</x:t>
        </x:is>
      </x:c>
      <x:c r="R7" s="47" t="inlineStr">
        <x:is>
          <x:t xml:space="preserve">https://www.mpiwg-berlin.mpg.de/sites/default/files/Preprints/P307.pdf</x:t>
        </x:is>
      </x:c>
      <x:c r="S7" s="48" t="n">
        <x:v>3</x:v>
      </x:c>
      <x:c r="T7" s="47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47" t="inlineStr">
        <x:is>
          <x:t xml:space="preserve">Схема: отверстие → линза → более яркая проекция.</x:t>
        </x:is>
      </x:c>
      <x:c r="V7" s="47" t="inlineStr">
        <x:is>
          <x:t xml:space="preserve">#оптика #линзы #Kepler</x:t>
        </x:is>
      </x:c>
      <x:c r="W7" s="47" t="inlineStr">
        <x:is>
          <x:t xml:space="preserve">Подтвердить конкретные формулировки по первичному тексту Dioptrice.</x:t>
        </x:is>
      </x:c>
      <x:c r="X7" s="37" t="inlineStr">
        <x:is>
          <x:t xml:space="preserve">48.3069, 14.2858</x:t>
        </x:is>
      </x:c>
      <x:c r="Y7" s="37" t="inlineStr">
        <x:is>
          <x:t xml:space="preserve">Оптика / камера</x:t>
        </x:is>
      </x:c>
      <x:c r="Z7" s="37" t="inlineStr">
        <x:is>
          <x:t xml:space="preserve">Фундаментальная предпосылка</x:t>
        </x:is>
      </x:c>
    </x:row>
    <x:row r="8" s="38" customFormat="1" ht="30" customHeight="1">
      <x:c r="A8" s="47" t="inlineStr">
        <x:is>
          <x:t xml:space="preserve">PL-HIST-0007</x:t>
        </x:is>
      </x:c>
      <x:c r="B8" s="47" t="inlineStr">
        <x:is>
          <x:t xml:space="preserve">ок. 1620</x:t>
        </x:is>
      </x:c>
      <x:c r="C8" s="47" t="inlineStr">
        <x:is>
          <x:t xml:space="preserve">примерно</x:t>
        </x:is>
      </x:c>
      <x:c r="D8" s="47" t="inlineStr">
        <x:is>
          <x:t xml:space="preserve">Австрия / Германия</x:t>
        </x:is>
      </x:c>
      <x:c r="E8" s="47" t="inlineStr">
        <x:is>
          <x:t xml:space="preserve">Верхняя Австрия</x:t>
        </x:is>
      </x:c>
      <x:c r="F8" s="47" t="inlineStr">
        <x:is>
          <x:t xml:space="preserve">Иоганн Кеплер</x:t>
        </x:is>
      </x:c>
      <x:c r="G8" s="47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47" t="inlineStr">
        <x:is>
          <x:t xml:space="preserve">Оптические инструменты</x:t>
        </x:is>
      </x:c>
      <x:c r="I8" s="47" t="inlineStr">
        <x:is>
          <x:t xml:space="preserve">Портативная camera obscura</x:t>
        </x:is>
      </x:c>
      <x:c r="J8" s="47" t="inlineStr">
        <x:is>
          <x:t xml:space="preserve">Камера-обскура становится мобильной: это важный шаг к переносной камере.</x:t>
        </x:is>
      </x:c>
      <x:c r="K8" s="47" t="inlineStr">
        <x:is>
          <x:t xml:space="preserve">Линзовая камера-обскура</x:t>
        </x:is>
      </x:c>
      <x:c r="L8" s="47" t="inlineStr">
        <x:is>
          <x:t xml:space="preserve">Zahn and portable camera designs</x:t>
        </x:is>
      </x:c>
      <x:c r="M8" s="47" t="inlineStr">
        <x:is>
          <x:t xml:space="preserve">Оптическая предпосылка</x:t>
        </x:is>
      </x:c>
      <x:c r="N8" s="48" t="n">
        <x:v>3</x:v>
      </x:c>
      <x:c r="O8" s="47" t="inlineStr">
        <x:is>
          <x:t xml:space="preserve">PL-001</x:t>
        </x:is>
      </x:c>
      <x:c r="P8" s="47" t="inlineStr">
        <x:is>
          <x:t xml:space="preserve">SRC-003</x:t>
        </x:is>
      </x:c>
      <x:c r="Q8" s="47" t="inlineStr">
        <x:is>
          <x:t xml:space="preserve">Max Planck Institute — Camera Obscura PDF</x:t>
        </x:is>
      </x:c>
      <x:c r="R8" s="47" t="inlineStr">
        <x:is>
          <x:t xml:space="preserve">https://www.mpiwg-berlin.mpg.de/sites/default/files/Preprints/P307.pdf</x:t>
        </x:is>
      </x:c>
      <x:c r="S8" s="48" t="n">
        <x:v>3</x:v>
      </x:c>
      <x:c r="T8" s="47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47" t="inlineStr">
        <x:is>
          <x:t xml:space="preserve">Карта: линия от комнаты к переносной палатке.</x:t>
        </x:is>
      </x:c>
      <x:c r="V8" s="47" t="inlineStr">
        <x:is>
          <x:t xml:space="preserve">#камера-обскура #портативность #Kepler</x:t>
        </x:is>
      </x:c>
      <x:c r="W8" s="47" t="inlineStr">
        <x:is>
          <x:t xml:space="preserve">Проверить год и источники письма Henry Wotton.</x:t>
        </x:is>
      </x:c>
      <x:c r="X8" s="37" t="inlineStr">
        <x:is>
          <x:t xml:space="preserve">48.3069, 14.2858</x:t>
        </x:is>
      </x:c>
      <x:c r="Z8" s="37" t="inlineStr">
        <x:is>
          <x:t xml:space="preserve">Инструмент / устройство</x:t>
        </x:is>
      </x:c>
    </x:row>
    <x:row r="9" s="38" customFormat="1" ht="45" customHeight="1">
      <x:c r="A9" s="47" t="inlineStr">
        <x:is>
          <x:t xml:space="preserve">PL-HIST-0008</x:t>
        </x:is>
      </x:c>
      <x:c r="B9" s="47" t="inlineStr">
        <x:is>
          <x:t xml:space="preserve">1685</x:t>
        </x:is>
      </x:c>
      <x:c r="C9" s="47" t="inlineStr">
        <x:is>
          <x:t xml:space="preserve">год</x:t>
        </x:is>
      </x:c>
      <x:c r="D9" s="47" t="inlineStr">
        <x:is>
          <x:t xml:space="preserve">Германия</x:t>
        </x:is>
      </x:c>
      <x:c r="E9" s="47" t="inlineStr">
        <x:is>
          <x:t xml:space="preserve">Вюрцбург</x:t>
        </x:is>
      </x:c>
      <x:c r="F9" s="47" t="inlineStr">
        <x:is>
          <x:t xml:space="preserve">Иоганн Цан</x:t>
        </x:is>
      </x:c>
      <x:c r="G9" s="47" t="inlineStr">
        <x:is>
          <x:t xml:space="preserve">Публикует схемы переносных камер-обскур и оптических устройств в «Oculus Artificialis».</x:t>
        </x:is>
      </x:c>
      <x:c r="H9" s="47" t="inlineStr">
        <x:is>
          <x:t xml:space="preserve">Оптические инструменты</x:t>
        </x:is>
      </x:c>
      <x:c r="I9" s="47" t="inlineStr">
        <x:is>
          <x:t xml:space="preserve">Портативная / зеркальная camera obscura</x:t>
        </x:is>
      </x:c>
      <x:c r="J9" s="47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47" t="inlineStr">
        <x:is>
          <x:t xml:space="preserve">Портативные камеры-обскуры XVII века</x:t>
        </x:is>
      </x:c>
      <x:c r="L9" s="47" t="inlineStr">
        <x:is>
          <x:t xml:space="preserve">Фотохимия XVIII века</x:t>
        </x:is>
      </x:c>
      <x:c r="M9" s="47" t="inlineStr">
        <x:is>
          <x:t xml:space="preserve">Оптическая предпосылка</x:t>
        </x:is>
      </x:c>
      <x:c r="N9" s="48" t="n">
        <x:v>4</x:v>
      </x:c>
      <x:c r="O9" s="47" t="inlineStr">
        <x:is>
          <x:t xml:space="preserve">PL-001</x:t>
        </x:is>
      </x:c>
      <x:c r="P9" s="47" t="inlineStr">
        <x:is>
          <x:t xml:space="preserve">SRC-004</x:t>
        </x:is>
      </x:c>
      <x:c r="Q9" s="47" t="inlineStr">
        <x:is>
          <x:t xml:space="preserve">Public Domain Review — Johann Zahn's Oculus Artificialis</x:t>
        </x:is>
      </x:c>
      <x:c r="R9" s="47" t="inlineStr">
        <x:is>
          <x:t xml:space="preserve">https://publicdomainreview.org/collection/images-from-johann-zahn-s-oculus-artificialis-1685</x:t>
        </x:is>
      </x:c>
      <x:c r="S9" s="48" t="n">
        <x:v>4</x:v>
      </x:c>
      <x:c r="T9" s="47" t="inlineStr">
        <x:is>
          <x:t xml:space="preserve">Можно показать как «корпус камеры появился раньше фотографии».</x:t>
        </x:is>
      </x:c>
      <x:c r="U9" s="47" t="inlineStr">
        <x:is>
          <x:t xml:space="preserve">Иконка деревянной камеры с зеркалом.</x:t>
        </x:is>
      </x:c>
      <x:c r="V9" s="47" t="inlineStr">
        <x:is>
          <x:t xml:space="preserve">#камера #Zahn #оптика</x:t>
        </x:is>
      </x:c>
      <x:c r="W9" s="47" t="n"/>
      <x:c r="X9" s="37" t="inlineStr">
        <x:is>
          <x:t xml:space="preserve">49.7913, 9.9534</x:t>
        </x:is>
      </x:c>
      <x:c r="Z9" s="37" t="inlineStr">
        <x:is>
          <x:t xml:space="preserve">Инструмент / устройство</x:t>
        </x:is>
      </x:c>
    </x:row>
    <x:row r="10" s="38" customFormat="1" ht="30" customHeight="1">
      <x:c r="A10" s="47" t="inlineStr">
        <x:is>
          <x:t xml:space="preserve">PL-HIST-0009</x:t>
        </x:is>
      </x:c>
      <x:c r="B10" s="47" t="inlineStr">
        <x:is>
          <x:t xml:space="preserve">1727</x:t>
        </x:is>
      </x:c>
      <x:c r="C10" s="47" t="inlineStr">
        <x:is>
          <x:t xml:space="preserve">год</x:t>
        </x:is>
      </x:c>
      <x:c r="D10" s="47" t="inlineStr">
        <x:is>
          <x:t xml:space="preserve">Германия</x:t>
        </x:is>
      </x:c>
      <x:c r="E10" s="47" t="inlineStr">
        <x:is>
          <x:t xml:space="preserve">Альтдорф / Галле</x:t>
        </x:is>
      </x:c>
      <x:c r="F10" s="47" t="inlineStr">
        <x:is>
          <x:t xml:space="preserve">Иоганн Генрих Шульце</x:t>
        </x:is>
      </x:c>
      <x:c r="G10" s="47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47" t="inlineStr">
        <x:is>
          <x:t xml:space="preserve">Фотохимия</x:t>
        </x:is>
      </x:c>
      <x:c r="I10" s="47" t="inlineStr">
        <x:is>
          <x:t xml:space="preserve">Серебряные соли</x:t>
        </x:is>
      </x:c>
      <x:c r="J10" s="47" t="inlineStr">
        <x:is>
          <x:t xml:space="preserve">Появляется химическая половина фотографии: материал может реагировать на свет.</x:t>
        </x:is>
      </x:c>
      <x:c r="K10" s="47" t="inlineStr">
        <x:is>
          <x:t xml:space="preserve">Алхимические наблюдения потемнения серебра</x:t>
        </x:is>
      </x:c>
      <x:c r="L10" s="47" t="inlineStr">
        <x:is>
          <x:t xml:space="preserve">Scheele, Wedgwood, Niépce</x:t>
        </x:is>
      </x:c>
      <x:c r="M10" s="47" t="inlineStr">
        <x:is>
          <x:t xml:space="preserve">Химическая предпосылка</x:t>
        </x:is>
      </x:c>
      <x:c r="N10" s="48" t="n">
        <x:v>5</x:v>
      </x:c>
      <x:c r="O10" s="47" t="inlineStr">
        <x:is>
          <x:t xml:space="preserve">PL-002</x:t>
        </x:is>
      </x:c>
      <x:c r="P10" s="47" t="inlineStr">
        <x:is>
          <x:t xml:space="preserve">SRC-005</x:t>
        </x:is>
      </x:c>
      <x:c r="Q10" s="47" t="inlineStr">
        <x:is>
          <x:t xml:space="preserve">Swiss Camera Museum — Johann Heinrich Schulze</x:t>
        </x:is>
      </x:c>
      <x:c r="R10" s="47" t="inlineStr">
        <x:is>
          <x:t xml:space="preserve">https://www.cameramuseum.ch/en/discover/permanent-exhibition/the-origins-of-photography/the-precursors-johann-heinrich-schulze/</x:t>
        </x:is>
      </x:c>
      <x:c r="S10" s="48" t="n">
        <x:v>5</x:v>
      </x:c>
      <x:c r="T10" s="47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47" t="inlineStr">
        <x:is>
          <x:t xml:space="preserve">Серебряная колба/бутылка, на которой свет оставляет след.</x:t>
        </x:is>
      </x:c>
      <x:c r="V10" s="47" t="inlineStr">
        <x:is>
          <x:t xml:space="preserve">#фотохимия #серебро #Schulze #PL002</x:t>
        </x:is>
      </x:c>
      <x:c r="W10" s="47" t="n"/>
      <x:c r="X10" s="37" t="inlineStr">
        <x:is>
          <x:t xml:space="preserve">49.3833, 11.3833</x:t>
        </x:is>
      </x:c>
      <x:c r="Z10" s="37" t="inlineStr">
        <x:is>
          <x:t xml:space="preserve">Фундаментальная предпосылка</x:t>
        </x:is>
      </x:c>
    </x:row>
    <x:row r="11" s="38" customFormat="1" ht="45" customHeight="1">
      <x:c r="A11" s="47" t="inlineStr">
        <x:is>
          <x:t xml:space="preserve">PL-HIST-0010</x:t>
        </x:is>
      </x:c>
      <x:c r="B11" s="47" t="inlineStr">
        <x:is>
          <x:t xml:space="preserve">1777</x:t>
        </x:is>
      </x:c>
      <x:c r="C11" s="47" t="inlineStr">
        <x:is>
          <x:t xml:space="preserve">год</x:t>
        </x:is>
      </x:c>
      <x:c r="D11" s="47" t="inlineStr">
        <x:is>
          <x:t xml:space="preserve">Швеция</x:t>
        </x:is>
      </x:c>
      <x:c r="E11" s="47" t="inlineStr">
        <x:is>
          <x:t xml:space="preserve">Кёпинг / Стокгольм (контекст)</x:t>
        </x:is>
      </x:c>
      <x:c r="F11" s="47" t="inlineStr">
        <x:is>
          <x:t xml:space="preserve">Карл Вильгельм Шееле</x:t>
        </x:is>
      </x:c>
      <x:c r="G11" s="47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47" t="inlineStr">
        <x:is>
          <x:t xml:space="preserve">Фотохимия</x:t>
        </x:is>
      </x:c>
      <x:c r="I11" s="47" t="inlineStr">
        <x:is>
          <x:t xml:space="preserve">Silver chloride / ammonia</x:t>
        </x:is>
      </x:c>
      <x:c r="J11" s="47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47" t="inlineStr">
        <x:is>
          <x:t xml:space="preserve">Schulze and silver salts</x:t>
        </x:is>
      </x:c>
      <x:c r="L11" s="47" t="inlineStr">
        <x:is>
          <x:t xml:space="preserve">Wedgwood and Davy, then Niépce</x:t>
        </x:is>
      </x:c>
      <x:c r="M11" s="47" t="inlineStr">
        <x:is>
          <x:t xml:space="preserve">Химическая предпосылка</x:t>
        </x:is>
      </x:c>
      <x:c r="N11" s="48" t="n">
        <x:v>4</x:v>
      </x:c>
      <x:c r="O11" s="47" t="inlineStr">
        <x:is>
          <x:t xml:space="preserve">PL-002</x:t>
        </x:is>
      </x:c>
      <x:c r="P11" s="47" t="inlineStr">
        <x:is>
          <x:t xml:space="preserve">SRC-006</x:t>
        </x:is>
      </x:c>
      <x:c r="Q11" s="47" t="inlineStr">
        <x:is>
          <x:t xml:space="preserve">Science History Institute — Silver and Sunlight</x:t>
        </x:is>
      </x:c>
      <x:c r="R11" s="47" t="inlineStr">
        <x:is>
          <x:t xml:space="preserve">https://www.sciencehistory.org/stories/magazine/silver-and-sunlight/</x:t>
        </x:is>
      </x:c>
      <x:c r="S11" s="48" t="n">
        <x:v>4</x:v>
      </x:c>
      <x:c r="T11" s="47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47" t="inlineStr">
        <x:is>
          <x:t xml:space="preserve">Иконка: след света + знак «зафиксировать».</x:t>
        </x:is>
      </x:c>
      <x:c r="V11" s="47" t="inlineStr">
        <x:is>
          <x:t xml:space="preserve">#фотохимия #фиксаж #серебро</x:t>
        </x:is>
      </x:c>
      <x:c r="W11" s="47" t="inlineStr">
        <x:is>
          <x:t xml:space="preserve">Уточнить связь Scheele с практическим фиксированием: не преувеличивать.</x:t>
        </x:is>
      </x:c>
      <x:c r="X11" s="37" t="inlineStr">
        <x:is>
          <x:t xml:space="preserve">59.5117, 15.9992</x:t>
        </x:is>
      </x:c>
      <x:c r="Y11" s="37" t="inlineStr">
        <x:is>
          <x:t xml:space="preserve">Фотохимия / фиксация</x:t>
        </x:is>
      </x:c>
      <x:c r="Z11" s="37" t="inlineStr">
        <x:is>
          <x:t xml:space="preserve">Фундаментальная предпосылка</x:t>
        </x:is>
      </x:c>
    </x:row>
    <x:row r="12" s="38" customFormat="1" ht="30" customHeight="1">
      <x:c r="A12" s="47" t="inlineStr">
        <x:is>
          <x:t xml:space="preserve">PL-HIST-0011</x:t>
        </x:is>
      </x:c>
      <x:c r="B12" s="47" t="inlineStr">
        <x:is>
          <x:t xml:space="preserve">ок. 1800</x:t>
        </x:is>
      </x:c>
      <x:c r="C12" s="47" t="inlineStr">
        <x:is>
          <x:t xml:space="preserve">примерно</x:t>
        </x:is>
      </x:c>
      <x:c r="D12" s="47" t="inlineStr">
        <x:is>
          <x:t xml:space="preserve">Великобритания</x:t>
        </x:is>
      </x:c>
      <x:c r="E12" s="47" t="inlineStr">
        <x:is>
          <x:t xml:space="preserve">Этрурия / Стаффордшир</x:t>
        </x:is>
      </x:c>
      <x:c r="F12" s="47" t="inlineStr">
        <x:is>
          <x:t xml:space="preserve">Томас Веджвуд</x:t>
        </x:is>
      </x:c>
      <x:c r="G12" s="47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47" t="inlineStr">
        <x:is>
          <x:t xml:space="preserve">Фотохимия</x:t>
        </x:is>
      </x:c>
      <x:c r="I12" s="47" t="inlineStr">
        <x:is>
          <x:t xml:space="preserve">Серебряный нитрат на бумаге/коже</x:t>
        </x:is>
      </x:c>
      <x:c r="J12" s="47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47" t="inlineStr">
        <x:is>
          <x:t xml:space="preserve">Schulze and Scheele</x:t>
        </x:is>
      </x:c>
      <x:c r="L12" s="47" t="inlineStr">
        <x:is>
          <x:t xml:space="preserve">Davy publication, Niépce's experiments</x:t>
        </x:is>
      </x:c>
      <x:c r="M12" s="47" t="inlineStr">
        <x:is>
          <x:t xml:space="preserve">Тупиковая / не получила развития</x:t>
        </x:is>
      </x:c>
      <x:c r="N12" s="48" t="n">
        <x:v>4</x:v>
      </x:c>
      <x:c r="O12" s="47" t="inlineStr">
        <x:is>
          <x:t xml:space="preserve">PL-002</x:t>
        </x:is>
      </x:c>
      <x:c r="P12" s="47" t="inlineStr">
        <x:is>
          <x:t xml:space="preserve">SRC-007</x:t>
        </x:is>
      </x:c>
      <x:c r="Q12" s="47" t="inlineStr">
        <x:is>
          <x:t xml:space="preserve">Swiss Camera Museum — Thomas Wedgwood</x:t>
        </x:is>
      </x:c>
      <x:c r="R12" s="47" t="inlineStr">
        <x:is>
          <x:t xml:space="preserve">https://www.cameramuseum.ch/en/discover/permanent-exhibition/the-origins-of-photography/the-precursors-thomas-wedgwood/</x:t>
        </x:is>
      </x:c>
      <x:c r="S12" s="48" t="n">
        <x:v>4</x:v>
      </x:c>
      <x:c r="T12" s="47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47" t="inlineStr">
        <x:is>
          <x:t xml:space="preserve">Пунктирная линия: «почти получилось, но не закрепилось».</x:t>
        </x:is>
      </x:c>
      <x:c r="V12" s="47" t="inlineStr">
        <x:is>
          <x:t xml:space="preserve">#Wedgwood #фотохимия #неудача</x:t>
        </x:is>
      </x:c>
      <x:c r="W12" s="47" t="n"/>
      <x:c r="X12" s="37" t="inlineStr">
        <x:is>
          <x:t xml:space="preserve">53.0027, -2.1794</x:t>
        </x:is>
      </x:c>
      <x:c r="Y12" s="37" t="inlineStr">
        <x:is>
          <x:t xml:space="preserve">Фотохимия / первая фиксация</x:t>
        </x:is>
      </x:c>
      <x:c r="Z12" s="37" t="inlineStr">
        <x:is>
          <x:t xml:space="preserve">Технология / процесс</x:t>
        </x:is>
      </x:c>
    </x:row>
    <x:row r="13" s="38" customFormat="1" ht="30" customHeight="1">
      <x:c r="A13" s="47" t="inlineStr">
        <x:is>
          <x:t xml:space="preserve">PL-HIST-0012</x:t>
        </x:is>
      </x:c>
      <x:c r="B13" s="47" t="inlineStr">
        <x:is>
          <x:t xml:space="preserve">1802</x:t>
        </x:is>
      </x:c>
      <x:c r="C13" s="47" t="inlineStr">
        <x:is>
          <x:t xml:space="preserve">год</x:t>
        </x:is>
      </x:c>
      <x:c r="D13" s="47" t="inlineStr">
        <x:is>
          <x:t xml:space="preserve">Великобритания</x:t>
        </x:is>
      </x:c>
      <x:c r="E13" s="47" t="inlineStr">
        <x:is>
          <x:t xml:space="preserve">Лондон / Бристоль</x:t>
        </x:is>
      </x:c>
      <x:c r="F13" s="47" t="inlineStr">
        <x:is>
          <x:t xml:space="preserve">Хамфри Дэви и Томас Веджвуд</x:t>
        </x:is>
      </x:c>
      <x:c r="G13" s="47" t="inlineStr">
        <x:is>
          <x:t xml:space="preserve">Дэви публикует отчёт о методе копирования изображений светом на нитрате серебра.</x:t>
        </x:is>
      </x:c>
      <x:c r="H13" s="47" t="inlineStr">
        <x:is>
          <x:t xml:space="preserve">Фотохимия</x:t>
        </x:is>
      </x:c>
      <x:c r="I13" s="47" t="inlineStr">
        <x:is>
          <x:t xml:space="preserve">Photogenic copying on silver nitrate</x:t>
        </x:is>
      </x:c>
      <x:c r="J13" s="47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47" t="inlineStr">
        <x:is>
          <x:t xml:space="preserve">Wedgwood experiments</x:t>
        </x:is>
      </x:c>
      <x:c r="L13" s="47" t="inlineStr">
        <x:is>
          <x:t xml:space="preserve">Niépce and Talbot later address permanence</x:t>
        </x:is>
      </x:c>
      <x:c r="M13" s="47" t="inlineStr">
        <x:is>
          <x:t xml:space="preserve">Тупиковая / не получила развития</x:t>
        </x:is>
      </x:c>
      <x:c r="N13" s="48" t="n">
        <x:v>4</x:v>
      </x:c>
      <x:c r="O13" s="47" t="inlineStr">
        <x:is>
          <x:t xml:space="preserve">PL-002</x:t>
        </x:is>
      </x:c>
      <x:c r="P13" s="47" t="inlineStr">
        <x:is>
          <x:t xml:space="preserve">SRC-008</x:t>
        </x:is>
      </x:c>
      <x:c r="Q13" s="47" t="inlineStr">
        <x:is>
          <x:t xml:space="preserve">Bodleian — Talbot Catalogue: Photogenic Drawing</x:t>
        </x:is>
      </x:c>
      <x:c r="R13" s="47" t="inlineStr">
        <x:is>
          <x:t xml:space="preserve">https://talbot.bodleian.ox.ac.uk/2017/02/17/an-account-of-the-processes-employed-in-photogenic-drawing/</x:t>
        </x:is>
      </x:c>
      <x:c r="S13" s="48" t="n">
        <x:v>4</x:v>
      </x:c>
      <x:c r="T13" s="47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47" t="inlineStr">
        <x:is>
          <x:t xml:space="preserve">Иконка публикации/лист бумаги, который постепенно темнеет.</x:t>
        </x:is>
      </x:c>
      <x:c r="V13" s="47" t="inlineStr">
        <x:is>
          <x:t xml:space="preserve">#Davy #Wedgwood #публикация</x:t>
        </x:is>
      </x:c>
      <x:c r="W13" s="47" t="inlineStr">
        <x:is>
          <x:t xml:space="preserve">Добавить первичный PDF/текст Journal of the Royal Institution при углублении.</x:t>
        </x:is>
      </x:c>
      <x:c r="X13" s="37" t="inlineStr">
        <x:is>
          <x:t xml:space="preserve">51.5074, -0.1278</x:t>
        </x:is>
      </x:c>
      <x:c r="Y13" s="37" t="inlineStr">
        <x:is>
          <x:t xml:space="preserve">Фотохимия / публикация</x:t>
        </x:is>
      </x:c>
      <x:c r="Z13" s="37" t="inlineStr">
        <x:is>
          <x:t xml:space="preserve">Публикация / объявление</x:t>
        </x:is>
      </x:c>
    </x:row>
    <x:row r="14" s="38" customFormat="1" ht="30" customHeight="1">
      <x:c r="A14" s="47" t="inlineStr">
        <x:is>
          <x:t xml:space="preserve">PL-HIST-0013</x:t>
        </x:is>
      </x:c>
      <x:c r="B14" s="47" t="inlineStr">
        <x:is>
          <x:t xml:space="preserve">1806–1807</x:t>
        </x:is>
      </x:c>
      <x:c r="C14" s="47" t="inlineStr">
        <x:is>
          <x:t xml:space="preserve">диапазон</x:t>
        </x:is>
      </x:c>
      <x:c r="D14" s="47" t="inlineStr">
        <x:is>
          <x:t xml:space="preserve">Великобритания</x:t>
        </x:is>
      </x:c>
      <x:c r="E14" s="47" t="inlineStr">
        <x:is>
          <x:t xml:space="preserve">Лондон</x:t>
        </x:is>
      </x:c>
      <x:c r="F14" s="47" t="inlineStr">
        <x:is>
          <x:t xml:space="preserve">Уильям Хайд Волластон</x:t>
        </x:is>
      </x:c>
      <x:c r="G14" s="47" t="inlineStr">
        <x:is>
          <x:t xml:space="preserve">Патентует и называет camera lucida — оптический прибор для точного рисования.</x:t>
        </x:is>
      </x:c>
      <x:c r="H14" s="47" t="inlineStr">
        <x:is>
          <x:t xml:space="preserve">Оптические инструменты</x:t>
        </x:is>
      </x:c>
      <x:c r="I14" s="47" t="inlineStr">
        <x:is>
          <x:t xml:space="preserve">Camera lucida</x:t>
        </x:is>
      </x:c>
      <x:c r="J14" s="47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47" t="inlineStr">
        <x:is>
          <x:t xml:space="preserve">Camera obscura drawing tools</x:t>
        </x:is>
      </x:c>
      <x:c r="L14" s="47" t="inlineStr">
        <x:is>
          <x:t xml:space="preserve">Photography will replace drawing aids for some purposes</x:t>
        </x:is>
      </x:c>
      <x:c r="M14" s="47" t="inlineStr">
        <x:is>
          <x:t xml:space="preserve">Оптическая предпосылка</x:t>
        </x:is>
      </x:c>
      <x:c r="N14" s="48" t="n">
        <x:v>3</x:v>
      </x:c>
      <x:c r="O14" s="47" t="inlineStr">
        <x:is>
          <x:t xml:space="preserve">межурочный узел</x:t>
        </x:is>
      </x:c>
      <x:c r="P14" s="47" t="inlineStr">
        <x:is>
          <x:t xml:space="preserve">SRC-009</x:t>
        </x:is>
      </x:c>
      <x:c r="Q14" s="47" t="inlineStr">
        <x:is>
          <x:t xml:space="preserve">Smithsonian NMAH — Camera Lucida</x:t>
        </x:is>
      </x:c>
      <x:c r="R14" s="47" t="inlineStr">
        <x:is>
          <x:t xml:space="preserve">https://americanhistory.si.edu/collections/object/nmah_1184286</x:t>
        </x:is>
      </x:c>
      <x:c r="S14" s="48" t="n">
        <x:v>5</x:v>
      </x:c>
      <x:c r="T14" s="47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47" t="inlineStr">
        <x:is>
          <x:t xml:space="preserve">Иконка призмы и руки художника.</x:t>
        </x:is>
      </x:c>
      <x:c r="V14" s="47" t="inlineStr">
        <x:is>
          <x:t xml:space="preserve">#оптика #camera-lucida #рисование</x:t>
        </x:is>
      </x:c>
      <x:c r="W14" s="47" t="n"/>
      <x:c r="X14" s="37" t="inlineStr">
        <x:is>
          <x:t xml:space="preserve">51.5074, -0.1278</x:t>
        </x:is>
      </x:c>
      <x:c r="Z14" s="37" t="inlineStr">
        <x:is>
          <x:t xml:space="preserve">Инструмент / устройство</x:t>
        </x:is>
      </x:c>
    </x:row>
    <x:row r="15" s="38" customFormat="1" ht="30" customHeight="1">
      <x:c r="A15" s="47" t="inlineStr">
        <x:is>
          <x:t xml:space="preserve">PL-HIST-0014</x:t>
        </x:is>
      </x:c>
      <x:c r="B15" s="47" t="inlineStr">
        <x:is>
          <x:t xml:space="preserve">1816</x:t>
        </x:is>
      </x:c>
      <x:c r="C15" s="47" t="inlineStr">
        <x:is>
          <x:t xml:space="preserve">год</x:t>
        </x:is>
      </x:c>
      <x:c r="D15" s="47" t="inlineStr">
        <x:is>
          <x:t xml:space="preserve">Франция</x:t>
        </x:is>
      </x:c>
      <x:c r="E15" s="47" t="inlineStr">
        <x:is>
          <x:t xml:space="preserve">Сен-Лу-де-Варенн / Ле-Гра</x:t>
        </x:is>
      </x:c>
      <x:c r="F15" s="47" t="inlineStr">
        <x:is>
          <x:t xml:space="preserve">Нисефор Ньепс</x:t>
        </x:is>
      </x:c>
      <x:c r="G15" s="47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47" t="inlineStr">
        <x:is>
          <x:t xml:space="preserve">Гелиография</x:t>
        </x:is>
      </x:c>
      <x:c r="I15" s="47" t="inlineStr">
        <x:is>
          <x:t xml:space="preserve">Silver chloride paper negative</x:t>
        </x:is>
      </x:c>
      <x:c r="J15" s="47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47" t="inlineStr">
        <x:is>
          <x:t xml:space="preserve">Wedgwood/Davy experiments</x:t>
        </x:is>
      </x:c>
      <x:c r="L15" s="47" t="inlineStr">
        <x:is>
          <x:t xml:space="preserve">Niépce switches to bitumen heliography</x:t>
        </x:is>
      </x:c>
      <x:c r="M15" s="47" t="inlineStr">
        <x:is>
          <x:t xml:space="preserve">Переходная технология</x:t>
        </x:is>
      </x:c>
      <x:c r="N15" s="48" t="n">
        <x:v>5</x:v>
      </x:c>
      <x:c r="O15" s="47" t="inlineStr">
        <x:is>
          <x:t xml:space="preserve">PL-002</x:t>
        </x:is>
      </x:c>
      <x:c r="P15" s="47" t="inlineStr">
        <x:is>
          <x:t xml:space="preserve">SRC-011</x:t>
        </x:is>
      </x:c>
      <x:c r="Q15" s="47" t="inlineStr">
        <x:is>
          <x:t xml:space="preserve">Maison Nicéphore Niépce — First experiments</x:t>
        </x:is>
      </x:c>
      <x:c r="R15" s="47" t="inlineStr">
        <x:is>
          <x:t xml:space="preserve">https://bicentennial-of-photography.org/niepce-and-the-invention-of-photography-niepce-s-first-experiments/</x:t>
        </x:is>
      </x:c>
      <x:c r="S15" s="48" t="n">
        <x:v>4</x:v>
      </x:c>
      <x:c r="T15" s="47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47" t="inlineStr">
        <x:is>
          <x:t xml:space="preserve">Светлая линия появляется на бумаге и затем исчезает.</x:t>
        </x:is>
      </x:c>
      <x:c r="V15" s="47" t="inlineStr">
        <x:is>
          <x:t xml:space="preserve">#Niépce #1816 #PL002 #негатив</x:t>
        </x:is>
      </x:c>
      <x:c r="W15" s="47" t="n"/>
      <x:c r="X15" s="37" t="inlineStr">
        <x:is>
          <x:t xml:space="preserve">46.7828, 4.8892</x:t>
        </x:is>
      </x:c>
      <x:c r="Y15" s="37" t="inlineStr">
        <x:is>
          <x:t xml:space="preserve">Первая фиксация / проблема постоянства</x:t>
        </x:is>
      </x:c>
      <x:c r="Z15" s="37" t="inlineStr">
        <x:is>
          <x:t xml:space="preserve">Технология / процесс</x:t>
        </x:is>
      </x:c>
    </x:row>
    <x:row r="16" s="38" customFormat="1" ht="45" customHeight="1">
      <x:c r="A16" s="47" t="inlineStr">
        <x:is>
          <x:t xml:space="preserve">PL-HIST-0015</x:t>
        </x:is>
      </x:c>
      <x:c r="B16" s="47" t="inlineStr">
        <x:is>
          <x:t xml:space="preserve">1822–1825</x:t>
        </x:is>
      </x:c>
      <x:c r="C16" s="47" t="inlineStr">
        <x:is>
          <x:t xml:space="preserve">диапазон</x:t>
        </x:is>
      </x:c>
      <x:c r="D16" s="47" t="inlineStr">
        <x:is>
          <x:t xml:space="preserve">Франция</x:t>
        </x:is>
      </x:c>
      <x:c r="E16" s="47" t="inlineStr">
        <x:is>
          <x:t xml:space="preserve">Сен-Лу-де-Варенн / Ле-Гра</x:t>
        </x:is>
      </x:c>
      <x:c r="F16" s="47" t="inlineStr">
        <x:is>
          <x:t xml:space="preserve">Нисефор Ньепс</x:t>
        </x:is>
      </x:c>
      <x:c r="G16" s="47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47" t="inlineStr">
        <x:is>
          <x:t xml:space="preserve">Гелиография</x:t>
        </x:is>
      </x:c>
      <x:c r="I16" s="47" t="inlineStr">
        <x:is>
          <x:t xml:space="preserve">Bitumen of Judea on metal/stone</x:t>
        </x:is>
      </x:c>
      <x:c r="J16" s="47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47" t="inlineStr">
        <x:is>
          <x:t xml:space="preserve">1816 silver-salt negatives</x:t>
        </x:is>
      </x:c>
      <x:c r="L16" s="47" t="inlineStr">
        <x:is>
          <x:t xml:space="preserve">View from the Window at Le Gras</x:t>
        </x:is>
      </x:c>
      <x:c r="M16" s="47" t="inlineStr">
        <x:is>
          <x:t xml:space="preserve">Переходная технология</x:t>
        </x:is>
      </x:c>
      <x:c r="N16" s="48" t="n">
        <x:v>4</x:v>
      </x:c>
      <x:c r="O16" s="47" t="inlineStr">
        <x:is>
          <x:t xml:space="preserve">PL-002</x:t>
        </x:is>
      </x:c>
      <x:c r="P16" s="47" t="inlineStr">
        <x:is>
          <x:t xml:space="preserve">SRC-010</x:t>
        </x:is>
      </x:c>
      <x:c r="Q16" s="47" t="inlineStr">
        <x:is>
          <x:t xml:space="preserve">Harry Ransom Center — The Niépce Heliograph</x:t>
        </x:is>
      </x:c>
      <x:c r="R16" s="47" t="inlineStr">
        <x:is>
          <x:t xml:space="preserve">https://www.hrc.utexas.edu/niepce-heliograph/</x:t>
        </x:is>
      </x:c>
      <x:c r="S16" s="48" t="n">
        <x:v>4</x:v>
      </x:c>
      <x:c r="T16" s="47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47" t="inlineStr">
        <x:is>
          <x:t xml:space="preserve">Узел «гелиография»: солнце превращает покрытие в устойчивый след.</x:t>
        </x:is>
      </x:c>
      <x:c r="V16" s="47" t="inlineStr">
        <x:is>
          <x:t xml:space="preserve">#гелиография #Niépce #битум</x:t>
        </x:is>
      </x:c>
      <x:c r="W16" s="47" t="inlineStr">
        <x:is>
          <x:t xml:space="preserve">Проверить дату 1822 для несохранившейся heliograph copy.</x:t>
        </x:is>
      </x:c>
      <x:c r="X16" s="37" t="inlineStr">
        <x:is>
          <x:t xml:space="preserve">46.7828, 4.8892</x:t>
        </x:is>
      </x:c>
      <x:c r="Z16" s="37" t="inlineStr">
        <x:is>
          <x:t xml:space="preserve">Технология / процесс</x:t>
        </x:is>
      </x:c>
    </x:row>
    <x:row r="17" s="38" customFormat="1" ht="45" customHeight="1">
      <x:c r="A17" s="47" t="inlineStr">
        <x:is>
          <x:t xml:space="preserve">PL-HIST-0016</x:t>
        </x:is>
      </x:c>
      <x:c r="B17" s="47" t="inlineStr">
        <x:is>
          <x:t xml:space="preserve">1826 / 1827</x:t>
        </x:is>
      </x:c>
      <x:c r="C17" s="47" t="inlineStr">
        <x:is>
          <x:t xml:space="preserve">спорно/уточнить</x:t>
        </x:is>
      </x:c>
      <x:c r="D17" s="47" t="inlineStr">
        <x:is>
          <x:t xml:space="preserve">Франция</x:t>
        </x:is>
      </x:c>
      <x:c r="E17" s="47" t="inlineStr">
        <x:is>
          <x:t xml:space="preserve">Ле-Гра, Сен-Лу-де-Варенн</x:t>
        </x:is>
      </x:c>
      <x:c r="F17" s="47" t="inlineStr">
        <x:is>
          <x:t xml:space="preserve">Нисефор Ньепс</x:t>
        </x:is>
      </x:c>
      <x:c r="G17" s="47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47" t="inlineStr">
        <x:is>
          <x:t xml:space="preserve">Гелиография</x:t>
        </x:is>
      </x:c>
      <x:c r="I17" s="47" t="inlineStr">
        <x:is>
          <x:t xml:space="preserve">Heliograph on pewter plate</x:t>
        </x:is>
      </x:c>
      <x:c r="J17" s="47" t="inlineStr">
        <x:is>
          <x:t xml:space="preserve">Изображение впервые не просто возникло, а сохранилось до наших дней.</x:t>
        </x:is>
      </x:c>
      <x:c r="K17" s="47" t="inlineStr">
        <x:is>
          <x:t xml:space="preserve">Heliographic experiments</x:t>
        </x:is>
      </x:c>
      <x:c r="L17" s="47" t="inlineStr">
        <x:is>
          <x:t xml:space="preserve">Partnership with Daguerre</x:t>
        </x:is>
      </x:c>
      <x:c r="M17" s="47" t="inlineStr">
        <x:is>
          <x:t xml:space="preserve">Главная линия</x:t>
        </x:is>
      </x:c>
      <x:c r="N17" s="48" t="n">
        <x:v>5</x:v>
      </x:c>
      <x:c r="O17" s="47" t="inlineStr">
        <x:is>
          <x:t xml:space="preserve">PL-002</x:t>
        </x:is>
      </x:c>
      <x:c r="P17" s="47" t="inlineStr">
        <x:is>
          <x:t xml:space="preserve">SRC-010</x:t>
        </x:is>
      </x:c>
      <x:c r="Q17" s="47" t="inlineStr">
        <x:is>
          <x:t xml:space="preserve">Harry Ransom Center — The Niépce Heliograph</x:t>
        </x:is>
      </x:c>
      <x:c r="R17" s="47" t="inlineStr">
        <x:is>
          <x:t xml:space="preserve">https://www.hrc.utexas.edu/niepce-heliograph/</x:t>
        </x:is>
      </x:c>
      <x:c r="S17" s="48" t="n">
        <x:v>5</x:v>
      </x:c>
      <x:c r="T17" s="47" t="inlineStr">
        <x:is>
          <x:t xml:space="preserve">Дата встречается как 1826 или 1827; в таблице оставляем спорной/уточняемой.</x:t>
        </x:is>
      </x:c>
      <x:c r="U17" s="47" t="inlineStr">
        <x:is>
          <x:t xml:space="preserve">Главный узел PL-002: окно, свет, металлическая пластина.</x:t>
        </x:is>
      </x:c>
      <x:c r="V17" s="47" t="inlineStr">
        <x:is>
          <x:t xml:space="preserve">#Niépce #перваяфотография #гелиография #PL002</x:t>
        </x:is>
      </x:c>
      <x:c r="W17" s="47" t="inlineStr">
        <x:is>
          <x:t xml:space="preserve">Уточнить редакционную дату: Harvard даёт 1826, HRC — 1827.</x:t>
        </x:is>
      </x:c>
      <x:c r="X17" s="37" t="inlineStr">
        <x:is>
          <x:t xml:space="preserve">46.7828, 4.8892</x:t>
        </x:is>
      </x:c>
      <x:c r="Y17" s="37" t="inlineStr">
        <x:is>
          <x:t xml:space="preserve">Гелиография / первая сохранившаяся фотография</x:t>
        </x:is>
      </x:c>
      <x:c r="Z17" s="37" t="inlineStr">
        <x:is>
          <x:t xml:space="preserve">Ключевой исторический узел</x:t>
        </x:is>
      </x:c>
      <x:c r="AA17" s="37" t="inlineStr">
        <x:is>
          <x:t xml:space="preserve">да</x:t>
        </x:is>
      </x:c>
    </x:row>
    <x:row r="18" s="38" customFormat="1" ht="30" customHeight="1">
      <x:c r="A18" s="47" t="inlineStr">
        <x:is>
          <x:t xml:space="preserve">PL-HIST-0017</x:t>
        </x:is>
      </x:c>
      <x:c r="B18" s="47" t="inlineStr">
        <x:is>
          <x:t xml:space="preserve">1829</x:t>
        </x:is>
      </x:c>
      <x:c r="C18" s="47" t="inlineStr">
        <x:is>
          <x:t xml:space="preserve">год</x:t>
        </x:is>
      </x:c>
      <x:c r="D18" s="47" t="inlineStr">
        <x:is>
          <x:t xml:space="preserve">Франция</x:t>
        </x:is>
      </x:c>
      <x:c r="E18" s="47" t="inlineStr">
        <x:is>
          <x:t xml:space="preserve">Париж / Сен-Лу-де-Варенн</x:t>
        </x:is>
      </x:c>
      <x:c r="F18" s="47" t="inlineStr">
        <x:is>
          <x:t xml:space="preserve">Нисефор Ньепс и Луи Дагер</x:t>
        </x:is>
      </x:c>
      <x:c r="G18" s="47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47" t="inlineStr">
        <x:is>
          <x:t xml:space="preserve">Дагеротип</x:t>
        </x:is>
      </x:c>
      <x:c r="I18" s="47" t="inlineStr">
        <x:is>
          <x:t xml:space="preserve">Heliography → daguerreotype lineage</x:t>
        </x:is>
      </x:c>
      <x:c r="J18" s="47" t="inlineStr">
        <x:is>
          <x:t xml:space="preserve">Линия Ньепса соединяется с практическими улучшениями Дагера.</x:t>
        </x:is>
      </x:c>
      <x:c r="K18" s="47" t="inlineStr">
        <x:is>
          <x:t xml:space="preserve">Niépce heliography</x:t>
        </x:is>
      </x:c>
      <x:c r="L18" s="47" t="inlineStr">
        <x:is>
          <x:t xml:space="preserve">Daguerreotype announcement</x:t>
        </x:is>
      </x:c>
      <x:c r="M18" s="47" t="inlineStr">
        <x:is>
          <x:t xml:space="preserve">Главная линия</x:t>
        </x:is>
      </x:c>
      <x:c r="N18" s="48" t="n">
        <x:v>4</x:v>
      </x:c>
      <x:c r="O18" s="47" t="inlineStr">
        <x:is>
          <x:t xml:space="preserve">PL-003</x:t>
        </x:is>
      </x:c>
      <x:c r="P18" s="47" t="inlineStr">
        <x:is>
          <x:t xml:space="preserve">SRC-010</x:t>
        </x:is>
      </x:c>
      <x:c r="Q18" s="47" t="inlineStr">
        <x:is>
          <x:t xml:space="preserve">Harry Ransom Center — The Niépce Heliograph</x:t>
        </x:is>
      </x:c>
      <x:c r="R18" s="47" t="inlineStr">
        <x:is>
          <x:t xml:space="preserve">https://www.hrc.utexas.edu/niepce-heliograph/</x:t>
        </x:is>
      </x:c>
      <x:c r="S18" s="48" t="n">
        <x:v>5</x:v>
      </x:c>
      <x:c r="T18" s="47" t="inlineStr">
        <x:is>
          <x:t xml:space="preserve">Это не просто смена фамилии: здесь начинается связка Ньепс → Дагер.</x:t>
        </x:is>
      </x:c>
      <x:c r="U18" s="47" t="inlineStr">
        <x:is>
          <x:t xml:space="preserve">Линия на карте: Ле-Гра → Париж.</x:t>
        </x:is>
      </x:c>
      <x:c r="V18" s="47" t="inlineStr">
        <x:is>
          <x:t xml:space="preserve">#Niépce #Daguerre #Франция #PL003</x:t>
        </x:is>
      </x:c>
      <x:c r="W18" s="47" t="n"/>
      <x:c r="X18" s="37" t="inlineStr">
        <x:is>
          <x:t xml:space="preserve">48.8566, 2.3522</x:t>
        </x:is>
      </x:c>
      <x:c r="Y18" s="37" t="inlineStr">
        <x:is>
          <x:t xml:space="preserve">Передача идеи / развитие процесса</x:t>
        </x:is>
      </x:c>
      <x:c r="Z18" s="37" t="inlineStr">
        <x:is>
          <x:t xml:space="preserve">Связь / переход</x:t>
        </x:is>
      </x:c>
    </x:row>
    <x:row r="19" s="38" customFormat="1" ht="30" customHeight="1">
      <x:c r="A19" s="47" t="inlineStr">
        <x:is>
          <x:t xml:space="preserve">PL-HIST-0018</x:t>
        </x:is>
      </x:c>
      <x:c r="B19" s="47" t="inlineStr">
        <x:is>
          <x:t xml:space="preserve">1833</x:t>
        </x:is>
      </x:c>
      <x:c r="C19" s="47" t="inlineStr">
        <x:is>
          <x:t xml:space="preserve">год</x:t>
        </x:is>
      </x:c>
      <x:c r="D19" s="47" t="inlineStr">
        <x:is>
          <x:t xml:space="preserve">Франция</x:t>
        </x:is>
      </x:c>
      <x:c r="E19" s="47" t="inlineStr">
        <x:is>
          <x:t xml:space="preserve">Сен-Лу-де-Варенн</x:t>
        </x:is>
      </x:c>
      <x:c r="F19" s="47" t="inlineStr">
        <x:is>
          <x:t xml:space="preserve">Нисефор Ньепс / Луи Дагер</x:t>
        </x:is>
      </x:c>
      <x:c r="G19" s="47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47" t="inlineStr">
        <x:is>
          <x:t xml:space="preserve">Дагеротип</x:t>
        </x:is>
      </x:c>
      <x:c r="I19" s="47" t="inlineStr">
        <x:is>
          <x:t xml:space="preserve">Daguerreotype lineage</x:t>
        </x:is>
      </x:c>
      <x:c r="J19" s="47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47" t="inlineStr">
        <x:is>
          <x:t xml:space="preserve">Partnership 1829</x:t>
        </x:is>
      </x:c>
      <x:c r="L19" s="47" t="inlineStr">
        <x:is>
          <x:t xml:space="preserve">1839 public announcement</x:t>
        </x:is>
      </x:c>
      <x:c r="M19" s="47" t="inlineStr">
        <x:is>
          <x:t xml:space="preserve">Главная линия</x:t>
        </x:is>
      </x:c>
      <x:c r="N19" s="48" t="n">
        <x:v>3</x:v>
      </x:c>
      <x:c r="O19" s="47" t="inlineStr">
        <x:is>
          <x:t xml:space="preserve">PL-003</x:t>
        </x:is>
      </x:c>
      <x:c r="P19" s="47" t="inlineStr">
        <x:is>
          <x:t xml:space="preserve">SRC-010</x:t>
        </x:is>
      </x:c>
      <x:c r="Q19" s="47" t="inlineStr">
        <x:is>
          <x:t xml:space="preserve">Harry Ransom Center — The Niépce Heliograph</x:t>
        </x:is>
      </x:c>
      <x:c r="R19" s="47" t="inlineStr">
        <x:is>
          <x:t xml:space="preserve">https://www.hrc.utexas.edu/niepce-heliograph/</x:t>
        </x:is>
      </x:c>
      <x:c r="S19" s="48" t="n">
        <x:v>4</x:v>
      </x:c>
      <x:c r="T19" s="47" t="inlineStr">
        <x:is>
          <x:t xml:space="preserve">Для сериала: Ньепс не увидел публичного триумфа фотографии.</x:t>
        </x:is>
      </x:c>
      <x:c r="U19" s="47" t="inlineStr">
        <x:is>
          <x:t xml:space="preserve">Линия прерывается у Ньепса и продолжается к Дагеру.</x:t>
        </x:is>
      </x:c>
      <x:c r="V19" s="47" t="inlineStr">
        <x:is>
          <x:t xml:space="preserve">#Niépce #Daguerre #история</x:t>
        </x:is>
      </x:c>
      <x:c r="W19" s="47" t="n"/>
      <x:c r="X19" s="37" t="inlineStr">
        <x:is>
          <x:t xml:space="preserve">46.7828, 4.8892</x:t>
        </x:is>
      </x:c>
      <x:c r="Y19" s="37" t="inlineStr">
        <x:is>
          <x:t xml:space="preserve">Передача идеи / развитие процесса</x:t>
        </x:is>
      </x:c>
      <x:c r="Z19" s="37" t="inlineStr">
        <x:is>
          <x:t xml:space="preserve">Связь / переход</x:t>
        </x:is>
      </x:c>
    </x:row>
    <x:row r="20" s="38" customFormat="1" ht="30" customHeight="1">
      <x:c r="A20" s="47" t="inlineStr">
        <x:is>
          <x:t xml:space="preserve">PL-HIST-0019</x:t>
        </x:is>
      </x:c>
      <x:c r="B20" s="47" t="inlineStr">
        <x:is>
          <x:t xml:space="preserve">1834</x:t>
        </x:is>
      </x:c>
      <x:c r="C20" s="47" t="inlineStr">
        <x:is>
          <x:t xml:space="preserve">год</x:t>
        </x:is>
      </x:c>
      <x:c r="D20" s="47" t="inlineStr">
        <x:is>
          <x:t xml:space="preserve">Великобритания</x:t>
        </x:is>
      </x:c>
      <x:c r="E20" s="47" t="inlineStr">
        <x:is>
          <x:t xml:space="preserve">Лэкок-Эбби</x:t>
        </x:is>
      </x:c>
      <x:c r="F20" s="47" t="inlineStr">
        <x:is>
          <x:t xml:space="preserve">Уильям Генри Фокс Тальбот</x:t>
        </x:is>
      </x:c>
      <x:c r="G20" s="47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47" t="inlineStr">
        <x:is>
          <x:t xml:space="preserve">Фотогенный рисунок / фотограмма</x:t>
        </x:is>
      </x:c>
      <x:c r="I20" s="47" t="inlineStr">
        <x:is>
          <x:t xml:space="preserve">Photogenic drawing</x:t>
        </x:is>
      </x:c>
      <x:c r="J20" s="47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47" t="inlineStr">
        <x:is>
          <x:t xml:space="preserve">Wedgwood/Davy and silver salts</x:t>
        </x:is>
      </x:c>
      <x:c r="L20" s="47" t="inlineStr">
        <x:is>
          <x:t xml:space="preserve">Calotype and negative-positive process</x:t>
        </x:is>
      </x:c>
      <x:c r="M20" s="47" t="inlineStr">
        <x:is>
          <x:t xml:space="preserve">Главная линия</x:t>
        </x:is>
      </x:c>
      <x:c r="N20" s="48" t="n">
        <x:v>5</x:v>
      </x:c>
      <x:c r="O20" s="47" t="inlineStr">
        <x:is>
          <x:t xml:space="preserve">PL-004</x:t>
        </x:is>
      </x:c>
      <x:c r="P20" s="47" t="inlineStr">
        <x:is>
          <x:t xml:space="preserve">SRC-023</x:t>
        </x:is>
      </x:c>
      <x:c r="Q20" s="47" t="inlineStr">
        <x:is>
          <x:t xml:space="preserve">National Gallery of Canada — The Calotype Process</x:t>
        </x:is>
      </x:c>
      <x:c r="R20" s="47" t="inlineStr">
        <x:is>
          <x:t xml:space="preserve">https://www.gallery.ca/photo-blog/the-calotype-process</x:t>
        </x:is>
      </x:c>
      <x:c r="S20" s="48" t="n">
        <x:v>4</x:v>
      </x:c>
      <x:c r="T20" s="47" t="inlineStr">
        <x:is>
          <x:t xml:space="preserve">Важно показать как параллельную работу, а не как продолжение Дагера.</x:t>
        </x:is>
      </x:c>
      <x:c r="U20" s="47" t="inlineStr">
        <x:is>
          <x:t xml:space="preserve">Отдельная линия Великобритания: лист растения на бумаге.</x:t>
        </x:is>
      </x:c>
      <x:c r="V20" s="47" t="inlineStr">
        <x:is>
          <x:t xml:space="preserve">#Talbot #photogenic-drawing #PL004</x:t>
        </x:is>
      </x:c>
      <x:c r="W20" s="47" t="n"/>
      <x:c r="X20" s="37" t="inlineStr">
        <x:is>
          <x:t xml:space="preserve">51.4136, -2.118</x:t>
        </x:is>
      </x:c>
      <x:c r="Z20" s="37" t="inlineStr">
        <x:is>
          <x:t xml:space="preserve">Технология / процесс</x:t>
        </x:is>
      </x:c>
    </x:row>
    <x:row r="21" s="38" customFormat="1" ht="30" customHeight="1">
      <x:c r="A21" s="47" t="inlineStr">
        <x:is>
          <x:t xml:space="preserve">PL-HIST-0020</x:t>
        </x:is>
      </x:c>
      <x:c r="B21" s="47" t="inlineStr">
        <x:is>
          <x:t xml:space="preserve">1835</x:t>
        </x:is>
      </x:c>
      <x:c r="C21" s="47" t="inlineStr">
        <x:is>
          <x:t xml:space="preserve">год</x:t>
        </x:is>
      </x:c>
      <x:c r="D21" s="47" t="inlineStr">
        <x:is>
          <x:t xml:space="preserve">Великобритания</x:t>
        </x:is>
      </x:c>
      <x:c r="E21" s="47" t="inlineStr">
        <x:is>
          <x:t xml:space="preserve">Лэкок-Эбби</x:t>
        </x:is>
      </x:c>
      <x:c r="F21" s="47" t="inlineStr">
        <x:is>
          <x:t xml:space="preserve">Уильям Генри Фокс Тальбот</x:t>
        </x:is>
      </x:c>
      <x:c r="G21" s="47" t="inlineStr">
        <x:is>
          <x:t xml:space="preserve">Делает ранние маленькие камерные негативы, включая вид окна в Лэкок-Эбби.</x:t>
        </x:is>
      </x:c>
      <x:c r="H21" s="47" t="inlineStr">
        <x:is>
          <x:t xml:space="preserve">Негатив-позитив</x:t>
        </x:is>
      </x:c>
      <x:c r="I21" s="47" t="inlineStr">
        <x:is>
          <x:t xml:space="preserve">Paper negative in camera</x:t>
        </x:is>
      </x:c>
      <x:c r="J21" s="47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47" t="inlineStr">
        <x:is>
          <x:t xml:space="preserve">Photogenic drawings</x:t>
        </x:is>
      </x:c>
      <x:c r="L21" s="47" t="inlineStr">
        <x:is>
          <x:t xml:space="preserve">1839 publication and 1841 calotype</x:t>
        </x:is>
      </x:c>
      <x:c r="M21" s="47" t="inlineStr">
        <x:is>
          <x:t xml:space="preserve">Главная линия</x:t>
        </x:is>
      </x:c>
      <x:c r="N21" s="48" t="n">
        <x:v>4</x:v>
      </x:c>
      <x:c r="O21" s="47" t="inlineStr">
        <x:is>
          <x:t xml:space="preserve">PL-004</x:t>
        </x:is>
      </x:c>
      <x:c r="P21" s="47" t="inlineStr">
        <x:is>
          <x:t xml:space="preserve">SRC-016</x:t>
        </x:is>
      </x:c>
      <x:c r="Q21" s="47" t="inlineStr">
        <x:is>
          <x:t xml:space="preserve">The Met — William Henry Fox Talbot</x:t>
        </x:is>
      </x:c>
      <x:c r="R21" s="47" t="inlineStr">
        <x:is>
          <x:t xml:space="preserve">https://www.metmuseum.org/essays/william-henry-fox-talbot-1800-1877-and-the-invention-of-photography</x:t>
        </x:is>
      </x:c>
      <x:c r="S21" s="48" t="n">
        <x:v>4</x:v>
      </x:c>
      <x:c r="T21" s="47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47" t="inlineStr">
        <x:is>
          <x:t xml:space="preserve">Окно Лэкок-Эбби как британская пара к окну Ньепса.</x:t>
        </x:is>
      </x:c>
      <x:c r="V21" s="47" t="inlineStr">
        <x:is>
          <x:t xml:space="preserve">#Talbot #окно #негатив #PL004</x:t>
        </x:is>
      </x:c>
      <x:c r="W21" s="47" t="inlineStr">
        <x:is>
          <x:t xml:space="preserve">Проверить источник для конкретной даты и объекта Oriel Window.</x:t>
        </x:is>
      </x:c>
      <x:c r="X21" s="37" t="inlineStr">
        <x:is>
          <x:t xml:space="preserve">51.4136, -2.118</x:t>
        </x:is>
      </x:c>
      <x:c r="Z21" s="37" t="inlineStr">
        <x:is>
          <x:t xml:space="preserve">Технология / процесс</x:t>
        </x:is>
      </x:c>
    </x:row>
    <x:row r="22" s="38" customFormat="1" ht="45" customHeight="1">
      <x:c r="A22" s="47" t="inlineStr">
        <x:is>
          <x:t xml:space="preserve">PL-HIST-0021</x:t>
        </x:is>
      </x:c>
      <x:c r="B22" s="47" t="inlineStr">
        <x:is>
          <x:t xml:space="preserve">1837</x:t>
        </x:is>
      </x:c>
      <x:c r="C22" s="47" t="inlineStr">
        <x:is>
          <x:t xml:space="preserve">год</x:t>
        </x:is>
      </x:c>
      <x:c r="D22" s="47" t="inlineStr">
        <x:is>
          <x:t xml:space="preserve">Франция</x:t>
        </x:is>
      </x:c>
      <x:c r="E22" s="47" t="inlineStr">
        <x:is>
          <x:t xml:space="preserve">Париж</x:t>
        </x:is>
      </x:c>
      <x:c r="F22" s="47" t="inlineStr">
        <x:is>
          <x:t xml:space="preserve">Луи Дагер</x:t>
        </x:is>
      </x:c>
      <x:c r="G22" s="47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47" t="inlineStr">
        <x:is>
          <x:t xml:space="preserve">Дагеротип</x:t>
        </x:is>
      </x:c>
      <x:c r="I22" s="47" t="inlineStr">
        <x:is>
          <x:t xml:space="preserve">Silver-plated copper plate / direct positive</x:t>
        </x:is>
      </x:c>
      <x:c r="J22" s="47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47" t="inlineStr">
        <x:is>
          <x:t xml:space="preserve">Niépce-Daguerre partnership</x:t>
        </x:is>
      </x:c>
      <x:c r="L22" s="47" t="inlineStr">
        <x:is>
          <x:t xml:space="preserve">1839 Académie announcement</x:t>
        </x:is>
      </x:c>
      <x:c r="M22" s="47" t="inlineStr">
        <x:is>
          <x:t xml:space="preserve">Исторически важная ограниченная ветка</x:t>
        </x:is>
      </x:c>
      <x:c r="N22" s="48" t="n">
        <x:v>4</x:v>
      </x:c>
      <x:c r="O22" s="47" t="inlineStr">
        <x:is>
          <x:t xml:space="preserve">PL-003</x:t>
        </x:is>
      </x:c>
      <x:c r="P22" s="47" t="inlineStr">
        <x:is>
          <x:t xml:space="preserve">SRC-013</x:t>
        </x:is>
      </x:c>
      <x:c r="Q22" s="47" t="inlineStr">
        <x:is>
          <x:t xml:space="preserve">The Met — Daguerre and the Invention of Photography</x:t>
        </x:is>
      </x:c>
      <x:c r="R22" s="47" t="inlineStr">
        <x:is>
          <x:t xml:space="preserve">https://www.metmuseum.org/essays/daguerre-1787-1851-and-the-invention-of-photography</x:t>
        </x:is>
      </x:c>
      <x:c r="S22" s="48" t="n">
        <x:v>3</x:v>
      </x:c>
      <x:c r="T22" s="47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47" t="inlineStr">
        <x:is>
          <x:t xml:space="preserve">Металлическая пластина + резкое изображение.</x:t>
        </x:is>
      </x:c>
      <x:c r="V22" s="47" t="inlineStr">
        <x:is>
          <x:t xml:space="preserve">#Daguerre #дагеротип #PL003</x:t>
        </x:is>
      </x:c>
      <x:c r="W22" s="47" t="inlineStr">
        <x:is>
          <x:t xml:space="preserve">Уточнить первичный источник и дату 1837.</x:t>
        </x:is>
      </x:c>
      <x:c r="X22" s="37" t="inlineStr">
        <x:is>
          <x:t xml:space="preserve">48.8566, 2.3522</x:t>
        </x:is>
      </x:c>
      <x:c r="Z22" s="37" t="inlineStr">
        <x:is>
          <x:t xml:space="preserve">Технология / процесс</x:t>
        </x:is>
      </x:c>
      <x:c r="AA22" s="37" t="inlineStr">
        <x:is>
          <x:t xml:space="preserve">да</x:t>
        </x:is>
      </x:c>
    </x:row>
    <x:row r="23" s="38" customFormat="1" ht="30" customHeight="1">
      <x:c r="A23" s="47" t="inlineStr">
        <x:is>
          <x:t xml:space="preserve">PL-HIST-0022</x:t>
        </x:is>
      </x:c>
      <x:c r="B23" s="47" t="inlineStr">
        <x:is>
          <x:t xml:space="preserve">7 января 1839</x:t>
        </x:is>
      </x:c>
      <x:c r="C23" s="47" t="inlineStr">
        <x:is>
          <x:t xml:space="preserve">точная дата</x:t>
        </x:is>
      </x:c>
      <x:c r="D23" s="47" t="inlineStr">
        <x:is>
          <x:t xml:space="preserve">Франция</x:t>
        </x:is>
      </x:c>
      <x:c r="E23" s="47" t="inlineStr">
        <x:is>
          <x:t xml:space="preserve">Париж</x:t>
        </x:is>
      </x:c>
      <x:c r="F23" s="47" t="inlineStr">
        <x:is>
          <x:t xml:space="preserve">Франсуа Араго / Луи Дагер</x:t>
        </x:is>
      </x:c>
      <x:c r="G23" s="47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47" t="inlineStr">
        <x:is>
          <x:t xml:space="preserve">Дагеротип</x:t>
        </x:is>
      </x:c>
      <x:c r="I23" s="47" t="inlineStr">
        <x:is>
          <x:t xml:space="preserve">Daguerreotype</x:t>
        </x:is>
      </x:c>
      <x:c r="J23" s="47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47" t="inlineStr">
        <x:is>
          <x:t xml:space="preserve">Daguerre's experiments</x:t>
        </x:is>
      </x:c>
      <x:c r="L23" s="47" t="inlineStr">
        <x:is>
          <x:t xml:space="preserve">19 August 1839 public disclosure</x:t>
        </x:is>
      </x:c>
      <x:c r="M23" s="47" t="inlineStr">
        <x:is>
          <x:t xml:space="preserve">Временная доминирующая линия</x:t>
        </x:is>
      </x:c>
      <x:c r="N23" s="48" t="n">
        <x:v>5</x:v>
      </x:c>
      <x:c r="O23" s="47" t="inlineStr">
        <x:is>
          <x:t xml:space="preserve">PL-003</x:t>
        </x:is>
      </x:c>
      <x:c r="P23" s="47" t="inlineStr">
        <x:is>
          <x:t xml:space="preserve">SRC-013</x:t>
        </x:is>
      </x:c>
      <x:c r="Q23" s="47" t="inlineStr">
        <x:is>
          <x:t xml:space="preserve">The Met — Daguerre and the Invention of Photography</x:t>
        </x:is>
      </x:c>
      <x:c r="R23" s="47" t="inlineStr">
        <x:is>
          <x:t xml:space="preserve">https://www.metmuseum.org/essays/daguerre-1787-1851-and-the-invention-of-photography</x:t>
        </x:is>
      </x:c>
      <x:c r="S23" s="48" t="n">
        <x:v>5</x:v>
      </x:c>
      <x:c r="T23" s="47" t="inlineStr">
        <x:is>
          <x:t xml:space="preserve">Это сильная сцена: не просто изобретение, а момент публичного признания.</x:t>
        </x:is>
      </x:c>
      <x:c r="U23" s="47" t="inlineStr">
        <x:is>
          <x:t xml:space="preserve">Париж, Академия наук, световая демонстрация.</x:t>
        </x:is>
      </x:c>
      <x:c r="V23" s="47" t="inlineStr">
        <x:is>
          <x:t xml:space="preserve">#Daguerre #Arago #Париж #PL003</x:t>
        </x:is>
      </x:c>
      <x:c r="W23" s="47" t="n"/>
      <x:c r="X23" s="37" t="inlineStr">
        <x:is>
          <x:t xml:space="preserve">48.8566, 2.3522</x:t>
        </x:is>
      </x:c>
      <x:c r="Y23" s="37" t="inlineStr">
        <x:is>
          <x:t xml:space="preserve">Дагеротип / публичное объявление</x:t>
        </x:is>
      </x:c>
      <x:c r="Z23" s="37" t="inlineStr">
        <x:is>
          <x:t xml:space="preserve">Публикация / объявление</x:t>
        </x:is>
      </x:c>
    </x:row>
    <x:row r="24" s="38" customFormat="1" ht="30" customHeight="1">
      <x:c r="A24" s="47" t="inlineStr">
        <x:is>
          <x:t xml:space="preserve">PL-HIST-0023</x:t>
        </x:is>
      </x:c>
      <x:c r="B24" s="47" t="inlineStr">
        <x:is>
          <x:t xml:space="preserve">19 августа 1839</x:t>
        </x:is>
      </x:c>
      <x:c r="C24" s="47" t="inlineStr">
        <x:is>
          <x:t xml:space="preserve">точная дата</x:t>
        </x:is>
      </x:c>
      <x:c r="D24" s="47" t="inlineStr">
        <x:is>
          <x:t xml:space="preserve">Франция</x:t>
        </x:is>
      </x:c>
      <x:c r="E24" s="47" t="inlineStr">
        <x:is>
          <x:t xml:space="preserve">Париж</x:t>
        </x:is>
      </x:c>
      <x:c r="F24" s="47" t="inlineStr">
        <x:is>
          <x:t xml:space="preserve">Луи Дагер / французское государство</x:t>
        </x:is>
      </x:c>
      <x:c r="G24" s="47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47" t="inlineStr">
        <x:is>
          <x:t xml:space="preserve">Дагеротип</x:t>
        </x:is>
      </x:c>
      <x:c r="I24" s="47" t="inlineStr">
        <x:is>
          <x:t xml:space="preserve">Daguerreotype</x:t>
        </x:is>
      </x:c>
      <x:c r="J24" s="47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47" t="inlineStr">
        <x:is>
          <x:t xml:space="preserve">Academy announcement</x:t>
        </x:is>
      </x:c>
      <x:c r="L24" s="47" t="inlineStr">
        <x:is>
          <x:t xml:space="preserve">Daguerreotypomania and portrait studios</x:t>
        </x:is>
      </x:c>
      <x:c r="M24" s="47" t="inlineStr">
        <x:is>
          <x:t xml:space="preserve">Временная доминирующая линия</x:t>
        </x:is>
      </x:c>
      <x:c r="N24" s="48" t="n">
        <x:v>5</x:v>
      </x:c>
      <x:c r="O24" s="47" t="inlineStr">
        <x:is>
          <x:t xml:space="preserve">PL-003</x:t>
        </x:is>
      </x:c>
      <x:c r="P24" s="47" t="inlineStr">
        <x:is>
          <x:t xml:space="preserve">SRC-012</x:t>
        </x:is>
      </x:c>
      <x:c r="Q24" s="47" t="inlineStr">
        <x:is>
          <x:t xml:space="preserve">Harvard Library — History of Photography Timeline</x:t>
        </x:is>
      </x:c>
      <x:c r="R24" s="47" t="inlineStr">
        <x:is>
          <x:t xml:space="preserve">https://photographpreservationprogram.hsites.harvard.edu/harvards-history-photography-timeline-text-only</x:t>
        </x:is>
      </x:c>
      <x:c r="S24" s="48" t="n">
        <x:v>5</x:v>
      </x:c>
      <x:c r="T24" s="47" t="inlineStr">
        <x:is>
          <x:t xml:space="preserve">В уроке: 1839 — год, когда фотография стала общественным событием.</x:t>
        </x:is>
      </x:c>
      <x:c r="U24" s="47" t="inlineStr">
        <x:is>
          <x:t xml:space="preserve">Большая точка на Париже и расходящиеся линии по миру.</x:t>
        </x:is>
      </x:c>
      <x:c r="V24" s="47" t="inlineStr">
        <x:is>
          <x:t xml:space="preserve">#1839 #Daguerre #Франция #распространение</x:t>
        </x:is>
      </x:c>
      <x:c r="W24" s="47" t="n"/>
      <x:c r="X24" s="37" t="inlineStr">
        <x:is>
          <x:t xml:space="preserve">48.8566, 2.3522</x:t>
        </x:is>
      </x:c>
      <x:c r="Y24" s="37" t="inlineStr">
        <x:is>
          <x:t xml:space="preserve">Дагеротип / распространение</x:t>
        </x:is>
      </x:c>
      <x:c r="Z24" s="37" t="inlineStr">
        <x:is>
          <x:t xml:space="preserve">Публикация / объявление</x:t>
        </x:is>
      </x:c>
    </x:row>
    <x:row r="25" s="38" customFormat="1" ht="45" customHeight="1">
      <x:c r="A25" s="47" t="inlineStr">
        <x:is>
          <x:t xml:space="preserve">PL-HIST-0024</x:t>
        </x:is>
      </x:c>
      <x:c r="B25" s="47" t="inlineStr">
        <x:is>
          <x:t xml:space="preserve">1839</x:t>
        </x:is>
      </x:c>
      <x:c r="C25" s="47" t="inlineStr">
        <x:is>
          <x:t xml:space="preserve">год</x:t>
        </x:is>
      </x:c>
      <x:c r="D25" s="47" t="inlineStr">
        <x:is>
          <x:t xml:space="preserve">Великобритания</x:t>
        </x:is>
      </x:c>
      <x:c r="E25" s="47" t="inlineStr">
        <x:is>
          <x:t xml:space="preserve">Лондон</x:t>
        </x:is>
      </x:c>
      <x:c r="F25" s="47" t="inlineStr">
        <x:is>
          <x:t xml:space="preserve">Уильям Генри Фокс Тальбот</x:t>
        </x:is>
      </x:c>
      <x:c r="G25" s="47" t="inlineStr">
        <x:is>
          <x:t xml:space="preserve">Публикует «Some Account of the Art of Photogenic Drawing», представляя свой процесс.</x:t>
        </x:is>
      </x:c>
      <x:c r="H25" s="47" t="inlineStr">
        <x:is>
          <x:t xml:space="preserve">Фотогенный рисунок / фотограмма</x:t>
        </x:is>
      </x:c>
      <x:c r="I25" s="47" t="inlineStr">
        <x:is>
          <x:t xml:space="preserve">Photogenic drawing</x:t>
        </x:is>
      </x:c>
      <x:c r="J25" s="47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47" t="inlineStr">
        <x:is>
          <x:t xml:space="preserve">1834–1835 experiments</x:t>
        </x:is>
      </x:c>
      <x:c r="L25" s="47" t="inlineStr">
        <x:is>
          <x:t xml:space="preserve">Calotype patent 1841</x:t>
        </x:is>
      </x:c>
      <x:c r="M25" s="47" t="inlineStr">
        <x:is>
          <x:t xml:space="preserve">Главная линия</x:t>
        </x:is>
      </x:c>
      <x:c r="N25" s="48" t="n">
        <x:v>5</x:v>
      </x:c>
      <x:c r="O25" s="47" t="inlineStr">
        <x:is>
          <x:t xml:space="preserve">PL-004</x:t>
        </x:is>
      </x:c>
      <x:c r="P25" s="47" t="inlineStr">
        <x:is>
          <x:t xml:space="preserve">SRC-012</x:t>
        </x:is>
      </x:c>
      <x:c r="Q25" s="47" t="inlineStr">
        <x:is>
          <x:t xml:space="preserve">Harvard Library — History of Photography Timeline</x:t>
        </x:is>
      </x:c>
      <x:c r="R25" s="47" t="inlineStr">
        <x:is>
          <x:t xml:space="preserve">https://photographpreservationprogram.hsites.harvard.edu/harvards-history-photography-timeline-text-only</x:t>
        </x:is>
      </x:c>
      <x:c r="S25" s="48" t="n">
        <x:v>5</x:v>
      </x:c>
      <x:c r="T25" s="47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47" t="inlineStr">
        <x:is>
          <x:t xml:space="preserve">Две линии на карте: Париж и Лондон одновременно загораются в 1839.</x:t>
        </x:is>
      </x:c>
      <x:c r="V25" s="47" t="inlineStr">
        <x:is>
          <x:t xml:space="preserve">#Talbot #1839 #PL004</x:t>
        </x:is>
      </x:c>
      <x:c r="W25" s="47" t="n"/>
      <x:c r="X25" s="37" t="inlineStr">
        <x:is>
          <x:t xml:space="preserve">51.5074, -0.1278</x:t>
        </x:is>
      </x:c>
      <x:c r="Y25" s="37" t="inlineStr">
        <x:is>
          <x:t xml:space="preserve">Фотогенный рисунок / публикация</x:t>
        </x:is>
      </x:c>
      <x:c r="Z25" s="37" t="inlineStr">
        <x:is>
          <x:t xml:space="preserve">Публикация / объявление</x:t>
        </x:is>
      </x:c>
    </x:row>
    <x:row r="26" s="38" customFormat="1" ht="45" customHeight="1">
      <x:c r="A26" s="47" t="inlineStr">
        <x:is>
          <x:t xml:space="preserve">PL-HIST-0025</x:t>
        </x:is>
      </x:c>
      <x:c r="B26" s="47" t="inlineStr">
        <x:is>
          <x:t xml:space="preserve">1839</x:t>
        </x:is>
      </x:c>
      <x:c r="C26" s="47" t="inlineStr">
        <x:is>
          <x:t xml:space="preserve">год</x:t>
        </x:is>
      </x:c>
      <x:c r="D26" s="47" t="inlineStr">
        <x:is>
          <x:t xml:space="preserve">Великобритания</x:t>
        </x:is>
      </x:c>
      <x:c r="E26" s="47" t="inlineStr">
        <x:is>
          <x:t xml:space="preserve">Лондон / Slough</x:t>
        </x:is>
      </x:c>
      <x:c r="F26" s="47" t="inlineStr">
        <x:is>
          <x:t xml:space="preserve">Джон Фредерик Уильям Гершель</x:t>
        </x:is>
      </x:c>
      <x:c r="G26" s="47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47" t="inlineStr">
        <x:is>
          <x:t xml:space="preserve">Фиксаж / терминология</x:t>
        </x:is>
      </x:c>
      <x:c r="I26" s="47" t="inlineStr">
        <x:is>
          <x:t xml:space="preserve">Hypo / sodium thiosulfate fixer</x:t>
        </x:is>
      </x:c>
      <x:c r="J26" s="47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47" t="inlineStr">
        <x:is>
          <x:t xml:space="preserve">Silver-salt image instability</x:t>
        </x:is>
      </x:c>
      <x:c r="L26" s="47" t="inlineStr">
        <x:is>
          <x:t xml:space="preserve">Stable calotypes and later silver processes</x:t>
        </x:is>
      </x:c>
      <x:c r="M26" s="47" t="inlineStr">
        <x:is>
          <x:t xml:space="preserve">Главная линия</x:t>
        </x:is>
      </x:c>
      <x:c r="N26" s="48" t="n">
        <x:v>5</x:v>
      </x:c>
      <x:c r="O26" s="47" t="inlineStr">
        <x:is>
          <x:t xml:space="preserve">PL-004</x:t>
        </x:is>
      </x:c>
      <x:c r="P26" s="47" t="inlineStr">
        <x:is>
          <x:t xml:space="preserve">SRC-016</x:t>
        </x:is>
      </x:c>
      <x:c r="Q26" s="47" t="inlineStr">
        <x:is>
          <x:t xml:space="preserve">The Met — William Henry Fox Talbot</x:t>
        </x:is>
      </x:c>
      <x:c r="R26" s="47" t="inlineStr">
        <x:is>
          <x:t xml:space="preserve">https://www.metmuseum.org/essays/william-henry-fox-talbot-1800-1877-and-the-invention-of-photography</x:t>
        </x:is>
      </x:c>
      <x:c r="S26" s="48" t="n">
        <x:v>5</x:v>
      </x:c>
      <x:c r="T26" s="47" t="inlineStr">
        <x:is>
          <x:t xml:space="preserve">Сильный смысл: фотография — это не только камера, но и умение остановить свет.</x:t>
        </x:is>
      </x:c>
      <x:c r="U26" s="47" t="inlineStr">
        <x:is>
          <x:t xml:space="preserve">Иконка замка/стоп-символа на изображении.</x:t>
        </x:is>
      </x:c>
      <x:c r="V26" s="47" t="inlineStr">
        <x:is>
          <x:t xml:space="preserve">#Herschel #фиксаж #hypo</x:t>
        </x:is>
      </x:c>
      <x:c r="W26" s="47" t="n"/>
      <x:c r="X26" s="37" t="inlineStr">
        <x:is>
          <x:t xml:space="preserve">51.5074, -0.1278</x:t>
        </x:is>
      </x:c>
      <x:c r="Z26" s="37" t="inlineStr">
        <x:is>
          <x:t xml:space="preserve">Технология / процесс</x:t>
        </x:is>
      </x:c>
    </x:row>
    <x:row r="27" s="38" customFormat="1" ht="45" customHeight="1">
      <x:c r="A27" s="47" t="inlineStr">
        <x:is>
          <x:t xml:space="preserve">PL-HIST-0026</x:t>
        </x:is>
      </x:c>
      <x:c r="B27" s="47" t="inlineStr">
        <x:is>
          <x:t xml:space="preserve">1839</x:t>
        </x:is>
      </x:c>
      <x:c r="C27" s="47" t="inlineStr">
        <x:is>
          <x:t xml:space="preserve">год</x:t>
        </x:is>
      </x:c>
      <x:c r="D27" s="47" t="inlineStr">
        <x:is>
          <x:t xml:space="preserve">Великобритания</x:t>
        </x:is>
      </x:c>
      <x:c r="E27" s="47" t="inlineStr">
        <x:is>
          <x:t xml:space="preserve">Лондон</x:t>
        </x:is>
      </x:c>
      <x:c r="F27" s="47" t="inlineStr">
        <x:is>
          <x:t xml:space="preserve">Джон Фредерик Уильям Гершель</x:t>
        </x:is>
      </x:c>
      <x:c r="G27" s="47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47" t="inlineStr">
        <x:is>
          <x:t xml:space="preserve">Фиксаж / терминология</x:t>
        </x:is>
      </x:c>
      <x:c r="I27" s="47" t="inlineStr">
        <x:is>
          <x:t xml:space="preserve">Photographic terminology</x:t>
        </x:is>
      </x:c>
      <x:c r="J27" s="47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47" t="inlineStr">
        <x:is>
          <x:t xml:space="preserve">Talbot's paper negatives and photogenic drawings</x:t>
        </x:is>
      </x:c>
      <x:c r="L27" s="47" t="inlineStr">
        <x:is>
          <x:t xml:space="preserve">Calotype and photographic vocabulary</x:t>
        </x:is>
      </x:c>
      <x:c r="M27" s="47" t="inlineStr">
        <x:is>
          <x:t xml:space="preserve">Главная линия</x:t>
        </x:is>
      </x:c>
      <x:c r="N27" s="48" t="n">
        <x:v>4</x:v>
      </x:c>
      <x:c r="O27" s="47" t="inlineStr">
        <x:is>
          <x:t xml:space="preserve">PL-004</x:t>
        </x:is>
      </x:c>
      <x:c r="P27" s="47" t="inlineStr">
        <x:is>
          <x:t xml:space="preserve">SRC-017</x:t>
        </x:is>
      </x:c>
      <x:c r="Q27" s="47" t="inlineStr">
        <x:is>
          <x:t xml:space="preserve">Getty — Sir John F. W. Herschel</x:t>
        </x:is>
      </x:c>
      <x:c r="R27" s="47" t="inlineStr">
        <x:is>
          <x:t xml:space="preserve">https://www.getty.edu/art/collection/person/103KHK</x:t>
        </x:is>
      </x:c>
      <x:c r="S27" s="48" t="n">
        <x:v>4</x:v>
      </x:c>
      <x:c r="T27" s="47" t="inlineStr">
        <x:is>
          <x:t xml:space="preserve">Можно сделать мини-вставку: терминология — это тоже технология понимания.</x:t>
        </x:is>
      </x:c>
      <x:c r="U27" s="47" t="inlineStr">
        <x:is>
          <x:t xml:space="preserve">Карточка слов: PHOTOGRAPHY / NEGATIVE / POSITIVE.</x:t>
        </x:is>
      </x:c>
      <x:c r="V27" s="47" t="inlineStr">
        <x:is>
          <x:t xml:space="preserve">#Herschel #термины #negative #positive</x:t>
        </x:is>
      </x:c>
      <x:c r="W27" s="47" t="inlineStr">
        <x:is>
          <x:t xml:space="preserve">Уточнить первичные даты употребления терминов в письмах/докладах.</x:t>
        </x:is>
      </x:c>
      <x:c r="X27" s="37" t="inlineStr">
        <x:is>
          <x:t xml:space="preserve">51.5074, -0.1278</x:t>
        </x:is>
      </x:c>
      <x:c r="Z27" s="37" t="inlineStr">
        <x:is>
          <x:t xml:space="preserve">Терминология / язык</x:t>
        </x:is>
      </x:c>
    </x:row>
    <x:row r="28" s="38" customFormat="1" ht="30" customHeight="1">
      <x:c r="A28" s="47" t="inlineStr">
        <x:is>
          <x:t xml:space="preserve">PL-HIST-0027</x:t>
        </x:is>
      </x:c>
      <x:c r="B28" s="47" t="inlineStr">
        <x:is>
          <x:t xml:space="preserve">1839–1840</x:t>
        </x:is>
      </x:c>
      <x:c r="C28" s="47" t="inlineStr">
        <x:is>
          <x:t xml:space="preserve">диапазон</x:t>
        </x:is>
      </x:c>
      <x:c r="D28" s="47" t="inlineStr">
        <x:is>
          <x:t xml:space="preserve">Франция</x:t>
        </x:is>
      </x:c>
      <x:c r="E28" s="47" t="inlineStr">
        <x:is>
          <x:t xml:space="preserve">Париж</x:t>
        </x:is>
      </x:c>
      <x:c r="F28" s="47" t="inlineStr">
        <x:is>
          <x:t xml:space="preserve">Ипполит Байяр</x:t>
        </x:is>
      </x:c>
      <x:c r="G28" s="47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47" t="inlineStr">
        <x:is>
          <x:t xml:space="preserve">Уникальный позитив</x:t>
        </x:is>
      </x:c>
      <x:c r="I28" s="47" t="inlineStr">
        <x:is>
          <x:t xml:space="preserve">Direct positive paper process</x:t>
        </x:is>
      </x:c>
      <x:c r="J28" s="47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47" t="inlineStr">
        <x:is>
          <x:t xml:space="preserve">French early photographic experiments</x:t>
        </x:is>
      </x:c>
      <x:c r="L28" s="47" t="inlineStr">
        <x:is>
          <x:t xml:space="preserve">Bayard's staged self-portrait and later history</x:t>
        </x:is>
      </x:c>
      <x:c r="M28" s="47" t="inlineStr">
        <x:is>
          <x:t xml:space="preserve">Исторически важная ограниченная ветка</x:t>
        </x:is>
      </x:c>
      <x:c r="N28" s="48" t="n">
        <x:v>3</x:v>
      </x:c>
      <x:c r="O28" s="47" t="inlineStr">
        <x:is>
          <x:t xml:space="preserve">межурочный узел</x:t>
        </x:is>
      </x:c>
      <x:c r="P28" s="47" t="inlineStr">
        <x:is>
          <x:t xml:space="preserve">SRC-017</x:t>
        </x:is>
      </x:c>
      <x:c r="Q28" s="47" t="inlineStr">
        <x:is>
          <x:t xml:space="preserve">Getty — Sir John F. W. Herschel</x:t>
        </x:is>
      </x:c>
      <x:c r="R28" s="47" t="inlineStr">
        <x:is>
          <x:t xml:space="preserve">https://www.getty.edu/art/collection/person/103KHK</x:t>
        </x:is>
      </x:c>
      <x:c r="S28" s="48" t="n">
        <x:v>3</x:v>
      </x:c>
      <x:c r="T28" s="47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47" t="inlineStr">
        <x:is>
          <x:t xml:space="preserve">Пунктирная ветка от Парижа, уходящая в сторону.</x:t>
        </x:is>
      </x:c>
      <x:c r="V28" s="47" t="inlineStr">
        <x:is>
          <x:t xml:space="preserve">#Bayard #direct-positive #забытые</x:t>
        </x:is>
      </x:c>
      <x:c r="W28" s="47" t="inlineStr">
        <x:is>
          <x:t xml:space="preserve">Найти лучший источник именно по процессу Байяра, не только биографию Getty.</x:t>
        </x:is>
      </x:c>
      <x:c r="X28" s="37" t="inlineStr">
        <x:is>
          <x:t xml:space="preserve">48.8566, 2.3522</x:t>
        </x:is>
      </x:c>
      <x:c r="Z28" s="37" t="inlineStr">
        <x:is>
          <x:t xml:space="preserve">Технология / процесс</x:t>
        </x:is>
      </x:c>
    </x:row>
    <x:row r="29" s="38" customFormat="1" ht="45" customHeight="1">
      <x:c r="A29" s="47" t="inlineStr">
        <x:is>
          <x:t xml:space="preserve">PL-HIST-0028</x:t>
        </x:is>
      </x:c>
      <x:c r="B29" s="47" t="inlineStr">
        <x:is>
          <x:t xml:space="preserve">1838</x:t>
        </x:is>
      </x:c>
      <x:c r="C29" s="47" t="inlineStr">
        <x:is>
          <x:t xml:space="preserve">год</x:t>
        </x:is>
      </x:c>
      <x:c r="D29" s="47" t="inlineStr">
        <x:is>
          <x:t xml:space="preserve">Великобритания</x:t>
        </x:is>
      </x:c>
      <x:c r="E29" s="47" t="inlineStr">
        <x:is>
          <x:t xml:space="preserve">Лондон</x:t>
        </x:is>
      </x:c>
      <x:c r="F29" s="47" t="inlineStr">
        <x:is>
          <x:t xml:space="preserve">Чарльз Уитстон</x:t>
        </x:is>
      </x:c>
      <x:c r="G29" s="47" t="inlineStr">
        <x:is>
          <x:t xml:space="preserve">Представляет стереоскоп и демонстрирует принцип бинокулярного зрения.</x:t>
        </x:is>
      </x:c>
      <x:c r="H29" s="47" t="inlineStr">
        <x:is>
          <x:t xml:space="preserve">Оптические инструменты</x:t>
        </x:is>
      </x:c>
      <x:c r="I29" s="47" t="inlineStr">
        <x:is>
          <x:t xml:space="preserve">Stereoscope</x:t>
        </x:is>
      </x:c>
      <x:c r="J29" s="47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47" t="inlineStr">
        <x:is>
          <x:t xml:space="preserve">Optics of vision</x:t>
        </x:is>
      </x:c>
      <x:c r="L29" s="47" t="inlineStr">
        <x:is>
          <x:t xml:space="preserve">Photographic stereographs in the 1850s</x:t>
        </x:is>
      </x:c>
      <x:c r="M29" s="47" t="inlineStr">
        <x:is>
          <x:t xml:space="preserve">Оптическая предпосылка</x:t>
        </x:is>
      </x:c>
      <x:c r="N29" s="48" t="n">
        <x:v>3</x:v>
      </x:c>
      <x:c r="O29" s="47" t="inlineStr">
        <x:is>
          <x:t xml:space="preserve">будущие PL</x:t>
        </x:is>
      </x:c>
      <x:c r="P29" s="47" t="inlineStr">
        <x:is>
          <x:t xml:space="preserve">SRC-024</x:t>
        </x:is>
      </x:c>
      <x:c r="Q29" s="47" t="inlineStr">
        <x:is>
          <x:t xml:space="preserve">Royal Society / Google Arts &amp; Culture — Stereoscopy</x:t>
        </x:is>
      </x:c>
      <x:c r="R29" s="47" t="inlineStr">
        <x:is>
          <x:t xml:space="preserve">https://artsandculture.google.com/story/stereoscopy-the-birth-of-3d-technology-the-royal-society/pwWRTNS-hqDN5g</x:t>
        </x:is>
      </x:c>
      <x:c r="S29" s="48" t="n">
        <x:v>4</x:v>
      </x:c>
      <x:c r="T29" s="47" t="inlineStr">
        <x:is>
          <x:t xml:space="preserve">Этот узел лучше оставить для будущего раздела о 3D/стереофотографии.</x:t>
        </x:is>
      </x:c>
      <x:c r="U29" s="47" t="inlineStr">
        <x:is>
          <x:t xml:space="preserve">Иконка двух глаз / двух изображений.</x:t>
        </x:is>
      </x:c>
      <x:c r="V29" s="47" t="inlineStr">
        <x:is>
          <x:t xml:space="preserve">#стереоскоп #Wheatstone #3D</x:t>
        </x:is>
      </x:c>
      <x:c r="W29" s="47" t="n"/>
      <x:c r="X29" s="37" t="inlineStr">
        <x:is>
          <x:t xml:space="preserve">51.5074, -0.1278</x:t>
        </x:is>
      </x:c>
      <x:c r="Y29" s="37" t="inlineStr">
        <x:is>
          <x:t xml:space="preserve">Оптические инструменты / 3D</x:t>
        </x:is>
      </x:c>
      <x:c r="Z29" s="37" t="inlineStr">
        <x:is>
          <x:t xml:space="preserve">Инструмент / устройство</x:t>
        </x:is>
      </x:c>
    </x:row>
    <x:row r="30" s="38" customFormat="1" ht="45" customHeight="1">
      <x:c r="A30" s="47" t="inlineStr">
        <x:is>
          <x:t xml:space="preserve">PL-HIST-0029</x:t>
        </x:is>
      </x:c>
      <x:c r="B30" s="47" t="inlineStr">
        <x:is>
          <x:t xml:space="preserve">1840</x:t>
        </x:is>
      </x:c>
      <x:c r="C30" s="47" t="inlineStr">
        <x:is>
          <x:t xml:space="preserve">год</x:t>
        </x:is>
      </x:c>
      <x:c r="D30" s="47" t="inlineStr">
        <x:is>
          <x:t xml:space="preserve">Великобритания</x:t>
        </x:is>
      </x:c>
      <x:c r="E30" s="47" t="inlineStr">
        <x:is>
          <x:t xml:space="preserve">Лэкок-Эбби</x:t>
        </x:is>
      </x:c>
      <x:c r="F30" s="47" t="inlineStr">
        <x:is>
          <x:t xml:space="preserve">Уильям Генри Фокс Тальбот</x:t>
        </x:is>
      </x:c>
      <x:c r="G30" s="47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47" t="inlineStr">
        <x:is>
          <x:t xml:space="preserve">Негатив-позитив</x:t>
        </x:is>
      </x:c>
      <x:c r="I30" s="47" t="inlineStr">
        <x:is>
          <x:t xml:space="preserve">Latent image development</x:t>
        </x:is>
      </x:c>
      <x:c r="J30" s="47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47" t="inlineStr">
        <x:is>
          <x:t xml:space="preserve">Photogenic drawing and camera negatives</x:t>
        </x:is>
      </x:c>
      <x:c r="L30" s="47" t="inlineStr">
        <x:is>
          <x:t xml:space="preserve">Calotype patent 1841</x:t>
        </x:is>
      </x:c>
      <x:c r="M30" s="47" t="inlineStr">
        <x:is>
          <x:t xml:space="preserve">Главная линия</x:t>
        </x:is>
      </x:c>
      <x:c r="N30" s="48" t="n">
        <x:v>5</x:v>
      </x:c>
      <x:c r="O30" s="47" t="inlineStr">
        <x:is>
          <x:t xml:space="preserve">PL-004</x:t>
        </x:is>
      </x:c>
      <x:c r="P30" s="47" t="inlineStr">
        <x:is>
          <x:t xml:space="preserve">SRC-016</x:t>
        </x:is>
      </x:c>
      <x:c r="Q30" s="47" t="inlineStr">
        <x:is>
          <x:t xml:space="preserve">The Met — William Henry Fox Talbot</x:t>
        </x:is>
      </x:c>
      <x:c r="R30" s="47" t="inlineStr">
        <x:is>
          <x:t xml:space="preserve">https://www.metmuseum.org/essays/william-henry-fox-talbot-1800-1877-and-the-invention-of-photography</x:t>
        </x:is>
      </x:c>
      <x:c r="S30" s="48" t="n">
        <x:v>5</x:v>
      </x:c>
      <x:c r="T30" s="47" t="inlineStr">
        <x:is>
          <x:t xml:space="preserve">Для новичка: фотография научилась работать со скрытым изображением.</x:t>
        </x:is>
      </x:c>
      <x:c r="U30" s="47" t="inlineStr">
        <x:is>
          <x:t xml:space="preserve">Схема: невидимый след → проявитель → появляется картинка.</x:t>
        </x:is>
      </x:c>
      <x:c r="V30" s="47" t="inlineStr">
        <x:is>
          <x:t xml:space="preserve">#latent-image #Talbot #PL004</x:t>
        </x:is>
      </x:c>
      <x:c r="W30" s="47" t="n"/>
      <x:c r="X30" s="37" t="inlineStr">
        <x:is>
          <x:t xml:space="preserve">51.4136, -2.118</x:t>
        </x:is>
      </x:c>
      <x:c r="Y30" s="37" t="inlineStr">
        <x:is>
          <x:t xml:space="preserve">Негатив-позитив / проявление</x:t>
        </x:is>
      </x:c>
      <x:c r="Z30" s="37" t="inlineStr">
        <x:is>
          <x:t xml:space="preserve">Технология / процесс</x:t>
        </x:is>
      </x:c>
    </x:row>
    <x:row r="31" s="38" customFormat="1" ht="60" customHeight="1">
      <x:c r="A31" s="47" t="inlineStr">
        <x:is>
          <x:t xml:space="preserve">PL-HIST-0030</x:t>
        </x:is>
      </x:c>
      <x:c r="B31" s="47" t="inlineStr">
        <x:is>
          <x:t xml:space="preserve">1840</x:t>
        </x:is>
      </x:c>
      <x:c r="C31" s="47" t="inlineStr">
        <x:is>
          <x:t xml:space="preserve">год</x:t>
        </x:is>
      </x:c>
      <x:c r="D31" s="47" t="inlineStr">
        <x:is>
          <x:t xml:space="preserve">США</x:t>
        </x:is>
      </x:c>
      <x:c r="E31" s="47" t="inlineStr">
        <x:is>
          <x:t xml:space="preserve">Нью-Йорк</x:t>
        </x:is>
      </x:c>
      <x:c r="F31" s="47" t="inlineStr">
        <x:is>
          <x:t xml:space="preserve">Джон Уильям Дрейпер</x:t>
        </x:is>
      </x:c>
      <x:c r="G31" s="47" t="inlineStr">
        <x:is>
          <x:t xml:space="preserve">Делает ранние научные дагеротипы, включая одну из первых фотографий Луны.</x:t>
        </x:is>
      </x:c>
      <x:c r="H31" s="47" t="inlineStr">
        <x:is>
          <x:t xml:space="preserve">Дагеротип</x:t>
        </x:is>
      </x:c>
      <x:c r="I31" s="47" t="inlineStr">
        <x:is>
          <x:t xml:space="preserve">Daguerreotype for astronomy</x:t>
        </x:is>
      </x:c>
      <x:c r="J31" s="47" t="inlineStr">
        <x:is>
          <x:t xml:space="preserve">Фотография быстро выходит за пределы портрета и становится научным инструментом.</x:t>
        </x:is>
      </x:c>
      <x:c r="K31" s="47" t="inlineStr">
        <x:is>
          <x:t xml:space="preserve">Daguerreotype public disclosure</x:t>
        </x:is>
      </x:c>
      <x:c r="L31" s="47" t="inlineStr">
        <x:is>
          <x:t xml:space="preserve">Astronomical and scientific photography</x:t>
        </x:is>
      </x:c>
      <x:c r="M31" s="47" t="inlineStr">
        <x:is>
          <x:t xml:space="preserve">Главная линия</x:t>
        </x:is>
      </x:c>
      <x:c r="N31" s="48" t="n">
        <x:v>3</x:v>
      </x:c>
      <x:c r="O31" s="47" t="inlineStr">
        <x:is>
          <x:t xml:space="preserve">будущие PL</x:t>
        </x:is>
      </x:c>
      <x:c r="P31" s="47" t="inlineStr">
        <x:is>
          <x:t xml:space="preserve">SRC-012</x:t>
        </x:is>
      </x:c>
      <x:c r="Q31" s="47" t="inlineStr">
        <x:is>
          <x:t xml:space="preserve">Harvard Library — History of Photography Timeline</x:t>
        </x:is>
      </x:c>
      <x:c r="R31" s="47" t="inlineStr">
        <x:is>
          <x:t xml:space="preserve">https://photographpreservationprogram.hsites.harvard.edu/harvards-history-photography-timeline-text-only</x:t>
        </x:is>
      </x:c>
      <x:c r="S31" s="48" t="n">
        <x:v>3</x:v>
      </x:c>
      <x:c r="T31" s="47" t="inlineStr">
        <x:is>
          <x:t xml:space="preserve">Будущий узел для урока о научной фотографии.</x:t>
        </x:is>
      </x:c>
      <x:c r="U31" s="47" t="inlineStr">
        <x:is>
          <x:t xml:space="preserve">Линия Париж → Нью-Йорк + Луна.</x:t>
        </x:is>
      </x:c>
      <x:c r="V31" s="47" t="inlineStr">
        <x:is>
          <x:t xml:space="preserve">#Draper #астрономия #научнаяфотография</x:t>
        </x:is>
      </x:c>
      <x:c r="W31" s="47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s="37" t="inlineStr">
        <x:is>
          <x:t xml:space="preserve">40.7128, -74.006</x:t>
        </x:is>
      </x:c>
      <x:c r="Y31" s="37" t="inlineStr">
        <x:is>
          <x:t xml:space="preserve">Научная фотография</x:t>
        </x:is>
      </x:c>
      <x:c r="Z31" s="37" t="inlineStr">
        <x:is>
          <x:t xml:space="preserve">Научное применение / пример</x:t>
        </x:is>
      </x:c>
    </x:row>
    <x:row r="32" s="38" customFormat="1" ht="30" customHeight="1">
      <x:c r="A32" s="47" t="inlineStr">
        <x:is>
          <x:t xml:space="preserve">PL-HIST-0031</x:t>
        </x:is>
      </x:c>
      <x:c r="B32" s="47" t="inlineStr">
        <x:is>
          <x:t xml:space="preserve">1841</x:t>
        </x:is>
      </x:c>
      <x:c r="C32" s="47" t="inlineStr">
        <x:is>
          <x:t xml:space="preserve">год</x:t>
        </x:is>
      </x:c>
      <x:c r="D32" s="47" t="inlineStr">
        <x:is>
          <x:t xml:space="preserve">Великобритания</x:t>
        </x:is>
      </x:c>
      <x:c r="E32" s="47" t="inlineStr">
        <x:is>
          <x:t xml:space="preserve">Лондон / Лэкок-Эбби</x:t>
        </x:is>
      </x:c>
      <x:c r="F32" s="47" t="inlineStr">
        <x:is>
          <x:t xml:space="preserve">Уильям Генри Фокс Тальбот</x:t>
        </x:is>
      </x:c>
      <x:c r="G32" s="47" t="inlineStr">
        <x:is>
          <x:t xml:space="preserve">Патентует калотип: усовершенствованный негативно-позитивный процесс на бумаге.</x:t>
        </x:is>
      </x:c>
      <x:c r="H32" s="47" t="inlineStr">
        <x:is>
          <x:t xml:space="preserve">Негатив-позитив</x:t>
        </x:is>
      </x:c>
      <x:c r="I32" s="47" t="inlineStr">
        <x:is>
          <x:t xml:space="preserve">Calotype / Talbotype</x:t>
        </x:is>
      </x:c>
      <x:c r="J32" s="47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47" t="inlineStr">
        <x:is>
          <x:t xml:space="preserve">Latent image development 1840</x:t>
        </x:is>
      </x:c>
      <x:c r="L32" s="47" t="inlineStr">
        <x:is>
          <x:t xml:space="preserve">Salted paper prints and The Pencil of Nature</x:t>
        </x:is>
      </x:c>
      <x:c r="M32" s="47" t="inlineStr">
        <x:is>
          <x:t xml:space="preserve">Главная линия</x:t>
        </x:is>
      </x:c>
      <x:c r="N32" s="48" t="n">
        <x:v>5</x:v>
      </x:c>
      <x:c r="O32" s="47" t="inlineStr">
        <x:is>
          <x:t xml:space="preserve">PL-004</x:t>
        </x:is>
      </x:c>
      <x:c r="P32" s="47" t="inlineStr">
        <x:is>
          <x:t xml:space="preserve">SRC-015</x:t>
        </x:is>
      </x:c>
      <x:c r="Q32" s="47" t="inlineStr">
        <x:is>
          <x:t xml:space="preserve">Library of Congress — Calotype and Daguerreotype</x:t>
        </x:is>
      </x:c>
      <x:c r="R32" s="47" t="inlineStr">
        <x:is>
          <x:t xml:space="preserve">https://blogs.loc.gov/teachers/2018/09/pre-civil-war-photographic-technologies-the-calotype-and-daguerreotype/</x:t>
        </x:is>
      </x:c>
      <x:c r="S32" s="48" t="n">
        <x:v>5</x:v>
      </x:c>
      <x:c r="T32" s="47" t="inlineStr">
        <x:is>
          <x:t xml:space="preserve">Ключевой тезис PL-004: калотип менее резкий, чем дагеротип, но его идея победила.</x:t>
        </x:is>
      </x:c>
      <x:c r="U32" s="47" t="inlineStr">
        <x:is>
          <x:t xml:space="preserve">Разветвление: один негатив → несколько отпечатков.</x:t>
        </x:is>
      </x:c>
      <x:c r="V32" s="47" t="inlineStr">
        <x:is>
          <x:t xml:space="preserve">#calotype #Talbot #negative-positive #PL004</x:t>
        </x:is>
      </x:c>
      <x:c r="W32" s="47" t="n"/>
      <x:c r="X32" s="37" t="inlineStr">
        <x:is>
          <x:t xml:space="preserve">51.5074, -0.1278</x:t>
        </x:is>
      </x:c>
      <x:c r="Z32" s="37" t="inlineStr">
        <x:is>
          <x:t xml:space="preserve">Технология / процесс</x:t>
        </x:is>
      </x:c>
      <x:c r="AA32" s="37" t="inlineStr">
        <x:is>
          <x:t xml:space="preserve">да</x:t>
        </x:is>
      </x:c>
    </x:row>
    <x:row r="33" s="38" customFormat="1" ht="30" customHeight="1">
      <x:c r="A33" s="47" t="inlineStr">
        <x:is>
          <x:t xml:space="preserve">PL-HIST-0032</x:t>
        </x:is>
      </x:c>
      <x:c r="B33" s="47" t="inlineStr">
        <x:is>
          <x:t xml:space="preserve">1841</x:t>
        </x:is>
      </x:c>
      <x:c r="C33" s="47" t="inlineStr">
        <x:is>
          <x:t xml:space="preserve">год</x:t>
        </x:is>
      </x:c>
      <x:c r="D33" s="47" t="inlineStr">
        <x:is>
          <x:t xml:space="preserve">Великобритания</x:t>
        </x:is>
      </x:c>
      <x:c r="E33" s="47" t="inlineStr">
        <x:is>
          <x:t xml:space="preserve">Лондон / Лэкок-Эбби</x:t>
        </x:is>
      </x:c>
      <x:c r="F33" s="47" t="inlineStr">
        <x:is>
          <x:t xml:space="preserve">Уильям Генри Фокс Тальбот</x:t>
        </x:is>
      </x:c>
      <x:c r="G33" s="47" t="inlineStr">
        <x:is>
          <x:t xml:space="preserve">Солёная бумажная печать становится практическим позитивом с бумажного негатива.</x:t>
        </x:is>
      </x:c>
      <x:c r="H33" s="47" t="inlineStr">
        <x:is>
          <x:t xml:space="preserve">Печать / тиражирование</x:t>
        </x:is>
      </x:c>
      <x:c r="I33" s="47" t="inlineStr">
        <x:is>
          <x:t xml:space="preserve">Salted paper print</x:t>
        </x:is>
      </x:c>
      <x:c r="J33" s="47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47" t="inlineStr">
        <x:is>
          <x:t xml:space="preserve">Calotype negative</x:t>
        </x:is>
      </x:c>
      <x:c r="L33" s="47" t="inlineStr">
        <x:is>
          <x:t xml:space="preserve">Pencil of Nature and albumen print</x:t>
        </x:is>
      </x:c>
      <x:c r="M33" s="47" t="inlineStr">
        <x:is>
          <x:t xml:space="preserve">Главная линия</x:t>
        </x:is>
      </x:c>
      <x:c r="N33" s="48" t="n">
        <x:v>4</x:v>
      </x:c>
      <x:c r="O33" s="47" t="inlineStr">
        <x:is>
          <x:t xml:space="preserve">PL-004</x:t>
        </x:is>
      </x:c>
      <x:c r="P33" s="47" t="inlineStr">
        <x:is>
          <x:t xml:space="preserve">SRC-020</x:t>
        </x:is>
      </x:c>
      <x:c r="Q33" s="47" t="inlineStr">
        <x:is>
          <x:t xml:space="preserve">V&amp;A — Photography Processes and Techniques</x:t>
        </x:is>
      </x:c>
      <x:c r="R33" s="47" t="inlineStr">
        <x:is>
          <x:t xml:space="preserve">https://www.vam.ac.uk/info/collection-selection-boxes-photography-processes-and-techniques</x:t>
        </x:is>
      </x:c>
      <x:c r="S33" s="48" t="n">
        <x:v>4</x:v>
      </x:c>
      <x:c r="T33" s="47" t="inlineStr">
        <x:is>
          <x:t xml:space="preserve">Для схемы: калотип — это не только негатив, но и контактная печать.</x:t>
        </x:is>
      </x:c>
      <x:c r="U33" s="47" t="inlineStr">
        <x:is>
          <x:t xml:space="preserve">Контактная рамка: негатив лежит на бумаге под стеклом.</x:t>
        </x:is>
      </x:c>
      <x:c r="V33" s="47" t="inlineStr">
        <x:is>
          <x:t xml:space="preserve">#salted-paper #print #Talbot</x:t>
        </x:is>
      </x:c>
      <x:c r="W33" s="47" t="n"/>
      <x:c r="X33" s="37" t="inlineStr">
        <x:is>
          <x:t xml:space="preserve">51.5074, -0.1278</x:t>
        </x:is>
      </x:c>
      <x:c r="Z33" s="37" t="inlineStr">
        <x:is>
          <x:t xml:space="preserve">Тиражирование / публикация</x:t>
        </x:is>
      </x:c>
    </x:row>
    <x:row r="34" s="38" customFormat="1" ht="45" customHeight="1">
      <x:c r="A34" s="47" t="inlineStr">
        <x:is>
          <x:t xml:space="preserve">PL-HIST-0033</x:t>
        </x:is>
      </x:c>
      <x:c r="B34" s="47" t="inlineStr">
        <x:is>
          <x:t xml:space="preserve">1842</x:t>
        </x:is>
      </x:c>
      <x:c r="C34" s="47" t="inlineStr">
        <x:is>
          <x:t xml:space="preserve">год</x:t>
        </x:is>
      </x:c>
      <x:c r="D34" s="47" t="inlineStr">
        <x:is>
          <x:t xml:space="preserve">Великобритания</x:t>
        </x:is>
      </x:c>
      <x:c r="E34" s="47" t="inlineStr">
        <x:is>
          <x:t xml:space="preserve">Лондон / Slough</x:t>
        </x:is>
      </x:c>
      <x:c r="F34" s="47" t="inlineStr">
        <x:is>
          <x:t xml:space="preserve">Джон Фредерик Уильям Гершель</x:t>
        </x:is>
      </x:c>
      <x:c r="G34" s="47" t="inlineStr">
        <x:is>
          <x:t xml:space="preserve">Изобретает цианотипию — железо-солевой процесс, дающий синий отпечаток.</x:t>
        </x:is>
      </x:c>
      <x:c r="H34" s="47" t="inlineStr">
        <x:is>
          <x:t xml:space="preserve">Печать / тиражирование</x:t>
        </x:is>
      </x:c>
      <x:c r="I34" s="47" t="inlineStr">
        <x:is>
          <x:t xml:space="preserve">Cyanotype</x:t>
        </x:is>
      </x:c>
      <x:c r="J34" s="47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47" t="inlineStr">
        <x:is>
          <x:t xml:space="preserve">Herschel's photochemistry</x:t>
        </x:is>
      </x:c>
      <x:c r="L34" s="47" t="inlineStr">
        <x:is>
          <x:t xml:space="preserve">Anna Atkins's photographic book</x:t>
        </x:is>
      </x:c>
      <x:c r="M34" s="47" t="inlineStr">
        <x:is>
          <x:t xml:space="preserve">Переходная технология / художественное возрождение</x:t>
        </x:is>
      </x:c>
      <x:c r="N34" s="48" t="n">
        <x:v>4</x:v>
      </x:c>
      <x:c r="O34" s="47" t="inlineStr">
        <x:is>
          <x:t xml:space="preserve">будущие PL</x:t>
        </x:is>
      </x:c>
      <x:c r="P34" s="47" t="inlineStr">
        <x:is>
          <x:t xml:space="preserve">SRC-018</x:t>
        </x:is>
      </x:c>
      <x:c r="Q34" s="47" t="inlineStr">
        <x:is>
          <x:t xml:space="preserve">HNOC — Cyanotype Process</x:t>
        </x:is>
      </x:c>
      <x:c r="R34" s="47" t="inlineStr">
        <x:is>
          <x:t xml:space="preserve">https://hnoc.org/virtual-exhibitions/from_daguerreotype_to_digital/cyanotype-process</x:t>
        </x:is>
      </x:c>
      <x:c r="S34" s="48" t="n">
        <x:v>5</x:v>
      </x:c>
      <x:c r="T34" s="47" t="inlineStr">
        <x:is>
          <x:t xml:space="preserve">Цианотипия идеальна для практического урока: простой, зрелищный процесс.</x:t>
        </x:is>
      </x:c>
      <x:c r="U34" s="47" t="inlineStr">
        <x:is>
          <x:t xml:space="preserve">Синяя ветка на карте.</x:t>
        </x:is>
      </x:c>
      <x:c r="V34" s="47" t="inlineStr">
        <x:is>
          <x:t xml:space="preserve">#cyanotype #Herschel #альтернативныйпроцесс</x:t>
        </x:is>
      </x:c>
      <x:c r="W34" s="47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s="37" t="inlineStr">
        <x:is>
          <x:t xml:space="preserve">51.5074, -0.1278</x:t>
        </x:is>
      </x:c>
      <x:c r="Y34" s="37" t="inlineStr">
        <x:is>
          <x:t xml:space="preserve">Цианотипия</x:t>
        </x:is>
      </x:c>
      <x:c r="Z34" s="37" t="inlineStr">
        <x:is>
          <x:t xml:space="preserve">Технология / процесс</x:t>
        </x:is>
      </x:c>
    </x:row>
    <x:row r="35" s="38" customFormat="1" ht="45" customHeight="1">
      <x:c r="A35" s="47" t="inlineStr">
        <x:is>
          <x:t xml:space="preserve">PL-HIST-0034</x:t>
        </x:is>
      </x:c>
      <x:c r="B35" s="47" t="inlineStr">
        <x:is>
          <x:t xml:space="preserve">1843</x:t>
        </x:is>
      </x:c>
      <x:c r="C35" s="47" t="inlineStr">
        <x:is>
          <x:t xml:space="preserve">год</x:t>
        </x:is>
      </x:c>
      <x:c r="D35" s="47" t="inlineStr">
        <x:is>
          <x:t xml:space="preserve">Великобритания</x:t>
        </x:is>
      </x:c>
      <x:c r="E35" s="47" t="inlineStr">
        <x:is>
          <x:t xml:space="preserve">Кент</x:t>
        </x:is>
      </x:c>
      <x:c r="F35" s="47" t="inlineStr">
        <x:is>
          <x:t xml:space="preserve">Анна Аткинс</x:t>
        </x:is>
      </x:c>
      <x:c r="G35" s="47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47" t="inlineStr">
        <x:is>
          <x:t xml:space="preserve">Печать / тиражирование</x:t>
        </x:is>
      </x:c>
      <x:c r="I35" s="47" t="inlineStr">
        <x:is>
          <x:t xml:space="preserve">Cyanotype photobook</x:t>
        </x:is>
      </x:c>
      <x:c r="J35" s="47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47" t="inlineStr">
        <x:is>
          <x:t xml:space="preserve">Cyanotype 1842</x:t>
        </x:is>
      </x:c>
      <x:c r="L35" s="47" t="inlineStr">
        <x:is>
          <x:t xml:space="preserve">Scientific and documentary photography</x:t>
        </x:is>
      </x:c>
      <x:c r="M35" s="47" t="inlineStr">
        <x:is>
          <x:t xml:space="preserve">Главная линия</x:t>
        </x:is>
      </x:c>
      <x:c r="N35" s="48" t="n">
        <x:v>4</x:v>
      </x:c>
      <x:c r="O35" s="47" t="inlineStr">
        <x:is>
          <x:t xml:space="preserve">будущие PL</x:t>
        </x:is>
      </x:c>
      <x:c r="P35" s="47" t="inlineStr">
        <x:is>
          <x:t xml:space="preserve">SRC-019</x:t>
        </x:is>
      </x:c>
      <x:c r="Q35" s="47" t="inlineStr">
        <x:is>
          <x:t xml:space="preserve">Natural History Museum — Anna Atkins's cyanotypes</x:t>
        </x:is>
      </x:c>
      <x:c r="R35" s="47" t="inlineStr">
        <x:is>
          <x:t xml:space="preserve">https://www.nhm.ac.uk/discover/anna-atkins-cyanotypes-the-first-book-of-photographs.html</x:t>
        </x:is>
      </x:c>
      <x:c r="S35" s="48" t="n">
        <x:v>5</x:v>
      </x:c>
      <x:c r="T35" s="47" t="inlineStr">
        <x:is>
          <x:t xml:space="preserve">Очень важный узел: женщина-фотограф, наука, книга и фотография как документ.</x:t>
        </x:is>
      </x:c>
      <x:c r="U35" s="47" t="inlineStr">
        <x:is>
          <x:t xml:space="preserve">Иконка синей книги с водорослью.</x:t>
        </x:is>
      </x:c>
      <x:c r="V35" s="47" t="inlineStr">
        <x:is>
          <x:t xml:space="preserve">#AnnaAtkins #cyanotype #photobook</x:t>
        </x:is>
      </x:c>
      <x:c r="W35" s="47" t="n"/>
      <x:c r="X35" s="37" t="inlineStr">
        <x:is>
          <x:t xml:space="preserve">51.2787, 0.5217</x:t>
        </x:is>
      </x:c>
      <x:c r="Y35" s="37" t="inlineStr">
        <x:is>
          <x:t xml:space="preserve">Фотокнига / научная документация</x:t>
        </x:is>
      </x:c>
      <x:c r="Z35" s="37" t="inlineStr">
        <x:is>
          <x:t xml:space="preserve">Тиражирование / публикация</x:t>
        </x:is>
      </x:c>
    </x:row>
    <x:row r="36" s="38" customFormat="1" ht="45" customHeight="1">
      <x:c r="A36" s="47" t="inlineStr">
        <x:is>
          <x:t xml:space="preserve">PL-HIST-0035</x:t>
        </x:is>
      </x:c>
      <x:c r="B36" s="47" t="inlineStr">
        <x:is>
          <x:t xml:space="preserve">1844</x:t>
        </x:is>
      </x:c>
      <x:c r="C36" s="47" t="inlineStr">
        <x:is>
          <x:t xml:space="preserve">год</x:t>
        </x:is>
      </x:c>
      <x:c r="D36" s="47" t="inlineStr">
        <x:is>
          <x:t xml:space="preserve">Великобритания</x:t>
        </x:is>
      </x:c>
      <x:c r="E36" s="47" t="inlineStr">
        <x:is>
          <x:t xml:space="preserve">Лондон</x:t>
        </x:is>
      </x:c>
      <x:c r="F36" s="47" t="inlineStr">
        <x:is>
          <x:t xml:space="preserve">Уильям Генри Фокс Тальбот</x:t>
        </x:is>
      </x:c>
      <x:c r="G36" s="47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47" t="inlineStr">
        <x:is>
          <x:t xml:space="preserve">Печать / тиражирование</x:t>
        </x:is>
      </x:c>
      <x:c r="I36" s="47" t="inlineStr">
        <x:is>
          <x:t xml:space="preserve">Salted paper prints from calotype negatives</x:t>
        </x:is>
      </x:c>
      <x:c r="J36" s="47" t="inlineStr">
        <x:is>
          <x:t xml:space="preserve">Фотография входит в книгу как новый способ иллюстрации и доказательства.</x:t>
        </x:is>
      </x:c>
      <x:c r="K36" s="47" t="inlineStr">
        <x:is>
          <x:t xml:space="preserve">Calotype and salted paper print</x:t>
        </x:is>
      </x:c>
      <x:c r="L36" s="47" t="inlineStr">
        <x:is>
          <x:t xml:space="preserve">Photographic publishing</x:t>
        </x:is>
      </x:c>
      <x:c r="M36" s="47" t="inlineStr">
        <x:is>
          <x:t xml:space="preserve">Главная линия</x:t>
        </x:is>
      </x:c>
      <x:c r="N36" s="48" t="n">
        <x:v>5</x:v>
      </x:c>
      <x:c r="O36" s="47" t="inlineStr">
        <x:is>
          <x:t xml:space="preserve">PL-004</x:t>
        </x:is>
      </x:c>
      <x:c r="P36" s="47" t="inlineStr">
        <x:is>
          <x:t xml:space="preserve">SRC-016</x:t>
        </x:is>
      </x:c>
      <x:c r="Q36" s="47" t="inlineStr">
        <x:is>
          <x:t xml:space="preserve">The Met — William Henry Fox Talbot</x:t>
        </x:is>
      </x:c>
      <x:c r="R36" s="47" t="inlineStr">
        <x:is>
          <x:t xml:space="preserve">https://www.metmuseum.org/essays/william-henry-fox-talbot-1800-1877-and-the-invention-of-photography</x:t>
        </x:is>
      </x:c>
      <x:c r="S36" s="48" t="n">
        <x:v>5</x:v>
      </x:c>
      <x:c r="T36" s="47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47" t="inlineStr">
        <x:is>
          <x:t xml:space="preserve">Книга, из которой выходят маленькие отпечатки.</x:t>
        </x:is>
      </x:c>
      <x:c r="V36" s="47" t="inlineStr">
        <x:is>
          <x:t xml:space="preserve">#PencilOfNature #Talbot #книга #PL004</x:t>
        </x:is>
      </x:c>
      <x:c r="W36" s="47" t="n"/>
      <x:c r="X36" s="37" t="inlineStr">
        <x:is>
          <x:t xml:space="preserve">51.5074, -0.1278</x:t>
        </x:is>
      </x:c>
      <x:c r="Y36" s="37" t="inlineStr">
        <x:is>
          <x:t xml:space="preserve">Фотокнига / тиражирование</x:t>
        </x:is>
      </x:c>
      <x:c r="Z36" s="37" t="inlineStr">
        <x:is>
          <x:t xml:space="preserve">Тиражирование / публикация</x:t>
        </x:is>
      </x:c>
    </x:row>
    <x:row r="37" s="38" customFormat="1" ht="45" customHeight="1">
      <x:c r="A37" s="47" t="inlineStr">
        <x:is>
          <x:t xml:space="preserve">PL-HIST-0036</x:t>
        </x:is>
      </x:c>
      <x:c r="B37" s="47" t="inlineStr">
        <x:is>
          <x:t xml:space="preserve">1847</x:t>
        </x:is>
      </x:c>
      <x:c r="C37" s="47" t="inlineStr">
        <x:is>
          <x:t xml:space="preserve">год</x:t>
        </x:is>
      </x:c>
      <x:c r="D37" s="47" t="inlineStr">
        <x:is>
          <x:t xml:space="preserve">США</x:t>
        </x:is>
      </x:c>
      <x:c r="E37" s="47" t="inlineStr">
        <x:is>
          <x:t xml:space="preserve">Бостон</x:t>
        </x:is>
      </x:c>
      <x:c r="F37" s="47" t="inlineStr">
        <x:is>
          <x:t xml:space="preserve">Southworth &amp; Hawes</x:t>
        </x:is>
      </x:c>
      <x:c r="G37" s="47" t="inlineStr">
        <x:is>
          <x:t xml:space="preserve">Создают дагеротипы медицинских операций с эфирной анестезией в Massachusetts General Hospital.</x:t>
        </x:is>
      </x:c>
      <x:c r="H37" s="47" t="inlineStr">
        <x:is>
          <x:t xml:space="preserve">Дагеротип</x:t>
        </x:is>
      </x:c>
      <x:c r="I37" s="47" t="inlineStr">
        <x:is>
          <x:t xml:space="preserve">Daguerreotype documentation</x:t>
        </x:is>
      </x:c>
      <x:c r="J37" s="47" t="inlineStr">
        <x:is>
          <x:t xml:space="preserve">Фотография быстро становится инструментом медицинского и научного свидетельства.</x:t>
        </x:is>
      </x:c>
      <x:c r="K37" s="47" t="inlineStr">
        <x:is>
          <x:t xml:space="preserve">Daguerreotype portrait/studio practice</x:t>
        </x:is>
      </x:c>
      <x:c r="L37" s="47" t="inlineStr">
        <x:is>
          <x:t xml:space="preserve">Documentary and medical photography</x:t>
        </x:is>
      </x:c>
      <x:c r="M37" s="47" t="inlineStr">
        <x:is>
          <x:t xml:space="preserve">Главная линия</x:t>
        </x:is>
      </x:c>
      <x:c r="N37" s="48" t="n">
        <x:v>3</x:v>
      </x:c>
      <x:c r="O37" s="47" t="inlineStr">
        <x:is>
          <x:t xml:space="preserve">будущие PL</x:t>
        </x:is>
      </x:c>
      <x:c r="P37" s="47" t="inlineStr">
        <x:is>
          <x:t xml:space="preserve">SRC-012</x:t>
        </x:is>
      </x:c>
      <x:c r="Q37" s="47" t="inlineStr">
        <x:is>
          <x:t xml:space="preserve">Harvard Library — History of Photography Timeline</x:t>
        </x:is>
      </x:c>
      <x:c r="R37" s="47" t="inlineStr">
        <x:is>
          <x:t xml:space="preserve">https://photographpreservationprogram.hsites.harvard.edu/harvards-history-photography-timeline-text-only</x:t>
        </x:is>
      </x:c>
      <x:c r="S37" s="48" t="n">
        <x:v>4</x:v>
      </x:c>
      <x:c r="T37" s="47" t="inlineStr">
        <x:is>
          <x:t xml:space="preserve">Этот узел можно оставить для будущего урока о документальности фотографии.</x:t>
        </x:is>
      </x:c>
      <x:c r="U37" s="47" t="inlineStr">
        <x:is>
          <x:t xml:space="preserve">Иконка больницы/операционной + дагеротип.</x:t>
        </x:is>
      </x:c>
      <x:c r="V37" s="47" t="inlineStr">
        <x:is>
          <x:t xml:space="preserve">#medical-photography #daguerreotype #Boston</x:t>
        </x:is>
      </x:c>
      <x:c r="W37" s="47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s="37" t="inlineStr">
        <x:is>
          <x:t xml:space="preserve">42.3601, -71.0589</x:t>
        </x:is>
      </x:c>
      <x:c r="Y37" s="37" t="inlineStr">
        <x:is>
          <x:t xml:space="preserve">Научная / медицинская фотография</x:t>
        </x:is>
      </x:c>
      <x:c r="Z37" s="37" t="inlineStr">
        <x:is>
          <x:t xml:space="preserve">Научное применение / пример</x:t>
        </x:is>
      </x:c>
    </x:row>
    <x:row r="38" s="38" customFormat="1" ht="30" customHeight="1">
      <x:c r="A38" s="47" t="inlineStr">
        <x:is>
          <x:t xml:space="preserve">PL-HIST-0037</x:t>
        </x:is>
      </x:c>
      <x:c r="B38" s="47" t="inlineStr">
        <x:is>
          <x:t xml:space="preserve">1847</x:t>
        </x:is>
      </x:c>
      <x:c r="C38" s="47" t="inlineStr">
        <x:is>
          <x:t xml:space="preserve">год</x:t>
        </x:is>
      </x:c>
      <x:c r="D38" s="47" t="inlineStr">
        <x:is>
          <x:t xml:space="preserve">Франция</x:t>
        </x:is>
      </x:c>
      <x:c r="E38" s="47" t="inlineStr">
        <x:is>
          <x:t xml:space="preserve">Лилль / Париж</x:t>
        </x:is>
      </x:c>
      <x:c r="F38" s="47" t="inlineStr">
        <x:is>
          <x:t xml:space="preserve">Луи-Дезире Бланкар-Эврар</x:t>
        </x:is>
      </x:c>
      <x:c r="G38" s="47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47" t="inlineStr">
        <x:is>
          <x:t xml:space="preserve">Печать / тиражирование</x:t>
        </x:is>
      </x:c>
      <x:c r="I38" s="47" t="inlineStr">
        <x:is>
          <x:t xml:space="preserve">Paper negative-positive process</x:t>
        </x:is>
      </x:c>
      <x:c r="J38" s="47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47" t="inlineStr">
        <x:is>
          <x:t xml:space="preserve">Talbot calotype influence</x:t>
        </x:is>
      </x:c>
      <x:c r="L38" s="47" t="inlineStr">
        <x:is>
          <x:t xml:space="preserve">Albumen paper 1850</x:t>
        </x:is>
      </x:c>
      <x:c r="M38" s="47" t="inlineStr">
        <x:is>
          <x:t xml:space="preserve">Главная линия</x:t>
        </x:is>
      </x:c>
      <x:c r="N38" s="48" t="n">
        <x:v>3</x:v>
      </x:c>
      <x:c r="O38" s="47" t="inlineStr">
        <x:is>
          <x:t xml:space="preserve">будущие PL</x:t>
        </x:is>
      </x:c>
      <x:c r="P38" s="47" t="inlineStr">
        <x:is>
          <x:t xml:space="preserve">SRC-017</x:t>
        </x:is>
      </x:c>
      <x:c r="Q38" s="47" t="inlineStr">
        <x:is>
          <x:t xml:space="preserve">Getty — Sir John F. W. Herschel</x:t>
        </x:is>
      </x:c>
      <x:c r="R38" s="47" t="inlineStr">
        <x:is>
          <x:t xml:space="preserve">https://www.getty.edu/art/collection/person/103KHK</x:t>
        </x:is>
      </x:c>
      <x:c r="S38" s="48" t="n">
        <x:v>2</x:v>
      </x:c>
      <x:c r="T38" s="47" t="inlineStr">
        <x:is>
          <x:t xml:space="preserve">Пока источник не идеален; оставить как узел на доработку.</x:t>
        </x:is>
      </x:c>
      <x:c r="U38" s="47" t="inlineStr">
        <x:is>
          <x:t xml:space="preserve">Франция получает ответвление бумажной печати.</x:t>
        </x:is>
      </x:c>
      <x:c r="V38" s="47" t="inlineStr">
        <x:is>
          <x:t xml:space="preserve">#BlanquartEvrard #France #paper-process</x:t>
        </x:is>
      </x:c>
      <x:c r="W38" s="47" t="inlineStr">
        <x:is>
          <x:t xml:space="preserve">Найти лучший источник по 1847 публикации Бланкара-Эврара.</x:t>
        </x:is>
      </x:c>
      <x:c r="X38" s="37" t="inlineStr">
        <x:is>
          <x:t xml:space="preserve">50.6292, 3.0573</x:t>
        </x:is>
      </x:c>
      <x:c r="Z38" s="37" t="inlineStr">
        <x:is>
          <x:t xml:space="preserve">Распространение / коммерциализация</x:t>
        </x:is>
      </x:c>
    </x:row>
    <x:row r="39" s="38" customFormat="1" ht="30" customHeight="1">
      <x:c r="A39" s="47" t="inlineStr">
        <x:is>
          <x:t xml:space="preserve">PL-HIST-0038</x:t>
        </x:is>
      </x:c>
      <x:c r="B39" s="47" t="inlineStr">
        <x:is>
          <x:t xml:space="preserve">1848</x:t>
        </x:is>
      </x:c>
      <x:c r="C39" s="47" t="inlineStr">
        <x:is>
          <x:t xml:space="preserve">год</x:t>
        </x:is>
      </x:c>
      <x:c r="D39" s="47" t="inlineStr">
        <x:is>
          <x:t xml:space="preserve">Франция</x:t>
        </x:is>
      </x:c>
      <x:c r="E39" s="47" t="inlineStr">
        <x:is>
          <x:t xml:space="preserve">Париж</x:t>
        </x:is>
      </x:c>
      <x:c r="F39" s="47" t="inlineStr">
        <x:is>
          <x:t xml:space="preserve">Эдмон Беккерель</x:t>
        </x:is>
      </x:c>
      <x:c r="G39" s="47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47" t="inlineStr">
        <x:is>
          <x:t xml:space="preserve">Цвет</x:t>
        </x:is>
      </x:c>
      <x:c r="I39" s="47" t="inlineStr">
        <x:is>
          <x:t xml:space="preserve">Early colour photography / photochromatic images</x:t>
        </x:is>
      </x:c>
      <x:c r="J39" s="47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47" t="inlineStr">
        <x:is>
          <x:t xml:space="preserve">Silver-based photochemistry</x:t>
        </x:is>
      </x:c>
      <x:c r="L39" s="47" t="inlineStr">
        <x:is>
          <x:t xml:space="preserve">Autochrome and later colour processes</x:t>
        </x:is>
      </x:c>
      <x:c r="M39" s="47" t="inlineStr">
        <x:is>
          <x:t xml:space="preserve">Исторически важная ограниченная ветка</x:t>
        </x:is>
      </x:c>
      <x:c r="N39" s="48" t="n">
        <x:v>3</x:v>
      </x:c>
      <x:c r="O39" s="47" t="inlineStr">
        <x:is>
          <x:t xml:space="preserve">будущие PL</x:t>
        </x:is>
      </x:c>
      <x:c r="P39" s="47" t="inlineStr">
        <x:is>
          <x:t xml:space="preserve">SRC-025</x:t>
        </x:is>
      </x:c>
      <x:c r="Q39" s="47" t="inlineStr">
        <x:is>
          <x:t xml:space="preserve">Getty Conservation Institute — Atlas: Salt Print PDF</x:t>
        </x:is>
      </x:c>
      <x:c r="R39" s="47" t="inlineStr">
        <x:is>
          <x:t xml:space="preserve">https://www.getty.edu/conservation/publications_resources/pdf_publications/pdf/atlas_saltprint.pdf</x:t>
        </x:is>
      </x:c>
      <x:c r="S39" s="48" t="n">
        <x:v>3</x:v>
      </x:c>
      <x:c r="T39" s="47" t="inlineStr">
        <x:is>
          <x:t xml:space="preserve">На карте: цвет появился рано, но не сразу стал удобным.</x:t>
        </x:is>
      </x:c>
      <x:c r="U39" s="47" t="inlineStr">
        <x:is>
          <x:t xml:space="preserve">Пунктирная цветная ветка от серебряной химии.</x:t>
        </x:is>
      </x:c>
      <x:c r="V39" s="47" t="inlineStr">
        <x:is>
          <x:t xml:space="preserve">#color #Becquerel #раннийцвет</x:t>
        </x:is>
      </x:c>
      <x:c r="W39" s="47" t="inlineStr">
        <x:is>
          <x:t xml:space="preserve">Лучше заменить на специализированный музейный источник по Becquerel.</x:t>
        </x:is>
      </x:c>
      <x:c r="X39" s="37" t="inlineStr">
        <x:is>
          <x:t xml:space="preserve">48.8566, 2.3522</x:t>
        </x:is>
      </x:c>
      <x:c r="Z39" s="37" t="inlineStr">
        <x:is>
          <x:t xml:space="preserve">Технология / процесс</x:t>
        </x:is>
      </x:c>
    </x:row>
    <x:row r="40" s="38" customFormat="1" ht="30" customHeight="1">
      <x:c r="A40" s="47" t="inlineStr">
        <x:is>
          <x:t xml:space="preserve">PL-HIST-0039</x:t>
        </x:is>
      </x:c>
      <x:c r="B40" s="47" t="inlineStr">
        <x:is>
          <x:t xml:space="preserve">1848</x:t>
        </x:is>
      </x:c>
      <x:c r="C40" s="47" t="inlineStr">
        <x:is>
          <x:t xml:space="preserve">год</x:t>
        </x:is>
      </x:c>
      <x:c r="D40" s="47" t="inlineStr">
        <x:is>
          <x:t xml:space="preserve">США</x:t>
        </x:is>
      </x:c>
      <x:c r="E40" s="47" t="inlineStr">
        <x:is>
          <x:t xml:space="preserve">Филадельфия</x:t>
        </x:is>
      </x:c>
      <x:c r="F40" s="47" t="inlineStr">
        <x:is>
          <x:t xml:space="preserve">Братья Лангенхайм</x:t>
        </x:is>
      </x:c>
      <x:c r="G40" s="47" t="inlineStr">
        <x:is>
          <x:t xml:space="preserve">Вводят первые фотографические фонарные слайды.</x:t>
        </x:is>
      </x:c>
      <x:c r="H40" s="47" t="inlineStr">
        <x:is>
          <x:t xml:space="preserve">Проекция / распространение</x:t>
        </x:is>
      </x:c>
      <x:c r="I40" s="47" t="inlineStr">
        <x:is>
          <x:t xml:space="preserve">Photographic lantern slide</x:t>
        </x:is>
      </x:c>
      <x:c r="J40" s="47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47" t="inlineStr">
        <x:is>
          <x:t xml:space="preserve">Daguerreotype and glass support experimentation</x:t>
        </x:is>
      </x:c>
      <x:c r="L40" s="47" t="inlineStr">
        <x:is>
          <x:t xml:space="preserve">Educational projection and slide culture</x:t>
        </x:is>
      </x:c>
      <x:c r="M40" s="47" t="inlineStr">
        <x:is>
          <x:t xml:space="preserve">Переходная технология</x:t>
        </x:is>
      </x:c>
      <x:c r="N40" s="48" t="n">
        <x:v>3</x:v>
      </x:c>
      <x:c r="O40" s="47" t="inlineStr">
        <x:is>
          <x:t xml:space="preserve">будущие PL</x:t>
        </x:is>
      </x:c>
      <x:c r="P40" s="47" t="inlineStr">
        <x:is>
          <x:t xml:space="preserve">SRC-012</x:t>
        </x:is>
      </x:c>
      <x:c r="Q40" s="47" t="inlineStr">
        <x:is>
          <x:t xml:space="preserve">Harvard Library — History of Photography Timeline</x:t>
        </x:is>
      </x:c>
      <x:c r="R40" s="47" t="inlineStr">
        <x:is>
          <x:t xml:space="preserve">https://photographpreservationprogram.hsites.harvard.edu/harvards-history-photography-timeline-text-only</x:t>
        </x:is>
      </x:c>
      <x:c r="S40" s="48" t="n">
        <x:v>4</x:v>
      </x:c>
      <x:c r="T40" s="47" t="inlineStr">
        <x:is>
          <x:t xml:space="preserve">Хороший узел для темы распространения изображений до кино и презентаций.</x:t>
        </x:is>
      </x:c>
      <x:c r="U40" s="47" t="inlineStr">
        <x:is>
          <x:t xml:space="preserve">Фонарный проектор + экран.</x:t>
        </x:is>
      </x:c>
      <x:c r="V40" s="47" t="inlineStr">
        <x:is>
          <x:t xml:space="preserve">#lantern-slide #projection #Langenheim</x:t>
        </x:is>
      </x:c>
      <x:c r="W40" s="47" t="n"/>
      <x:c r="X40" s="37" t="inlineStr">
        <x:is>
          <x:t xml:space="preserve">39.9526, -75.1652</x:t>
        </x:is>
      </x:c>
      <x:c r="Z40" s="37" t="inlineStr">
        <x:is>
          <x:t xml:space="preserve">Распространение / коммерциализация</x:t>
        </x:is>
      </x:c>
    </x:row>
    <x:row r="41" s="38" customFormat="1" ht="30" customHeight="1">
      <x:c r="A41" s="47" t="inlineStr">
        <x:is>
          <x:t xml:space="preserve">PL-HIST-0040</x:t>
        </x:is>
      </x:c>
      <x:c r="B41" s="47" t="inlineStr">
        <x:is>
          <x:t xml:space="preserve">1850</x:t>
        </x:is>
      </x:c>
      <x:c r="C41" s="47" t="inlineStr">
        <x:is>
          <x:t xml:space="preserve">год</x:t>
        </x:is>
      </x:c>
      <x:c r="D41" s="47" t="inlineStr">
        <x:is>
          <x:t xml:space="preserve">Франция</x:t>
        </x:is>
      </x:c>
      <x:c r="E41" s="47" t="inlineStr">
        <x:is>
          <x:t xml:space="preserve">Лилль</x:t>
        </x:is>
      </x:c>
      <x:c r="F41" s="47" t="inlineStr">
        <x:is>
          <x:t xml:space="preserve">Луи-Дезире Бланкар-Эврар</x:t>
        </x:is>
      </x:c>
      <x:c r="G41" s="47" t="inlineStr">
        <x:is>
          <x:t xml:space="preserve">Изобретает альбуминовую печать, которая станет ведущим типом фотопечати XIX века.</x:t>
        </x:is>
      </x:c>
      <x:c r="H41" s="47" t="inlineStr">
        <x:is>
          <x:t xml:space="preserve">Печать / тиражирование</x:t>
        </x:is>
      </x:c>
      <x:c r="I41" s="47" t="inlineStr">
        <x:is>
          <x:t xml:space="preserve">Albumen print</x:t>
        </x:is>
      </x:c>
      <x:c r="J41" s="47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47" t="inlineStr">
        <x:is>
          <x:t xml:space="preserve">Salted paper print</x:t>
        </x:is>
      </x:c>
      <x:c r="L41" s="47" t="inlineStr">
        <x:is>
          <x:t xml:space="preserve">Wet collodion negative + albumen print dominance</x:t>
        </x:is>
      </x:c>
      <x:c r="M41" s="47" t="inlineStr">
        <x:is>
          <x:t xml:space="preserve">Главная линия</x:t>
        </x:is>
      </x:c>
      <x:c r="N41" s="48" t="n">
        <x:v>5</x:v>
      </x:c>
      <x:c r="O41" s="47" t="inlineStr">
        <x:is>
          <x:t xml:space="preserve">будущие PL</x:t>
        </x:is>
      </x:c>
      <x:c r="P41" s="47" t="inlineStr">
        <x:is>
          <x:t xml:space="preserve">SRC-020</x:t>
        </x:is>
      </x:c>
      <x:c r="Q41" s="47" t="inlineStr">
        <x:is>
          <x:t xml:space="preserve">V&amp;A — Photography Processes and Techniques</x:t>
        </x:is>
      </x:c>
      <x:c r="R41" s="47" t="inlineStr">
        <x:is>
          <x:t xml:space="preserve">https://www.vam.ac.uk/info/collection-selection-boxes-photography-processes-and-techniques</x:t>
        </x:is>
      </x:c>
      <x:c r="S41" s="48" t="n">
        <x:v>5</x:v>
      </x:c>
      <x:c r="T41" s="47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47" t="inlineStr">
        <x:is>
          <x:t xml:space="preserve">Яичный белок/лист бумаги + стеклянный негатив.</x:t>
        </x:is>
      </x:c>
      <x:c r="V41" s="47" t="inlineStr">
        <x:is>
          <x:t xml:space="preserve">#albumen #print #BlanquartEvrard</x:t>
        </x:is>
      </x:c>
      <x:c r="W41" s="47" t="n"/>
      <x:c r="X41" s="37" t="inlineStr">
        <x:is>
          <x:t xml:space="preserve">50.6292, 3.0573</x:t>
        </x:is>
      </x:c>
      <x:c r="Z41" s="37" t="inlineStr">
        <x:is>
          <x:t xml:space="preserve">Тиражирование / публикация</x:t>
        </x:is>
      </x:c>
    </x:row>
    <x:row r="42" s="38" customFormat="1" ht="45" customHeight="1">
      <x:c r="A42" s="47" t="inlineStr">
        <x:is>
          <x:t xml:space="preserve">PL-HIST-0041</x:t>
        </x:is>
      </x:c>
      <x:c r="B42" s="47" t="inlineStr">
        <x:is>
          <x:t xml:space="preserve">1851</x:t>
        </x:is>
      </x:c>
      <x:c r="C42" s="47" t="inlineStr">
        <x:is>
          <x:t xml:space="preserve">год</x:t>
        </x:is>
      </x:c>
      <x:c r="D42" s="47" t="inlineStr">
        <x:is>
          <x:t xml:space="preserve">Великобритания</x:t>
        </x:is>
      </x:c>
      <x:c r="E42" s="47" t="inlineStr">
        <x:is>
          <x:t xml:space="preserve">Лондон</x:t>
        </x:is>
      </x:c>
      <x:c r="F42" s="47" t="inlineStr">
        <x:is>
          <x:t xml:space="preserve">Фредерик Скотт Арчер</x:t>
        </x:is>
      </x:c>
      <x:c r="G42" s="47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47" t="inlineStr">
        <x:is>
          <x:t xml:space="preserve">Мокрый коллодий</x:t>
        </x:is>
      </x:c>
      <x:c r="I42" s="47" t="inlineStr">
        <x:is>
          <x:t xml:space="preserve">Wet collodion glass negative</x:t>
        </x:is>
      </x:c>
      <x:c r="J42" s="47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47" t="inlineStr">
        <x:is>
          <x:t xml:space="preserve">Daguerreotype sharpness + calotype reproducibility problem</x:t>
        </x:is>
      </x:c>
      <x:c r="L42" s="47" t="inlineStr">
        <x:is>
          <x:t xml:space="preserve">Albumen prints, ambrotypes, tintypes, documentary photography</x:t>
        </x:is>
      </x:c>
      <x:c r="M42" s="47" t="inlineStr">
        <x:is>
          <x:t xml:space="preserve">Главная линия / временная доминирующая линия</x:t>
        </x:is>
      </x:c>
      <x:c r="N42" s="48" t="n">
        <x:v>5</x:v>
      </x:c>
      <x:c r="O42" s="47" t="inlineStr">
        <x:is>
          <x:t xml:space="preserve">PL-005</x:t>
        </x:is>
      </x:c>
      <x:c r="P42" s="47" t="inlineStr">
        <x:is>
          <x:t xml:space="preserve">SRC-021</x:t>
        </x:is>
      </x:c>
      <x:c r="Q42" s="47" t="inlineStr">
        <x:is>
          <x:t xml:space="preserve">National Science and Media Museum — Frederick Scott Archer</x:t>
        </x:is>
      </x:c>
      <x:c r="R42" s="47" t="inlineStr">
        <x:is>
          <x:t xml:space="preserve">https://blog.scienceandmediamuseum.org.uk/photography-a-z-frederick-scott-archer-wet-collodion-process/</x:t>
        </x:is>
      </x:c>
      <x:c r="S42" s="48" t="n">
        <x:v>5</x:v>
      </x:c>
      <x:c r="T42" s="47" t="inlineStr">
        <x:is>
          <x:t xml:space="preserve">Ключ PL-005: резкость дагеротипа и тираж калотипа наконец встретились.</x:t>
        </x:is>
      </x:c>
      <x:c r="U42" s="47" t="inlineStr">
        <x:is>
          <x:t xml:space="preserve">Главный узел: стеклянная влажная пластина + таймер 15 минут.</x:t>
        </x:is>
      </x:c>
      <x:c r="V42" s="47" t="inlineStr">
        <x:is>
          <x:t xml:space="preserve">#wet-collodion #Archer #PL005</x:t>
        </x:is>
      </x:c>
      <x:c r="W42" s="47" t="n"/>
      <x:c r="X42" s="37" t="inlineStr">
        <x:is>
          <x:t xml:space="preserve">51.5074, -0.1278</x:t>
        </x:is>
      </x:c>
      <x:c r="Z42" s="37" t="inlineStr">
        <x:is>
          <x:t xml:space="preserve">Технология / процесс</x:t>
        </x:is>
      </x:c>
      <x:c r="AA42" s="37" t="inlineStr">
        <x:is>
          <x:t xml:space="preserve">да</x:t>
        </x:is>
      </x:c>
    </x:row>
    <x:row r="43" s="38" customFormat="1" ht="45" customHeight="1">
      <x:c r="A43" s="47" t="inlineStr">
        <x:is>
          <x:t xml:space="preserve">PL-HIST-0042</x:t>
        </x:is>
      </x:c>
      <x:c r="B43" s="47" t="inlineStr">
        <x:is>
          <x:t xml:space="preserve">1851–1880-е</x:t>
        </x:is>
      </x:c>
      <x:c r="C43" s="47" t="inlineStr">
        <x:is>
          <x:t xml:space="preserve">диапазон</x:t>
        </x:is>
      </x:c>
      <x:c r="D43" s="47" t="inlineStr">
        <x:is>
          <x:t xml:space="preserve">Великобритания / глобально</x:t>
        </x:is>
      </x:c>
      <x:c r="E43" s="47" t="inlineStr">
        <x:is>
          <x:t xml:space="preserve">Лондон → Европа / Америка</x:t>
        </x:is>
      </x:c>
      <x:c r="F43" s="47" t="inlineStr">
        <x:is>
          <x:t xml:space="preserve">Фотографы мокрого коллодия</x:t>
        </x:is>
      </x:c>
      <x:c r="G43" s="47" t="inlineStr">
        <x:is>
          <x:t xml:space="preserve">Мокрый коллодий становится доминирующим процессом на несколько десятилетий.</x:t>
        </x:is>
      </x:c>
      <x:c r="H43" s="47" t="inlineStr">
        <x:is>
          <x:t xml:space="preserve">Мокрый коллодий</x:t>
        </x:is>
      </x:c>
      <x:c r="I43" s="47" t="inlineStr">
        <x:is>
          <x:t xml:space="preserve">Wet collodion negative</x:t>
        </x:is>
      </x:c>
      <x:c r="J43" s="47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47" t="inlineStr">
        <x:is>
          <x:t xml:space="preserve">Archer's publication</x:t>
        </x:is>
      </x:c>
      <x:c r="L43" s="47" t="inlineStr">
        <x:is>
          <x:t xml:space="preserve">Dry plates replace wet collodion later</x:t>
        </x:is>
      </x:c>
      <x:c r="M43" s="47" t="inlineStr">
        <x:is>
          <x:t xml:space="preserve">Временная доминирующая линия</x:t>
        </x:is>
      </x:c>
      <x:c r="N43" s="48" t="n">
        <x:v>5</x:v>
      </x:c>
      <x:c r="O43" s="47" t="inlineStr">
        <x:is>
          <x:t xml:space="preserve">PL-005</x:t>
        </x:is>
      </x:c>
      <x:c r="P43" s="47" t="inlineStr">
        <x:is>
          <x:t xml:space="preserve">SRC-021</x:t>
        </x:is>
      </x:c>
      <x:c r="Q43" s="47" t="inlineStr">
        <x:is>
          <x:t xml:space="preserve">National Science and Media Museum — Frederick Scott Archer</x:t>
        </x:is>
      </x:c>
      <x:c r="R43" s="47" t="inlineStr">
        <x:is>
          <x:t xml:space="preserve">https://blog.scienceandmediamuseum.org.uk/photography-a-z-frederick-scott-archer-wet-collodion-process/</x:t>
        </x:is>
      </x:c>
      <x:c r="S43" s="48" t="n">
        <x:v>5</x:v>
      </x:c>
      <x:c r="T43" s="47" t="inlineStr">
        <x:is>
          <x:t xml:space="preserve">Важно: это не тупик сразу; это главный мост середины XIX века.</x:t>
        </x:is>
      </x:c>
      <x:c r="U43" s="47" t="inlineStr">
        <x:is>
          <x:t xml:space="preserve">Широкие линии от Лондона по Европе и Америке.</x:t>
        </x:is>
      </x:c>
      <x:c r="V43" s="47" t="inlineStr">
        <x:is>
          <x:t xml:space="preserve">#wet-collodion #dominant-process #PL005</x:t>
        </x:is>
      </x:c>
      <x:c r="W43" s="47" t="n"/>
      <x:c r="X43" s="37" t="inlineStr">
        <x:is>
          <x:t xml:space="preserve">51.5074, -0.1278</x:t>
        </x:is>
      </x:c>
      <x:c r="Y43" s="37" t="inlineStr">
        <x:is>
          <x:t xml:space="preserve">Мокрый коллодий / распространение</x:t>
        </x:is>
      </x:c>
      <x:c r="Z43" s="37" t="inlineStr">
        <x:is>
          <x:t xml:space="preserve">Распространение / коммерциализация</x:t>
        </x:is>
      </x:c>
    </x:row>
    <x:row r="44" s="38" customFormat="1" ht="45" customHeight="1">
      <x:c r="A44" s="47" t="inlineStr">
        <x:is>
          <x:t xml:space="preserve">PL-HIST-0043</x:t>
        </x:is>
      </x:c>
      <x:c r="B44" s="47" t="inlineStr">
        <x:is>
          <x:t xml:space="preserve">1851</x:t>
        </x:is>
      </x:c>
      <x:c r="C44" s="47" t="inlineStr">
        <x:is>
          <x:t xml:space="preserve">год</x:t>
        </x:is>
      </x:c>
      <x:c r="D44" s="47" t="inlineStr">
        <x:is>
          <x:t xml:space="preserve">Великобритания</x:t>
        </x:is>
      </x:c>
      <x:c r="E44" s="47" t="inlineStr">
        <x:is>
          <x:t xml:space="preserve">Лондон</x:t>
        </x:is>
      </x:c>
      <x:c r="F44" s="47" t="inlineStr">
        <x:is>
          <x:t xml:space="preserve">Фредерик Скотт Арчер</x:t>
        </x:is>
      </x:c>
      <x:c r="G44" s="47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47" t="inlineStr">
        <x:is>
          <x:t xml:space="preserve">Мокрый коллодий</x:t>
        </x:is>
      </x:c>
      <x:c r="I44" s="47" t="inlineStr">
        <x:is>
          <x:t xml:space="preserve">Collodion + silver nitrate</x:t>
        </x:is>
      </x:c>
      <x:c r="J44" s="47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47" t="inlineStr">
        <x:is>
          <x:t xml:space="preserve">Photographic chemistry and glass supports</x:t>
        </x:is>
      </x:c>
      <x:c r="L44" s="47" t="inlineStr">
        <x:is>
          <x:t xml:space="preserve">Portable darkrooms and field photography</x:t>
        </x:is>
      </x:c>
      <x:c r="M44" s="47" t="inlineStr">
        <x:is>
          <x:t xml:space="preserve">Главная линия / временная доминирующая линия</x:t>
        </x:is>
      </x:c>
      <x:c r="N44" s="48" t="n">
        <x:v>5</x:v>
      </x:c>
      <x:c r="O44" s="47" t="inlineStr">
        <x:is>
          <x:t xml:space="preserve">PL-005</x:t>
        </x:is>
      </x:c>
      <x:c r="P44" s="47" t="inlineStr">
        <x:is>
          <x:t xml:space="preserve">SRC-021</x:t>
        </x:is>
      </x:c>
      <x:c r="Q44" s="47" t="inlineStr">
        <x:is>
          <x:t xml:space="preserve">National Science and Media Museum — Frederick Scott Archer</x:t>
        </x:is>
      </x:c>
      <x:c r="R44" s="47" t="inlineStr">
        <x:is>
          <x:t xml:space="preserve">https://blog.scienceandmediamuseum.org.uk/photography-a-z-frederick-scott-archer-wet-collodion-process/</x:t>
        </x:is>
      </x:c>
      <x:c r="S44" s="48" t="n">
        <x:v>5</x:v>
      </x:c>
      <x:c r="T44" s="47" t="inlineStr">
        <x:is>
          <x:t xml:space="preserve">Для урока: здесь появляется драматургия «15 минут, пока пластина влажная».</x:t>
        </x:is>
      </x:c>
      <x:c r="U44" s="47" t="inlineStr">
        <x:is>
          <x:t xml:space="preserve">Схема-алгоритм из 5 шагов вокруг стеклянной пластины.</x:t>
        </x:is>
      </x:c>
      <x:c r="V44" s="47" t="inlineStr">
        <x:is>
          <x:t xml:space="preserve">#химия #коллодий #стекло #PL005</x:t>
        </x:is>
      </x:c>
      <x:c r="W44" s="47" t="n"/>
      <x:c r="X44" s="37" t="inlineStr">
        <x:is>
          <x:t xml:space="preserve">51.5074, -0.1278</x:t>
        </x:is>
      </x:c>
      <x:c r="Y44" s="37" t="inlineStr">
        <x:is>
          <x:t xml:space="preserve">Мокрый коллодий / химия</x:t>
        </x:is>
      </x:c>
      <x:c r="Z44" s="37" t="inlineStr">
        <x:is>
          <x:t xml:space="preserve">Технология / процесс</x:t>
        </x:is>
      </x:c>
    </x:row>
    <x:row r="45" s="38" customFormat="1" ht="30" customHeight="1">
      <x:c r="A45" s="47" t="inlineStr">
        <x:is>
          <x:t xml:space="preserve">PL-HIST-0044</x:t>
        </x:is>
      </x:c>
      <x:c r="B45" s="47" t="inlineStr">
        <x:is>
          <x:t xml:space="preserve">1853</x:t>
        </x:is>
      </x:c>
      <x:c r="C45" s="47" t="inlineStr">
        <x:is>
          <x:t xml:space="preserve">год</x:t>
        </x:is>
      </x:c>
      <x:c r="D45" s="47" t="inlineStr">
        <x:is>
          <x:t xml:space="preserve">Великобритания</x:t>
        </x:is>
      </x:c>
      <x:c r="E45" s="47" t="inlineStr">
        <x:is>
          <x:t xml:space="preserve">Лондон</x:t>
        </x:is>
      </x:c>
      <x:c r="F45" s="47" t="inlineStr">
        <x:is>
          <x:t xml:space="preserve">Фредерик Скотт Арчер</x:t>
        </x:is>
      </x:c>
      <x:c r="G45" s="47" t="inlineStr">
        <x:is>
          <x:t xml:space="preserve">Демонстрирует складную коллодионную камеру, совмещённую с мини-тёмной комнатой.</x:t>
        </x:is>
      </x:c>
      <x:c r="H45" s="47" t="inlineStr">
        <x:is>
          <x:t xml:space="preserve">Мокрый коллодий</x:t>
        </x:is>
      </x:c>
      <x:c r="I45" s="47" t="inlineStr">
        <x:is>
          <x:t xml:space="preserve">Folding collodion camera / portable darkroom</x:t>
        </x:is>
      </x:c>
      <x:c r="J45" s="47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47" t="inlineStr">
        <x:is>
          <x:t xml:space="preserve">Wet collodion process 1851</x:t>
        </x:is>
      </x:c>
      <x:c r="L45" s="47" t="inlineStr">
        <x:is>
          <x:t xml:space="preserve">Field photography and mobile darkrooms</x:t>
        </x:is>
      </x:c>
      <x:c r="M45" s="47" t="inlineStr">
        <x:is>
          <x:t xml:space="preserve">Переходная технология</x:t>
        </x:is>
      </x:c>
      <x:c r="N45" s="48" t="n">
        <x:v>4</x:v>
      </x:c>
      <x:c r="O45" s="47" t="inlineStr">
        <x:is>
          <x:t xml:space="preserve">PL-005</x:t>
        </x:is>
      </x:c>
      <x:c r="P45" s="47" t="inlineStr">
        <x:is>
          <x:t xml:space="preserve">SRC-021</x:t>
        </x:is>
      </x:c>
      <x:c r="Q45" s="47" t="inlineStr">
        <x:is>
          <x:t xml:space="preserve">National Science and Media Museum — Frederick Scott Archer</x:t>
        </x:is>
      </x:c>
      <x:c r="R45" s="47" t="inlineStr">
        <x:is>
          <x:t xml:space="preserve">https://blog.scienceandmediamuseum.org.uk/photography-a-z-frederick-scott-archer-wet-collodion-process/</x:t>
        </x:is>
      </x:c>
      <x:c r="S45" s="48" t="n">
        <x:v>5</x:v>
      </x:c>
      <x:c r="T45" s="47" t="inlineStr">
        <x:is>
          <x:t xml:space="preserve">Хороший визуальный сюжет: камера как чемодан-лаборатория.</x:t>
        </x:is>
      </x:c>
      <x:c r="U45" s="47" t="inlineStr">
        <x:is>
          <x:t xml:space="preserve">Иконка камеры с рукавами и стеклянной пластиной внутри.</x:t>
        </x:is>
      </x:c>
      <x:c r="V45" s="47" t="inlineStr">
        <x:is>
          <x:t xml:space="preserve">#Archer #collodion-camera #PL005</x:t>
        </x:is>
      </x:c>
      <x:c r="W45" s="47" t="n"/>
      <x:c r="X45" s="37" t="inlineStr">
        <x:is>
          <x:t xml:space="preserve">51.5074, -0.1278</x:t>
        </x:is>
      </x:c>
      <x:c r="Y45" s="37" t="inlineStr">
        <x:is>
          <x:t xml:space="preserve">Мокрый коллодий / камера</x:t>
        </x:is>
      </x:c>
      <x:c r="Z45" s="37" t="inlineStr">
        <x:is>
          <x:t xml:space="preserve">Инструмент / устройство</x:t>
        </x:is>
      </x:c>
    </x:row>
    <x:row r="46" s="38" customFormat="1" ht="30" customHeight="1">
      <x:c r="A46" s="47" t="inlineStr">
        <x:is>
          <x:t xml:space="preserve">PL-HIST-0045</x:t>
        </x:is>
      </x:c>
      <x:c r="B46" s="47" t="inlineStr">
        <x:is>
          <x:t xml:space="preserve">ок. 1853</x:t>
        </x:is>
      </x:c>
      <x:c r="C46" s="47" t="inlineStr">
        <x:is>
          <x:t xml:space="preserve">примерно</x:t>
        </x:is>
      </x:c>
      <x:c r="D46" s="47" t="inlineStr">
        <x:is>
          <x:t xml:space="preserve">Великобритания / США</x:t>
        </x:is>
      </x:c>
      <x:c r="E46" s="47" t="inlineStr">
        <x:is>
          <x:t xml:space="preserve">Лондон / Бостон</x:t>
        </x:is>
      </x:c>
      <x:c r="F46" s="47" t="inlineStr">
        <x:is>
          <x:t xml:space="preserve">Фотографы коллодионного процесса</x:t>
        </x:is>
      </x:c>
      <x:c r="G46" s="47" t="inlineStr">
        <x:is>
          <x:t xml:space="preserve">Появляется коллодионный позитив на стекле, позже известный как амбротип.</x:t>
        </x:is>
      </x:c>
      <x:c r="H46" s="47" t="inlineStr">
        <x:is>
          <x:t xml:space="preserve">Уникальный позитив</x:t>
        </x:is>
      </x:c>
      <x:c r="I46" s="47" t="inlineStr">
        <x:is>
          <x:t xml:space="preserve">Ambrotype / collodion positive</x:t>
        </x:is>
      </x:c>
      <x:c r="J46" s="47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47" t="inlineStr">
        <x:is>
          <x:t xml:space="preserve">Wet collodion process</x:t>
        </x:is>
      </x:c>
      <x:c r="L46" s="47" t="inlineStr">
        <x:is>
          <x:t xml:space="preserve">Cutting patent 1854 and tintype</x:t>
        </x:is>
      </x:c>
      <x:c r="M46" s="47" t="inlineStr">
        <x:is>
          <x:t xml:space="preserve">Исторически важная ограниченная ветка</x:t>
        </x:is>
      </x:c>
      <x:c r="N46" s="48" t="n">
        <x:v>4</x:v>
      </x:c>
      <x:c r="O46" s="47" t="inlineStr">
        <x:is>
          <x:t xml:space="preserve">PL-005</x:t>
        </x:is>
      </x:c>
      <x:c r="P46" s="47" t="inlineStr">
        <x:is>
          <x:t xml:space="preserve">SRC-022</x:t>
        </x:is>
      </x:c>
      <x:c r="Q46" s="47" t="inlineStr">
        <x:is>
          <x:t xml:space="preserve">Library of Congress — Ambrotypes and Tintypes</x:t>
        </x:is>
      </x:c>
      <x:c r="R46" s="47" t="inlineStr">
        <x:is>
          <x:t xml:space="preserve">https://www.loc.gov/collections/liljenquist-civil-war-photographs/articles-and-essays/ambrotypes-and-tintypes/</x:t>
        </x:is>
      </x:c>
      <x:c r="S46" s="48" t="n">
        <x:v>4</x:v>
      </x:c>
      <x:c r="T46" s="47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47" t="inlineStr">
        <x:is>
          <x:t xml:space="preserve">От основной коллодионной ветки отходит стеклянный позитив.</x:t>
        </x:is>
      </x:c>
      <x:c r="V46" s="47" t="inlineStr">
        <x:is>
          <x:t xml:space="preserve">#ambrotype #collodion-positive #PL005</x:t>
        </x:is>
      </x:c>
      <x:c r="W46" s="47" t="n"/>
      <x:c r="X46" s="37" t="inlineStr">
        <x:is>
          <x:t xml:space="preserve">51.5074, -0.1278</x:t>
        </x:is>
      </x:c>
      <x:c r="Y46" s="37" t="inlineStr">
        <x:is>
          <x:t xml:space="preserve">Уникальный позитив / мокрый коллодий</x:t>
        </x:is>
      </x:c>
      <x:c r="Z46" s="37" t="inlineStr">
        <x:is>
          <x:t xml:space="preserve">Технология / процесс</x:t>
        </x:is>
      </x:c>
    </x:row>
    <x:row r="47" s="38" customFormat="1" ht="30" customHeight="1">
      <x:c r="A47" s="47" t="inlineStr">
        <x:is>
          <x:t xml:space="preserve">PL-HIST-0046</x:t>
        </x:is>
      </x:c>
      <x:c r="B47" s="47" t="inlineStr">
        <x:is>
          <x:t xml:space="preserve">1854</x:t>
        </x:is>
      </x:c>
      <x:c r="C47" s="47" t="inlineStr">
        <x:is>
          <x:t xml:space="preserve">год</x:t>
        </x:is>
      </x:c>
      <x:c r="D47" s="47" t="inlineStr">
        <x:is>
          <x:t xml:space="preserve">США</x:t>
        </x:is>
      </x:c>
      <x:c r="E47" s="47" t="inlineStr">
        <x:is>
          <x:t xml:space="preserve">Бостон</x:t>
        </x:is>
      </x:c>
      <x:c r="F47" s="47" t="inlineStr">
        <x:is>
          <x:t xml:space="preserve">Джеймс Амброуз Каттинг</x:t>
        </x:is>
      </x:c>
      <x:c r="G47" s="47" t="inlineStr">
        <x:is>
          <x:t xml:space="preserve">Патентует улучшения амбротипного процесса.</x:t>
        </x:is>
      </x:c>
      <x:c r="H47" s="47" t="inlineStr">
        <x:is>
          <x:t xml:space="preserve">Уникальный позитив</x:t>
        </x:is>
      </x:c>
      <x:c r="I47" s="47" t="inlineStr">
        <x:is>
          <x:t xml:space="preserve">Ambrotype</x:t>
        </x:is>
      </x:c>
      <x:c r="J47" s="47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47" t="inlineStr">
        <x:is>
          <x:t xml:space="preserve">Collodion positive around 1853</x:t>
        </x:is>
      </x:c>
      <x:c r="L47" s="47" t="inlineStr">
        <x:is>
          <x:t xml:space="preserve">Tintype and paper print competition</x:t>
        </x:is>
      </x:c>
      <x:c r="M47" s="47" t="inlineStr">
        <x:is>
          <x:t xml:space="preserve">Исторически важная ограниченная ветка</x:t>
        </x:is>
      </x:c>
      <x:c r="N47" s="48" t="n">
        <x:v>3</x:v>
      </x:c>
      <x:c r="O47" s="47" t="inlineStr">
        <x:is>
          <x:t xml:space="preserve">PL-005</x:t>
        </x:is>
      </x:c>
      <x:c r="P47" s="47" t="inlineStr">
        <x:is>
          <x:t xml:space="preserve">SRC-022</x:t>
        </x:is>
      </x:c>
      <x:c r="Q47" s="47" t="inlineStr">
        <x:is>
          <x:t xml:space="preserve">Library of Congress — Ambrotypes and Tintypes</x:t>
        </x:is>
      </x:c>
      <x:c r="R47" s="47" t="inlineStr">
        <x:is>
          <x:t xml:space="preserve">https://www.loc.gov/collections/liljenquist-civil-war-photographs/articles-and-essays/ambrotypes-and-tintypes/</x:t>
        </x:is>
      </x:c>
      <x:c r="S47" s="48" t="n">
        <x:v>5</x:v>
      </x:c>
      <x:c r="T47" s="47" t="inlineStr">
        <x:is>
          <x:t xml:space="preserve">Для карты: ветка не главная, но культурно важная — доступные портреты.</x:t>
        </x:is>
      </x:c>
      <x:c r="U47" s="47" t="inlineStr">
        <x:is>
          <x:t xml:space="preserve">Портрет на стекле с тёмной подложкой.</x:t>
        </x:is>
      </x:c>
      <x:c r="V47" s="47" t="inlineStr">
        <x:is>
          <x:t xml:space="preserve">#ambrotype #Cutting #portrait</x:t>
        </x:is>
      </x:c>
      <x:c r="W47" s="47" t="n"/>
      <x:c r="X47" s="37" t="inlineStr">
        <x:is>
          <x:t xml:space="preserve">42.3601, -71.0589</x:t>
        </x:is>
      </x:c>
      <x:c r="Y47" s="37" t="inlineStr">
        <x:is>
          <x:t xml:space="preserve">Уникальный позитив / мокрый коллодий</x:t>
        </x:is>
      </x:c>
      <x:c r="Z47" s="37" t="inlineStr">
        <x:is>
          <x:t xml:space="preserve">Технология / процесс</x:t>
        </x:is>
      </x:c>
    </x:row>
    <x:row r="48" s="38" customFormat="1" ht="45" customHeight="1">
      <x:c r="A48" s="47" t="inlineStr">
        <x:is>
          <x:t xml:space="preserve">PL-HIST-0047</x:t>
        </x:is>
      </x:c>
      <x:c r="B48" s="47" t="inlineStr">
        <x:is>
          <x:t xml:space="preserve">1855–1881</x:t>
        </x:is>
      </x:c>
      <x:c r="C48" s="47" t="inlineStr">
        <x:is>
          <x:t xml:space="preserve">диапазон</x:t>
        </x:is>
      </x:c>
      <x:c r="D48" s="47" t="inlineStr">
        <x:is>
          <x:t xml:space="preserve">Европа / США</x:t>
        </x:is>
      </x:c>
      <x:c r="E48" s="47" t="inlineStr">
        <x:is>
          <x:t xml:space="preserve">Студии и полевые лаборатории</x:t>
        </x:is>
      </x:c>
      <x:c r="F48" s="47" t="inlineStr">
        <x:is>
          <x:t xml:space="preserve">Фотографы мокрого коллодия</x:t>
        </x:is>
      </x:c>
      <x:c r="G48" s="47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47" t="inlineStr">
        <x:is>
          <x:t xml:space="preserve">Мокрый коллодий</x:t>
        </x:is>
      </x:c>
      <x:c r="I48" s="47" t="inlineStr">
        <x:is>
          <x:t xml:space="preserve">Wet collodion negative + albumen print</x:t>
        </x:is>
      </x:c>
      <x:c r="J48" s="47" t="inlineStr">
        <x:is>
          <x:t xml:space="preserve">Появляется связка: резкий стеклянный негатив даёт детальные бумажные отпечатки.</x:t>
        </x:is>
      </x:c>
      <x:c r="K48" s="47" t="inlineStr">
        <x:is>
          <x:t xml:space="preserve">Albumen print 1850 + wet collodion 1851</x:t>
        </x:is>
      </x:c>
      <x:c r="L48" s="47" t="inlineStr">
        <x:is>
          <x:t xml:space="preserve">Dry plate and gelatin processes later</x:t>
        </x:is>
      </x:c>
      <x:c r="M48" s="47" t="inlineStr">
        <x:is>
          <x:t xml:space="preserve">Главная линия / временная доминирующая линия</x:t>
        </x:is>
      </x:c>
      <x:c r="N48" s="48" t="n">
        <x:v>5</x:v>
      </x:c>
      <x:c r="O48" s="47" t="inlineStr">
        <x:is>
          <x:t xml:space="preserve">PL-005</x:t>
        </x:is>
      </x:c>
      <x:c r="P48" s="47" t="inlineStr">
        <x:is>
          <x:t xml:space="preserve">SRC-020</x:t>
        </x:is>
      </x:c>
      <x:c r="Q48" s="47" t="inlineStr">
        <x:is>
          <x:t xml:space="preserve">V&amp;A — Photography Processes and Techniques</x:t>
        </x:is>
      </x:c>
      <x:c r="R48" s="47" t="inlineStr">
        <x:is>
          <x:t xml:space="preserve">https://www.vam.ac.uk/info/collection-selection-boxes-photography-processes-and-techniques</x:t>
        </x:is>
      </x:c>
      <x:c r="S48" s="48" t="n">
        <x:v>5</x:v>
      </x:c>
      <x:c r="T48" s="47" t="inlineStr">
        <x:is>
          <x:t xml:space="preserve">Это финальная формула PL-005: не один процесс, а связка негатив + печать.</x:t>
        </x:is>
      </x:c>
      <x:c r="U48" s="47" t="inlineStr">
        <x:is>
          <x:t xml:space="preserve">Двойной узел: стеклянная пластина → альбуминовый отпечаток.</x:t>
        </x:is>
      </x:c>
      <x:c r="V48" s="47" t="inlineStr">
        <x:is>
          <x:t xml:space="preserve">#wet-collodion #albumen #print #PL005</x:t>
        </x:is>
      </x:c>
      <x:c r="W48" s="47" t="n"/>
      <x:c r="Y48" s="37" t="inlineStr">
        <x:is>
          <x:t xml:space="preserve">Мокрый коллодий + печать</x:t>
        </x:is>
      </x:c>
      <x:c r="Z48" s="37" t="inlineStr">
        <x:is>
          <x:t xml:space="preserve">Тиражирование / публикация</x:t>
        </x:is>
      </x:c>
    </x:row>
    <x:row r="49" s="38" customFormat="1" ht="45" customHeight="1">
      <x:c r="A49" s="47" t="inlineStr">
        <x:is>
          <x:t xml:space="preserve">PL-HIST-0048</x:t>
        </x:is>
      </x:c>
      <x:c r="B49" s="47" t="inlineStr">
        <x:is>
          <x:t xml:space="preserve">1856</x:t>
        </x:is>
      </x:c>
      <x:c r="C49" s="47" t="inlineStr">
        <x:is>
          <x:t xml:space="preserve">год</x:t>
        </x:is>
      </x:c>
      <x:c r="D49" s="47" t="inlineStr">
        <x:is>
          <x:t xml:space="preserve">США / Великобритания</x:t>
        </x:is>
      </x:c>
      <x:c r="E49" s="47" t="inlineStr">
        <x:is>
          <x:t xml:space="preserve">США / Великобритания</x:t>
        </x:is>
      </x:c>
      <x:c r="F49" s="47" t="inlineStr">
        <x:is>
          <x:t xml:space="preserve">Hamilton Smith / William Kloen / другие</x:t>
        </x:is>
      </x:c>
      <x:c r="G49" s="47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47" t="inlineStr">
        <x:is>
          <x:t xml:space="preserve">Уникальный позитив</x:t>
        </x:is>
      </x:c>
      <x:c r="I49" s="47" t="inlineStr">
        <x:is>
          <x:t xml:space="preserve">Tintype / ferrotype</x:t>
        </x:is>
      </x:c>
      <x:c r="J49" s="47" t="inlineStr">
        <x:is>
          <x:t xml:space="preserve">Фотография становится более дешёвой, прочной и мобильной для массового портрета.</x:t>
        </x:is>
      </x:c>
      <x:c r="K49" s="47" t="inlineStr">
        <x:is>
          <x:t xml:space="preserve">Ambrotype and wet collodion</x:t>
        </x:is>
      </x:c>
      <x:c r="L49" s="47" t="inlineStr">
        <x:is>
          <x:t xml:space="preserve">Civil War era portraiture and itinerant photography</x:t>
        </x:is>
      </x:c>
      <x:c r="M49" s="47" t="inlineStr">
        <x:is>
          <x:t xml:space="preserve">Исторически важная ограниченная ветка / художественное возрождение</x:t>
        </x:is>
      </x:c>
      <x:c r="N49" s="48" t="n">
        <x:v>3</x:v>
      </x:c>
      <x:c r="O49" s="47" t="inlineStr">
        <x:is>
          <x:t xml:space="preserve">PL-005</x:t>
        </x:is>
      </x:c>
      <x:c r="P49" s="47" t="inlineStr">
        <x:is>
          <x:t xml:space="preserve">SRC-022</x:t>
        </x:is>
      </x:c>
      <x:c r="Q49" s="47" t="inlineStr">
        <x:is>
          <x:t xml:space="preserve">Library of Congress — Ambrotypes and Tintypes</x:t>
        </x:is>
      </x:c>
      <x:c r="R49" s="47" t="inlineStr">
        <x:is>
          <x:t xml:space="preserve">https://www.loc.gov/collections/liljenquist-civil-war-photographs/articles-and-essays/ambrotypes-and-tintypes/</x:t>
        </x:is>
      </x:c>
      <x:c r="S49" s="48" t="n">
        <x:v>4</x:v>
      </x:c>
      <x:c r="T49" s="47" t="inlineStr">
        <x:is>
          <x:t xml:space="preserve">Это ветка массового портрета: не главная линия к плёнке, но важная социально.</x:t>
        </x:is>
      </x:c>
      <x:c r="U49" s="47" t="inlineStr">
        <x:is>
          <x:t xml:space="preserve">Металлическая пластинка-портрет, ярмарка/палатка.</x:t>
        </x:is>
      </x:c>
      <x:c r="V49" s="47" t="inlineStr">
        <x:is>
          <x:t xml:space="preserve">#tintype #ferrotype #collodion #portrait</x:t>
        </x:is>
      </x:c>
      <x:c r="W49" s="47" t="inlineStr">
        <x:is>
          <x:t xml:space="preserve">Уточнить авторство/патенты 1856 по отдельным источникам.</x:t>
        </x:is>
      </x:c>
      <x:c r="Y49" s="37" t="inlineStr">
        <x:is>
          <x:t xml:space="preserve">Уникальный позитив / массовый портрет</x:t>
        </x:is>
      </x:c>
      <x:c r="Z49" s="37" t="inlineStr">
        <x:is>
          <x:t xml:space="preserve">Технология / процесс</x:t>
        </x:is>
      </x:c>
    </x:row>
    <x:row r="50" s="38" customFormat="1" ht="45.75" customHeight="1">
      <x:c r="A50" s="49" t="inlineStr">
        <x:is>
          <x:t xml:space="preserve">PL-HIST-0049</x:t>
        </x:is>
      </x:c>
      <x:c r="B50" s="49" t="inlineStr">
        <x:is>
          <x:t xml:space="preserve">1871</x:t>
        </x:is>
      </x:c>
      <x:c r="C50" s="49" t="inlineStr">
        <x:is>
          <x:t xml:space="preserve">год</x:t>
        </x:is>
      </x:c>
      <x:c r="D50" s="49" t="inlineStr">
        <x:is>
          <x:t xml:space="preserve">Великобритания</x:t>
        </x:is>
      </x:c>
      <x:c r="E50" s="49" t="inlineStr">
        <x:is>
          <x:t xml:space="preserve">Лондон (публикация)</x:t>
        </x:is>
      </x:c>
      <x:c r="F50" s="49" t="inlineStr">
        <x:is>
          <x:t xml:space="preserve">Ричард Лич Мэддокс</x:t>
        </x:is>
      </x:c>
      <x:c r="G50" s="49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49" t="inlineStr">
        <x:is>
          <x:t xml:space="preserve">Негатив-позитив</x:t>
        </x:is>
      </x:c>
      <x:c r="I50" s="49" t="inlineStr">
        <x:is>
          <x:t xml:space="preserve">Gelatino-bromide dry plate</x:t>
        </x:is>
      </x:c>
      <x:c r="J50" s="49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49" t="inlineStr">
        <x:is>
          <x:t xml:space="preserve">Мокрый коллодий требовал немедленно готовить, снимать и проявлять пластину</x:t>
        </x:is>
      </x:c>
      <x:c r="L50" s="49" t="inlineStr">
        <x:is>
          <x:t xml:space="preserve">Эксперименты Бёрджесса, Кеннетта и Беннетта; коммерческие сухие пластины</x:t>
        </x:is>
      </x:c>
      <x:c r="M50" s="49" t="inlineStr">
        <x:is>
          <x:t xml:space="preserve">Главная линия</x:t>
        </x:is>
      </x:c>
      <x:c r="N50" s="49" t="n">
        <x:v>5</x:v>
      </x:c>
      <x:c r="O50" s="49" t="inlineStr">
        <x:is>
          <x:t xml:space="preserve">PL-006</x:t>
        </x:is>
      </x:c>
      <x:c r="P50" s="49" t="inlineStr">
        <x:is>
          <x:t xml:space="preserve">SRC-027</x:t>
        </x:is>
      </x:c>
      <x:c r="Q50" s="49" t="inlineStr">
        <x:is>
          <x:t xml:space="preserve">National Science and Media Museum — Kodak and Ilford camera factories</x:t>
        </x:is>
      </x:c>
      <x:c r="R50" s="49" t="inlineStr">
        <x:is>
          <x:t xml:space="preserve">https://www.scienceandmediamuseum.org.uk/objects-and-stories/kodak-ilford-camera-factories-1930s</x:t>
        </x:is>
      </x:c>
      <x:c r="S50" s="49" t="n">
        <x:v>5</x:v>
      </x:c>
      <x:c r="T50" s="49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49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49" t="inlineStr">
        <x:is>
          <x:t xml:space="preserve">#PL006 #dry-plate #Maddox #gelatin #negative-positive</x:t>
        </x:is>
      </x:c>
      <x:c r="W50" s="49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49" t="inlineStr">
        <x:is>
          <x:t xml:space="preserve">51.5074, -0.1278</x:t>
        </x:is>
      </x:c>
      <x:c r="Y50" s="49" t="inlineStr">
        <x:is>
          <x:t xml:space="preserve">Сухие желатиновые пластины / химия</x:t>
        </x:is>
      </x:c>
      <x:c r="Z50" s="49" t="inlineStr">
        <x:is>
          <x:t xml:space="preserve">Технология / процесс</x:t>
        </x:is>
      </x:c>
      <x:c r="AA50" s="37" t="inlineStr">
        <x:is>
          <x:t xml:space="preserve">да</x:t>
        </x:is>
      </x:c>
    </x:row>
    <x:row r="51" s="38" customFormat="1" ht="45.75" customHeight="1">
      <x:c r="A51" s="49" t="inlineStr">
        <x:is>
          <x:t xml:space="preserve">PL-HIST-0050</x:t>
        </x:is>
      </x:c>
      <x:c r="B51" s="49" t="inlineStr">
        <x:is>
          <x:t xml:space="preserve">1874</x:t>
        </x:is>
      </x:c>
      <x:c r="C51" s="49" t="inlineStr">
        <x:is>
          <x:t xml:space="preserve">год</x:t>
        </x:is>
      </x:c>
      <x:c r="D51" s="49" t="inlineStr">
        <x:is>
          <x:t xml:space="preserve">Великобритания</x:t>
        </x:is>
      </x:c>
      <x:c r="E51" s="49" t="inlineStr">
        <x:is>
          <x:t xml:space="preserve">Ливерпуль</x:t>
        </x:is>
      </x:c>
      <x:c r="F51" s="49" t="inlineStr">
        <x:is>
          <x:t xml:space="preserve">Liverpool Dry Plate Company / ранние производители</x:t>
        </x:is>
      </x:c>
      <x:c r="G51" s="49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49" t="inlineStr">
        <x:is>
          <x:t xml:space="preserve">Негатив-позитив</x:t>
        </x:is>
      </x:c>
      <x:c r="I51" s="49" t="inlineStr">
        <x:is>
          <x:t xml:space="preserve">Commercial gelatin dry plates</x:t>
        </x:is>
      </x:c>
      <x:c r="J51" s="49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49" t="inlineStr">
        <x:is>
          <x:t xml:space="preserve">Публикация Мэддокса 1871 и последующие улучшения</x:t>
        </x:is>
      </x:c>
      <x:c r="L51" s="49" t="inlineStr">
        <x:is>
          <x:t xml:space="preserve">Беннетт повышает чувствительность эмульсии; производство становится практичнее</x:t>
        </x:is>
      </x:c>
      <x:c r="M51" s="49" t="inlineStr">
        <x:is>
          <x:t xml:space="preserve">Распространение / коммерциализация</x:t>
        </x:is>
      </x:c>
      <x:c r="N51" s="49" t="n">
        <x:v>4</x:v>
      </x:c>
      <x:c r="O51" s="49" t="inlineStr">
        <x:is>
          <x:t xml:space="preserve">PL-006</x:t>
        </x:is>
      </x:c>
      <x:c r="P51" s="49" t="inlineStr">
        <x:is>
          <x:t xml:space="preserve">SRC-027</x:t>
        </x:is>
      </x:c>
      <x:c r="Q51" s="49" t="inlineStr">
        <x:is>
          <x:t xml:space="preserve">National Science and Media Museum — Kodak and Ilford camera factories</x:t>
        </x:is>
      </x:c>
      <x:c r="R51" s="49" t="inlineStr">
        <x:is>
          <x:t xml:space="preserve">https://www.scienceandmediamuseum.org.uk/objects-and-stories/kodak-ilford-camera-factories-1930s</x:t>
        </x:is>
      </x:c>
      <x:c r="S51" s="49" t="n">
        <x:v>4</x:v>
      </x:c>
      <x:c r="T51" s="49" t="inlineStr">
        <x:is>
          <x:t xml:space="preserve">Для новичка: это переход от «сам себе химик» к покупке готового фотоматериала.</x:t>
        </x:is>
      </x:c>
      <x:c r="U51" s="49" t="inlineStr">
        <x:is>
          <x:t xml:space="preserve">Иконка фабричной коробки сухих пластин рядом со стеклянной пластиной.</x:t>
        </x:is>
      </x:c>
      <x:c r="V51" s="49" t="inlineStr">
        <x:is>
          <x:t xml:space="preserve">#PL006 #LiverpoolDryPlate #commercial #dry-plate</x:t>
        </x:is>
      </x:c>
      <x:c r="W51" s="49" t="inlineStr">
        <x:is>
          <x:t xml:space="preserve">Проверить по отдельному источнику точное название компании и формат первых продаж.</x:t>
        </x:is>
      </x:c>
      <x:c r="X51" s="49" t="inlineStr">
        <x:is>
          <x:t xml:space="preserve">53.4084, -2.9916</x:t>
        </x:is>
      </x:c>
      <x:c r="Y51" s="49" t="inlineStr">
        <x:is>
          <x:t xml:space="preserve">Сухие желатиновые пластины / коммерциализация</x:t>
        </x:is>
      </x:c>
      <x:c r="Z51" s="49" t="inlineStr">
        <x:is>
          <x:t xml:space="preserve">Распространение / коммерциализация</x:t>
        </x:is>
      </x:c>
    </x:row>
    <x:row r="52" s="38" customFormat="1" ht="34.5" customHeight="1">
      <x:c r="A52" s="49" t="inlineStr">
        <x:is>
          <x:t xml:space="preserve">PL-HIST-0051</x:t>
        </x:is>
      </x:c>
      <x:c r="B52" s="49" t="inlineStr">
        <x:is>
          <x:t xml:space="preserve">1878</x:t>
        </x:is>
      </x:c>
      <x:c r="C52" s="49" t="inlineStr">
        <x:is>
          <x:t xml:space="preserve">год</x:t>
        </x:is>
      </x:c>
      <x:c r="D52" s="49" t="inlineStr">
        <x:is>
          <x:t xml:space="preserve">Великобритания</x:t>
        </x:is>
      </x:c>
      <x:c r="E52" s="49" t="inlineStr">
        <x:is>
          <x:t xml:space="preserve">Лондон</x:t>
        </x:is>
      </x:c>
      <x:c r="F52" s="49" t="inlineStr">
        <x:is>
          <x:t xml:space="preserve">Чарльз Харпер Беннетт</x:t>
        </x:is>
      </x:c>
      <x:c r="G52" s="49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49" t="inlineStr">
        <x:is>
          <x:t xml:space="preserve">Негатив-позитив</x:t>
        </x:is>
      </x:c>
      <x:c r="I52" s="49" t="inlineStr">
        <x:is>
          <x:t xml:space="preserve">Ripened gelatin-bromide emulsion</x:t>
        </x:is>
      </x:c>
      <x:c r="J52" s="49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49" t="inlineStr">
        <x:is>
          <x:t xml:space="preserve">Желатино-бромидная сухая пластина Мэддокса</x:t>
        </x:is>
      </x:c>
      <x:c r="L52" s="49" t="inlineStr">
        <x:is>
          <x:t xml:space="preserve">Сухие пластины входят в широкое производство и начинают вытеснять мокрый коллодий</x:t>
        </x:is>
      </x:c>
      <x:c r="M52" s="49" t="inlineStr">
        <x:is>
          <x:t xml:space="preserve">Главная линия</x:t>
        </x:is>
      </x:c>
      <x:c r="N52" s="49" t="n">
        <x:v>5</x:v>
      </x:c>
      <x:c r="O52" s="49" t="inlineStr">
        <x:is>
          <x:t xml:space="preserve">PL-006</x:t>
        </x:is>
      </x:c>
      <x:c r="P52" s="49" t="inlineStr">
        <x:is>
          <x:t xml:space="preserve">SRC-029</x:t>
        </x:is>
      </x:c>
      <x:c r="Q52" s="49" t="inlineStr">
        <x:is>
          <x:t xml:space="preserve">Swiss Camera Museum — Gelatine bromide plates</x:t>
        </x:is>
      </x:c>
      <x:c r="R52" s="49" t="inlineStr">
        <x:is>
          <x:t xml:space="preserve">https://www.cameramuseum.ch/en/discover/permanent-exhibition/the-plate-era/gelatine-bromide-plates/</x:t>
        </x:is>
      </x:c>
      <x:c r="S52" s="49" t="n">
        <x:v>5</x:v>
      </x:c>
      <x:c r="T52" s="49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49" t="inlineStr">
        <x:is>
          <x:t xml:space="preserve">Иконка нагрева эмульсии + секундомер/короткая выдержка.</x:t>
        </x:is>
      </x:c>
      <x:c r="V52" s="49" t="inlineStr">
        <x:is>
          <x:t xml:space="preserve">#PL006 #Bennett #gelatin-bromide #instantaneous</x:t>
        </x:is>
      </x:c>
      <x:c r="W52" s="49" t="n"/>
      <x:c r="X52" s="49" t="inlineStr">
        <x:is>
          <x:t xml:space="preserve">51.5074, -0.1278</x:t>
        </x:is>
      </x:c>
      <x:c r="Y52" s="49" t="inlineStr">
        <x:is>
          <x:t xml:space="preserve">Сухие желатиновые пластины / повышение чувствительности</x:t>
        </x:is>
      </x:c>
      <x:c r="Z52" s="49" t="inlineStr">
        <x:is>
          <x:t xml:space="preserve">Технология / процесс</x:t>
        </x:is>
      </x:c>
    </x:row>
    <x:row r="53" s="38" customFormat="1" ht="34.5" customHeight="1">
      <x:c r="A53" s="49" t="inlineStr">
        <x:is>
          <x:t xml:space="preserve">PL-HIST-0052</x:t>
        </x:is>
      </x:c>
      <x:c r="B53" s="49" t="inlineStr">
        <x:is>
          <x:t xml:space="preserve">1878</x:t>
        </x:is>
      </x:c>
      <x:c r="C53" s="49" t="inlineStr">
        <x:is>
          <x:t xml:space="preserve">год</x:t>
        </x:is>
      </x:c>
      <x:c r="D53" s="49" t="inlineStr">
        <x:is>
          <x:t xml:space="preserve">Великобритания / Европа</x:t>
        </x:is>
      </x:c>
      <x:c r="E53" s="49" t="inlineStr">
        <x:is>
          <x:t xml:space="preserve">Лондон / промышленные центры</x:t>
        </x:is>
      </x:c>
      <x:c r="F53" s="49" t="inlineStr">
        <x:is>
          <x:t xml:space="preserve">Производители фотоматериалов</x:t>
        </x:is>
      </x:c>
      <x:c r="G53" s="49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49" t="inlineStr">
        <x:is>
          <x:t xml:space="preserve">Негатив-позитив</x:t>
        </x:is>
      </x:c>
      <x:c r="I53" s="49" t="inlineStr">
        <x:is>
          <x:t xml:space="preserve">Manufactured gelatin dry plates</x:t>
        </x:is>
      </x:c>
      <x:c r="J53" s="49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49" t="inlineStr">
        <x:is>
          <x:t xml:space="preserve">Улучшение чувствительности эмульсии Беннеттом</x:t>
        </x:is>
      </x:c>
      <x:c r="L53" s="49" t="inlineStr">
        <x:is>
          <x:t xml:space="preserve">Фабричное производство пластин и рост любительской фотографии</x:t>
        </x:is>
      </x:c>
      <x:c r="M53" s="49" t="inlineStr">
        <x:is>
          <x:t xml:space="preserve">Главная линия / временная доминирующая линия</x:t>
        </x:is>
      </x:c>
      <x:c r="N53" s="49" t="n">
        <x:v>5</x:v>
      </x:c>
      <x:c r="O53" s="49" t="inlineStr">
        <x:is>
          <x:t xml:space="preserve">PL-006</x:t>
        </x:is>
      </x:c>
      <x:c r="P53" s="49" t="inlineStr">
        <x:is>
          <x:t xml:space="preserve">SRC-028</x:t>
        </x:is>
      </x:c>
      <x:c r="Q53" s="49" t="inlineStr">
        <x:is>
          <x:t xml:space="preserve">National Science and Media Museum — A brief guide to photographs on glass</x:t>
        </x:is>
      </x:c>
      <x:c r="R53" s="49" t="inlineStr">
        <x:is>
          <x:t xml:space="preserve">https://blog.scienceandmediamuseum.org.uk/a-brief-guide-to-photographs-on-glass/</x:t>
        </x:is>
      </x:c>
      <x:c r="S53" s="49" t="n">
        <x:v>5</x:v>
      </x:c>
      <x:c r="T53" s="49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49" t="inlineStr">
        <x:is>
          <x:t xml:space="preserve">Линия: палатка-лаборатория исчезает, остаётся камера + коробка готовых пластин.</x:t>
        </x:is>
      </x:c>
      <x:c r="V53" s="49" t="inlineStr">
        <x:is>
          <x:t xml:space="preserve">#PL006 #manufacture #dry-plate #wet-collodion</x:t>
        </x:is>
      </x:c>
      <x:c r="W53" s="49" t="n"/>
      <x:c r="X53" s="49" t="inlineStr">
        <x:is>
          <x:t xml:space="preserve">51.5074, -0.1278</x:t>
        </x:is>
      </x:c>
      <x:c r="Y53" s="49" t="inlineStr">
        <x:is>
          <x:t xml:space="preserve">Сухие желатиновые пластины / переход от мокрого коллодия</x:t>
        </x:is>
      </x:c>
      <x:c r="Z53" s="49" t="inlineStr">
        <x:is>
          <x:t xml:space="preserve">Связь / переход</x:t>
        </x:is>
      </x:c>
    </x:row>
    <x:row r="54" s="38" customFormat="1" ht="45.75" customHeight="1">
      <x:c r="A54" s="49" t="inlineStr">
        <x:is>
          <x:t xml:space="preserve">PL-HIST-0053</x:t>
        </x:is>
      </x:c>
      <x:c r="B54" s="49" t="inlineStr">
        <x:is>
          <x:t xml:space="preserve">конец 1870-х – 1880-е</x:t>
        </x:is>
      </x:c>
      <x:c r="C54" s="49" t="inlineStr">
        <x:is>
          <x:t xml:space="preserve">диапазон</x:t>
        </x:is>
      </x:c>
      <x:c r="D54" s="49" t="inlineStr">
        <x:is>
          <x:t xml:space="preserve">Европа / США</x:t>
        </x:is>
      </x:c>
      <x:c r="E54" s="49" t="inlineStr">
        <x:is>
          <x:t xml:space="preserve">распределённый процесс</x:t>
        </x:is>
      </x:c>
      <x:c r="F54" s="49" t="inlineStr">
        <x:is>
          <x:t xml:space="preserve">Фотографы и производители сухих пластин</x:t>
        </x:is>
      </x:c>
      <x:c r="G54" s="49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49" t="inlineStr">
        <x:is>
          <x:t xml:space="preserve">Негатив-позитив</x:t>
        </x:is>
      </x:c>
      <x:c r="I54" s="49" t="inlineStr">
        <x:is>
          <x:t xml:space="preserve">Fast dry plate / instantaneous photography</x:t>
        </x:is>
      </x:c>
      <x:c r="J54" s="49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49" t="inlineStr">
        <x:is>
          <x:t xml:space="preserve">Беннетт повышает чувствительность эмульсии</x:t>
        </x:is>
      </x:c>
      <x:c r="L54" s="49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49" t="inlineStr">
        <x:is>
          <x:t xml:space="preserve">Главная линия</x:t>
        </x:is>
      </x:c>
      <x:c r="N54" s="49" t="n">
        <x:v>4</x:v>
      </x:c>
      <x:c r="O54" s="49" t="inlineStr">
        <x:is>
          <x:t xml:space="preserve">PL-006</x:t>
        </x:is>
      </x:c>
      <x:c r="P54" s="49" t="inlineStr">
        <x:is>
          <x:t xml:space="preserve">SRC-030</x:t>
        </x:is>
      </x:c>
      <x:c r="Q54" s="49" t="inlineStr">
        <x:is>
          <x:t xml:space="preserve">Cornell Library — Dawn's Early Light: Towards Modern Photography</x:t>
        </x:is>
      </x:c>
      <x:c r="R54" s="49" t="inlineStr">
        <x:is>
          <x:t xml:space="preserve">https://rmc.library.cornell.edu/DawnsEarlyLight/exhibition/modernphotography/index.html</x:t>
        </x:is>
      </x:c>
      <x:c r="S54" s="49" t="n">
        <x:v>4</x:v>
      </x:c>
      <x:c r="T54" s="49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49" t="inlineStr">
        <x:is>
          <x:t xml:space="preserve">На карте: рядом с пластиной появляется значок бегущего человека/движения.</x:t>
        </x:is>
      </x:c>
      <x:c r="V54" s="49" t="inlineStr">
        <x:is>
          <x:t xml:space="preserve">#PL006 #instantaneous #motion #dry-plate</x:t>
        </x:is>
      </x:c>
      <x:c r="W54" s="49" t="n"/>
      <x:c r="X54" s="49" t="n"/>
      <x:c r="Y54" s="49" t="inlineStr">
        <x:is>
          <x:t xml:space="preserve">Сухие желатиновые пластины / скорость и движение</x:t>
        </x:is>
      </x:c>
      <x:c r="Z54" s="49" t="inlineStr">
        <x:is>
          <x:t xml:space="preserve">Применение / жанр</x:t>
        </x:is>
      </x:c>
    </x:row>
    <x:row r="55" s="38" customFormat="1" ht="34.5" customHeight="1">
      <x:c r="A55" s="49" t="inlineStr">
        <x:is>
          <x:t xml:space="preserve">PL-HIST-0054</x:t>
        </x:is>
      </x:c>
      <x:c r="B55" s="49" t="inlineStr">
        <x:is>
          <x:t xml:space="preserve">1880</x:t>
        </x:is>
      </x:c>
      <x:c r="C55" s="49" t="inlineStr">
        <x:is>
          <x:t xml:space="preserve">год</x:t>
        </x:is>
      </x:c>
      <x:c r="D55" s="49" t="inlineStr">
        <x:is>
          <x:t xml:space="preserve">США</x:t>
        </x:is>
      </x:c>
      <x:c r="E55" s="49" t="inlineStr">
        <x:is>
          <x:t xml:space="preserve">Рочестер, Нью-Йорк</x:t>
        </x:is>
      </x:c>
      <x:c r="F55" s="49" t="inlineStr">
        <x:is>
          <x:t xml:space="preserve">Джордж Истмен</x:t>
        </x:is>
      </x:c>
      <x:c r="G55" s="49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49" t="inlineStr">
        <x:is>
          <x:t xml:space="preserve">Негатив-позитив</x:t>
        </x:is>
      </x:c>
      <x:c r="I55" s="49" t="inlineStr">
        <x:is>
          <x:t xml:space="preserve">Eastman dry plates</x:t>
        </x:is>
      </x:c>
      <x:c r="J55" s="49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49" t="inlineStr">
        <x:is>
          <x:t xml:space="preserve">Коммерческие сухие пластины в Великобритании и улучшения Беннетта</x:t>
        </x:is>
      </x:c>
      <x:c r="L55" s="49" t="inlineStr">
        <x:is>
          <x:t xml:space="preserve">Eastman Dry Plate Company; дальнейший поиск замены стекла гибким носителем</x:t>
        </x:is>
      </x:c>
      <x:c r="M55" s="49" t="inlineStr">
        <x:is>
          <x:t xml:space="preserve">Распространение / коммерциализация</x:t>
        </x:is>
      </x:c>
      <x:c r="N55" s="49" t="n">
        <x:v>4</x:v>
      </x:c>
      <x:c r="O55" s="49" t="inlineStr">
        <x:is>
          <x:t xml:space="preserve">PL-006</x:t>
        </x:is>
      </x:c>
      <x:c r="P55" s="49" t="inlineStr">
        <x:is>
          <x:t xml:space="preserve">SRC-031</x:t>
        </x:is>
      </x:c>
      <x:c r="Q55" s="49" t="inlineStr">
        <x:is>
          <x:t xml:space="preserve">Kodak — History</x:t>
        </x:is>
      </x:c>
      <x:c r="R55" s="49" t="inlineStr">
        <x:is>
          <x:t xml:space="preserve">https://www.kodak.com/en/company/page/history/</x:t>
        </x:is>
      </x:c>
      <x:c r="S55" s="49" t="n">
        <x:v>5</x:v>
      </x:c>
      <x:c r="T55" s="49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49" t="inlineStr">
        <x:is>
          <x:t xml:space="preserve">Иконка Рочестера/фабрики + коробка Eastman dry plates.</x:t>
        </x:is>
      </x:c>
      <x:c r="V55" s="49" t="inlineStr">
        <x:is>
          <x:t xml:space="preserve">#PL006 #Eastman #Rochester #dry-plate #Kodak</x:t>
        </x:is>
      </x:c>
      <x:c r="W55" s="49" t="n"/>
      <x:c r="X55" s="49" t="inlineStr">
        <x:is>
          <x:t xml:space="preserve">43.1566, -77.6088</x:t>
        </x:is>
      </x:c>
      <x:c r="Y55" s="49" t="inlineStr">
        <x:is>
          <x:t xml:space="preserve">Сухие желатиновые пластины / американская индустрия</x:t>
        </x:is>
      </x:c>
      <x:c r="Z55" s="49" t="inlineStr">
        <x:is>
          <x:t xml:space="preserve">Распространение / коммерциализация</x:t>
        </x:is>
      </x:c>
    </x:row>
    <x:row r="56" s="38" customFormat="1" ht="34.5" customHeight="1">
      <x:c r="A56" s="49" t="inlineStr">
        <x:is>
          <x:t xml:space="preserve">PL-HIST-0055</x:t>
        </x:is>
      </x:c>
      <x:c r="B56" s="49" t="inlineStr">
        <x:is>
          <x:t xml:space="preserve">1881</x:t>
        </x:is>
      </x:c>
      <x:c r="C56" s="49" t="inlineStr">
        <x:is>
          <x:t xml:space="preserve">точная дата</x:t>
        </x:is>
      </x:c>
      <x:c r="D56" s="49" t="inlineStr">
        <x:is>
          <x:t xml:space="preserve">США</x:t>
        </x:is>
      </x:c>
      <x:c r="E56" s="49" t="inlineStr">
        <x:is>
          <x:t xml:space="preserve">Рочестер, Нью-Йорк</x:t>
        </x:is>
      </x:c>
      <x:c r="F56" s="49" t="inlineStr">
        <x:is>
          <x:t xml:space="preserve">Джордж Истмен / Генри Стронг</x:t>
        </x:is>
      </x:c>
      <x:c r="G56" s="49" t="inlineStr">
        <x:is>
          <x:t xml:space="preserve">1 января 1881 года создаётся Eastman Dry Plate Company.</x:t>
        </x:is>
      </x:c>
      <x:c r="H56" s="49" t="inlineStr">
        <x:is>
          <x:t xml:space="preserve">Негатив-позитив</x:t>
        </x:is>
      </x:c>
      <x:c r="I56" s="49" t="inlineStr">
        <x:is>
          <x:t xml:space="preserve">Eastman Dry Plate Company</x:t>
        </x:is>
      </x:c>
      <x:c r="J56" s="49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49" t="inlineStr">
        <x:is>
          <x:t xml:space="preserve">Истмен начинает коммерческое производство сухих пластин в 1880</x:t>
        </x:is>
      </x:c>
      <x:c r="L56" s="49" t="inlineStr">
        <x:is>
          <x:t xml:space="preserve">Eastman Dry Plate and Film Company; рулонные носители и Kodak</x:t>
        </x:is>
      </x:c>
      <x:c r="M56" s="49" t="inlineStr">
        <x:is>
          <x:t xml:space="preserve">Распространение / коммерциализация</x:t>
        </x:is>
      </x:c>
      <x:c r="N56" s="49" t="n">
        <x:v>4</x:v>
      </x:c>
      <x:c r="O56" s="49" t="inlineStr">
        <x:is>
          <x:t xml:space="preserve">PL-006</x:t>
        </x:is>
      </x:c>
      <x:c r="P56" s="49" t="inlineStr">
        <x:is>
          <x:t xml:space="preserve">SRC-032</x:t>
        </x:is>
      </x:c>
      <x:c r="Q56" s="49" t="inlineStr">
        <x:is>
          <x:t xml:space="preserve">Kodak — George Eastman History</x:t>
        </x:is>
      </x:c>
      <x:c r="R56" s="49" t="inlineStr">
        <x:is>
          <x:t xml:space="preserve">https://www.kodak.com/en/company/page/george-eastman-history/</x:t>
        </x:is>
      </x:c>
      <x:c r="S56" s="49" t="n">
        <x:v>5</x:v>
      </x:c>
      <x:c r="T56" s="49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49" t="inlineStr">
        <x:is>
          <x:t xml:space="preserve">На карте: фабрика/брендовый узел между сухими пластинами и будущей плёнкой.</x:t>
        </x:is>
      </x:c>
      <x:c r="V56" s="49" t="inlineStr">
        <x:is>
          <x:t xml:space="preserve">#PL006 #EastmanDryPlateCompany #Rochester #Kodak</x:t>
        </x:is>
      </x:c>
      <x:c r="W56" s="49" t="n"/>
      <x:c r="X56" s="49" t="inlineStr">
        <x:is>
          <x:t xml:space="preserve">43.1566, -77.6088</x:t>
        </x:is>
      </x:c>
      <x:c r="Y56" s="49" t="inlineStr">
        <x:is>
          <x:t xml:space="preserve">Сухие желатиновые пластины / бизнес и масштабирование</x:t>
        </x:is>
      </x:c>
      <x:c r="Z56" s="49" t="inlineStr">
        <x:is>
          <x:t xml:space="preserve">Распространение / коммерциализация</x:t>
        </x:is>
      </x:c>
    </x:row>
    <x:row r="57" s="38" customFormat="1" ht="34.5" customHeight="1">
      <x:c r="A57" s="49" t="inlineStr">
        <x:is>
          <x:t xml:space="preserve">PL-HIST-0056</x:t>
        </x:is>
      </x:c>
      <x:c r="B57" s="49" t="inlineStr">
        <x:is>
          <x:t xml:space="preserve">1880–1900</x:t>
        </x:is>
      </x:c>
      <x:c r="C57" s="49" t="inlineStr">
        <x:is>
          <x:t xml:space="preserve">диапазон</x:t>
        </x:is>
      </x:c>
      <x:c r="D57" s="49" t="inlineStr">
        <x:is>
          <x:t xml:space="preserve">Европа / США</x:t>
        </x:is>
      </x:c>
      <x:c r="E57" s="49" t="inlineStr">
        <x:is>
          <x:t xml:space="preserve">распределённый процесс</x:t>
        </x:is>
      </x:c>
      <x:c r="F57" s="49" t="inlineStr">
        <x:is>
          <x:t xml:space="preserve">Фотографы конца XIX века</x:t>
        </x:is>
      </x:c>
      <x:c r="G57" s="49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49" t="inlineStr">
        <x:is>
          <x:t xml:space="preserve">Негатив-позитив</x:t>
        </x:is>
      </x:c>
      <x:c r="I57" s="49" t="inlineStr">
        <x:is>
          <x:t xml:space="preserve">Gelatin dry plate negative</x:t>
        </x:is>
      </x:c>
      <x:c r="J57" s="49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49" t="inlineStr">
        <x:is>
          <x:t xml:space="preserve">Производство сухих пластин и рост чувствительности эмульсий</x:t>
        </x:is>
      </x:c>
      <x:c r="L57" s="49" t="inlineStr">
        <x:is>
          <x:t xml:space="preserve">Гибкая плёнка постепенно заменяет стеклянную пластину в массовой фотографии</x:t>
        </x:is>
      </x:c>
      <x:c r="M57" s="49" t="inlineStr">
        <x:is>
          <x:t xml:space="preserve">Главная линия / временная доминирующая линия</x:t>
        </x:is>
      </x:c>
      <x:c r="N57" s="49" t="n">
        <x:v>4</x:v>
      </x:c>
      <x:c r="O57" s="49" t="inlineStr">
        <x:is>
          <x:t xml:space="preserve">PL-006</x:t>
        </x:is>
      </x:c>
      <x:c r="P57" s="49" t="inlineStr">
        <x:is>
          <x:t xml:space="preserve">SRC-033</x:t>
        </x:is>
      </x:c>
      <x:c r="Q57" s="49" t="inlineStr">
        <x:is>
          <x:t xml:space="preserve">Smithsonian Institution Archives — Gelatin Dry Plate Negatives</x:t>
        </x:is>
      </x:c>
      <x:c r="R57" s="49" t="inlineStr">
        <x:is>
          <x:t xml:space="preserve">https://siarchives.si.edu/blog/highlight-photo-cold-vault-gelatin-dry-plate-negatives</x:t>
        </x:is>
      </x:c>
      <x:c r="S57" s="49" t="n">
        <x:v>5</x:v>
      </x:c>
      <x:c r="T57" s="49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49" t="inlineStr">
        <x:is>
          <x:t xml:space="preserve">Широкая полоса на таймлайне 1880–1900: «эпоха сухих пластин».</x:t>
        </x:is>
      </x:c>
      <x:c r="V57" s="49" t="inlineStr">
        <x:is>
          <x:t xml:space="preserve">#PL006 #1880s #dry-plate-negative #glass-negative</x:t>
        </x:is>
      </x:c>
      <x:c r="W57" s="49" t="n"/>
      <x:c r="X57" s="49" t="n"/>
      <x:c r="Y57" s="49" t="inlineStr">
        <x:is>
          <x:t xml:space="preserve">Сухие желатиновые пластины / доминирующая практика</x:t>
        </x:is>
      </x:c>
      <x:c r="Z57" s="49" t="inlineStr">
        <x:is>
          <x:t xml:space="preserve">Ключевой исторический узел</x:t>
        </x:is>
      </x:c>
    </x:row>
    <x:row r="58" s="38" customFormat="1" ht="45.75" customHeight="1">
      <x:c r="A58" s="49" t="inlineStr">
        <x:is>
          <x:t xml:space="preserve">PL-HIST-0057</x:t>
        </x:is>
      </x:c>
      <x:c r="B58" s="49" t="inlineStr">
        <x:is>
          <x:t xml:space="preserve">1880-е</x:t>
        </x:is>
      </x:c>
      <x:c r="C58" s="49" t="inlineStr">
        <x:is>
          <x:t xml:space="preserve">диапазон</x:t>
        </x:is>
      </x:c>
      <x:c r="D58" s="49" t="inlineStr">
        <x:is>
          <x:t xml:space="preserve">Европа / США</x:t>
        </x:is>
      </x:c>
      <x:c r="E58" s="49" t="inlineStr">
        <x:is>
          <x:t xml:space="preserve">распределённый процесс</x:t>
        </x:is>
      </x:c>
      <x:c r="F58" s="49" t="inlineStr">
        <x:is>
          <x:t xml:space="preserve">Профессиональные и любительские фотографы</x:t>
        </x:is>
      </x:c>
      <x:c r="G58" s="49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49" t="inlineStr">
        <x:is>
          <x:t xml:space="preserve">Негатив-позитив</x:t>
        </x:is>
      </x:c>
      <x:c r="I58" s="49" t="inlineStr">
        <x:is>
          <x:t xml:space="preserve">Prepared dry plates / delayed development</x:t>
        </x:is>
      </x:c>
      <x:c r="J58" s="49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49" t="inlineStr">
        <x:is>
          <x:t xml:space="preserve">Wet collodion field darkroom</x:t>
        </x:is>
      </x:c>
      <x:c r="L58" s="49" t="inlineStr">
        <x:is>
          <x:t xml:space="preserve">Portable cameras, amateur photography and roll film systems</x:t>
        </x:is>
      </x:c>
      <x:c r="M58" s="49" t="inlineStr">
        <x:is>
          <x:t xml:space="preserve">Главная линия</x:t>
        </x:is>
      </x:c>
      <x:c r="N58" s="49" t="n">
        <x:v>5</x:v>
      </x:c>
      <x:c r="O58" s="49" t="inlineStr">
        <x:is>
          <x:t xml:space="preserve">PL-006</x:t>
        </x:is>
      </x:c>
      <x:c r="P58" s="49" t="inlineStr">
        <x:is>
          <x:t xml:space="preserve">SRC-034</x:t>
        </x:is>
      </x:c>
      <x:c r="Q58" s="49" t="inlineStr">
        <x:is>
          <x:t xml:space="preserve">George Eastman Museum — Dry Plates in the Woods</x:t>
        </x:is>
      </x:c>
      <x:c r="R58" s="49" t="inlineStr">
        <x:is>
          <x:t xml:space="preserve">https://www.eastman.org/blog/dry-plates-woods-using-19th-century-photographic-processes-capture-letchworth-state-park</x:t>
        </x:is>
      </x:c>
      <x:c r="S58" s="49" t="n">
        <x:v>5</x:v>
      </x:c>
      <x:c r="T58" s="49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49" t="inlineStr">
        <x:is>
          <x:t xml:space="preserve">Маршрутная линия: фотограф уходит из лаборатории на улицу/в лес, а проявляет позже.</x:t>
        </x:is>
      </x:c>
      <x:c r="V58" s="49" t="inlineStr">
        <x:is>
          <x:t xml:space="preserve">#PL006 #mobility #delayed-development #dry-plate</x:t>
        </x:is>
      </x:c>
      <x:c r="W58" s="49" t="n"/>
      <x:c r="X58" s="49" t="n"/>
      <x:c r="Y58" s="49" t="inlineStr">
        <x:is>
          <x:t xml:space="preserve">Сухие желатиновые пластины / мобильность</x:t>
        </x:is>
      </x:c>
      <x:c r="Z58" s="49" t="inlineStr">
        <x:is>
          <x:t xml:space="preserve">Связь / переход</x:t>
        </x:is>
      </x:c>
    </x:row>
    <x:row r="59" s="38" customFormat="1" ht="45.75" customHeight="1">
      <x:c r="A59" s="49" t="inlineStr">
        <x:is>
          <x:t xml:space="preserve">PL-HIST-0058</x:t>
        </x:is>
      </x:c>
      <x:c r="B59" s="49" t="inlineStr">
        <x:is>
          <x:t xml:space="preserve">1880-е</x:t>
        </x:is>
      </x:c>
      <x:c r="C59" s="49" t="inlineStr">
        <x:is>
          <x:t xml:space="preserve">диапазон</x:t>
        </x:is>
      </x:c>
      <x:c r="D59" s="49" t="inlineStr">
        <x:is>
          <x:t xml:space="preserve">США / Великобритания</x:t>
        </x:is>
      </x:c>
      <x:c r="E59" s="49" t="inlineStr">
        <x:is>
          <x:t xml:space="preserve">Рочестер / промышленные центры</x:t>
        </x:is>
      </x:c>
      <x:c r="F59" s="49" t="inlineStr">
        <x:is>
          <x:t xml:space="preserve">Джордж Истмен и производители фотоматериалов</x:t>
        </x:is>
      </x:c>
      <x:c r="G59" s="49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49" t="inlineStr">
        <x:is>
          <x:t xml:space="preserve">Негатив-позитив</x:t>
        </x:is>
      </x:c>
      <x:c r="I59" s="49" t="inlineStr">
        <x:is>
          <x:t xml:space="preserve">Bridge from glass plates to roll film</x:t>
        </x:is>
      </x:c>
      <x:c r="J59" s="49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49" t="inlineStr">
        <x:is>
          <x:t xml:space="preserve">Сухие желатиновые пластины как удобный готовый негативный материал</x:t>
        </x:is>
      </x:c>
      <x:c r="L59" s="49" t="inlineStr">
        <x:is>
          <x:t xml:space="preserve">Рулонная плёнка, Kodak camera 1888, массовая любительская фотография</x:t>
        </x:is>
      </x:c>
      <x:c r="M59" s="49" t="inlineStr">
        <x:is>
          <x:t xml:space="preserve">Связь / переход</x:t>
        </x:is>
      </x:c>
      <x:c r="N59" s="49" t="n">
        <x:v>5</x:v>
      </x:c>
      <x:c r="O59" s="49" t="inlineStr">
        <x:is>
          <x:t xml:space="preserve">PL-006</x:t>
        </x:is>
      </x:c>
      <x:c r="P59" s="49" t="inlineStr">
        <x:is>
          <x:t xml:space="preserve">SRC-031</x:t>
        </x:is>
      </x:c>
      <x:c r="Q59" s="49" t="inlineStr">
        <x:is>
          <x:t xml:space="preserve">Kodak — History</x:t>
        </x:is>
      </x:c>
      <x:c r="R59" s="49" t="inlineStr">
        <x:is>
          <x:t xml:space="preserve">https://www.kodak.com/en/company/page/history/</x:t>
        </x:is>
      </x:c>
      <x:c r="S59" s="49" t="n">
        <x:v>4</x:v>
      </x:c>
      <x:c r="T59" s="49" t="inlineStr">
        <x:is>
          <x:t xml:space="preserve">Это интрига на следующий урок: фотография стала сухой, но пока ещё стеклянной.</x:t>
        </x:is>
      </x:c>
      <x:c r="U59" s="49" t="inlineStr">
        <x:is>
          <x:t xml:space="preserve">Стеклянная пластина превращается в гибкую ленту/рулон — стрелка к будущему PL-007.</x:t>
        </x:is>
      </x:c>
      <x:c r="V59" s="49" t="inlineStr">
        <x:is>
          <x:t xml:space="preserve">#PL006 #bridge #roll-film #Kodak #future-PL</x:t>
        </x:is>
      </x:c>
      <x:c r="W59" s="49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49" t="inlineStr">
        <x:is>
          <x:t xml:space="preserve">43.1566, -77.6088</x:t>
        </x:is>
      </x:c>
      <x:c r="Y59" s="49" t="inlineStr">
        <x:is>
          <x:t xml:space="preserve">Сухие желатиновые пластины / мост к плёнке</x:t>
        </x:is>
      </x:c>
      <x:c r="Z59" s="49" t="inlineStr">
        <x:is>
          <x:t xml:space="preserve">Связь / переход</x:t>
        </x:is>
      </x:c>
    </x:row>
    <x:row r="60" s="38" customFormat="1" ht="12.75" customHeight="1">
      <x:c r="A60" s="45" t="inlineStr">
        <x:is>
          <x:t xml:space="preserve">PL-HIST-0059</x:t>
        </x:is>
      </x:c>
      <x:c r="B60" s="45" t="inlineStr">
        <x:is>
          <x:t xml:space="preserve">1884</x:t>
        </x:is>
      </x:c>
      <x:c r="C60" s="45" t="inlineStr">
        <x:is>
          <x:t xml:space="preserve">год</x:t>
        </x:is>
      </x:c>
      <x:c r="D60" s="45" t="inlineStr">
        <x:is>
          <x:t xml:space="preserve">США</x:t>
        </x:is>
      </x:c>
      <x:c r="E60" s="45" t="inlineStr">
        <x:is>
          <x:t xml:space="preserve">Рочестер, Нью-Йорк</x:t>
        </x:is>
      </x:c>
      <x:c r="F60" s="45" t="inlineStr">
        <x:is>
          <x:t xml:space="preserve">Джордж Истмен / Eastman Dry Plate and Film Company</x:t>
        </x:is>
      </x:c>
      <x:c r="G60" s="45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45" t="inlineStr">
        <x:is>
          <x:t xml:space="preserve">Негатив-позитив</x:t>
        </x:is>
      </x:c>
      <x:c r="I60" s="45" t="inlineStr">
        <x:is>
          <x:t xml:space="preserve">Eastman Dry Plate and Film Company / roll-film direction</x:t>
        </x:is>
      </x:c>
      <x:c r="J60" s="45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45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45" t="inlineStr">
        <x:is>
          <x:t xml:space="preserve">Eastman-Walker roll holder и бумажная рулонная плёнка</x:t>
        </x:is>
      </x:c>
      <x:c r="M60" s="45" t="inlineStr">
        <x:is>
          <x:t xml:space="preserve">Связь / переход</x:t>
        </x:is>
      </x:c>
      <x:c r="N60" s="45" t="n">
        <x:v>4</x:v>
      </x:c>
      <x:c r="O60" s="45" t="inlineStr">
        <x:is>
          <x:t xml:space="preserve">PL-007</x:t>
        </x:is>
      </x:c>
      <x:c r="P60" s="45" t="inlineStr">
        <x:is>
          <x:t xml:space="preserve">SRC-031</x:t>
        </x:is>
      </x:c>
      <x:c r="Q60" s="45" t="inlineStr">
        <x:is>
          <x:t xml:space="preserve">Kodak — History</x:t>
        </x:is>
      </x:c>
      <x:c r="R60" s="45" t="inlineStr">
        <x:is>
          <x:t xml:space="preserve">https://www.kodak.com/en/company/page/history/</x:t>
        </x:is>
      </x:c>
      <x:c r="S60" s="45" t="n">
        <x:v>4</x:v>
      </x:c>
      <x:c r="T60" s="45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45" t="inlineStr">
        <x:is>
          <x:t xml:space="preserve">Стеклянная пластина на карте превращается в намотанную ленту.</x:t>
        </x:is>
      </x:c>
      <x:c r="V60" s="45" t="inlineStr">
        <x:is>
          <x:t xml:space="preserve">#PL007 #Eastman #roll-film #Rochester #bridge</x:t>
        </x:is>
      </x:c>
      <x:c r="W60" s="45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45" t="inlineStr">
        <x:is>
          <x:t xml:space="preserve">43.1566, -77.6088</x:t>
        </x:is>
      </x:c>
      <x:c r="Y60" s="45" t="inlineStr">
        <x:is>
          <x:t xml:space="preserve">Рулонная плёнка / бизнес-переход</x:t>
        </x:is>
      </x:c>
      <x:c r="Z60" s="45" t="inlineStr">
        <x:is>
          <x:t xml:space="preserve">Связь / переход</x:t>
        </x:is>
      </x:c>
      <x:c r="AA60" s="45" t="n"/>
    </x:row>
    <x:row r="61" s="38" customFormat="1" ht="12.75" customHeight="1">
      <x:c r="A61" s="45" t="inlineStr">
        <x:is>
          <x:t xml:space="preserve">PL-HIST-0060</x:t>
        </x:is>
      </x:c>
      <x:c r="B61" s="45" t="inlineStr">
        <x:is>
          <x:t xml:space="preserve">1885</x:t>
        </x:is>
      </x:c>
      <x:c r="C61" s="45" t="inlineStr">
        <x:is>
          <x:t xml:space="preserve">год</x:t>
        </x:is>
      </x:c>
      <x:c r="D61" s="45" t="inlineStr">
        <x:is>
          <x:t xml:space="preserve">США</x:t>
        </x:is>
      </x:c>
      <x:c r="E61" s="45" t="inlineStr">
        <x:is>
          <x:t xml:space="preserve">Рочестер, Нью-Йорк</x:t>
        </x:is>
      </x:c>
      <x:c r="F61" s="45" t="inlineStr">
        <x:is>
          <x:t xml:space="preserve">Джордж Истмен / Уильям Холл Уокер</x:t>
        </x:is>
      </x:c>
      <x:c r="G61" s="45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45" t="inlineStr">
        <x:is>
          <x:t xml:space="preserve">Негатив-позитив</x:t>
        </x:is>
      </x:c>
      <x:c r="I61" s="45" t="inlineStr">
        <x:is>
          <x:t xml:space="preserve">Eastman-Walker roll holder</x:t>
        </x:is>
      </x:c>
      <x:c r="J61" s="45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45" t="inlineStr">
        <x:is>
          <x:t xml:space="preserve">Сухая пластина как готовый негативный материал</x:t>
        </x:is>
      </x:c>
      <x:c r="L61" s="45" t="inlineStr">
        <x:is>
          <x:t xml:space="preserve">American Film и первые попытки коммерческого рулонного процесса</x:t>
        </x:is>
      </x:c>
      <x:c r="M61" s="45" t="inlineStr">
        <x:is>
          <x:t xml:space="preserve">Главная линия</x:t>
        </x:is>
      </x:c>
      <x:c r="N61" s="45" t="n">
        <x:v>5</x:v>
      </x:c>
      <x:c r="O61" s="45" t="inlineStr">
        <x:is>
          <x:t xml:space="preserve">PL-007</x:t>
        </x:is>
      </x:c>
      <x:c r="P61" s="45" t="inlineStr">
        <x:is>
          <x:t xml:space="preserve">SRC-035</x:t>
        </x:is>
      </x:c>
      <x:c r="Q61" s="45" t="inlineStr">
        <x:is>
          <x:t xml:space="preserve">Science Museum Group — Eastman-Walker roll holder</x:t>
        </x:is>
      </x:c>
      <x:c r="R61" s="45" t="inlineStr">
        <x:is>
          <x:t xml:space="preserve">https://collection.sciencemuseumgroup.org.uk/objects/co15879/eastman-walker-roll-holder</x:t>
        </x:is>
      </x:c>
      <x:c r="S61" s="45" t="n">
        <x:v>5</x:v>
      </x:c>
      <x:c r="T61" s="45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45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45" t="inlineStr">
        <x:is>
          <x:t xml:space="preserve">#PL007 #EastmanWalker #roll-holder #Rochester</x:t>
        </x:is>
      </x:c>
      <x:c r="W61" s="45" t="n"/>
      <x:c r="X61" s="45" t="inlineStr">
        <x:is>
          <x:t xml:space="preserve">43.1566, -77.6088</x:t>
        </x:is>
      </x:c>
      <x:c r="Y61" s="45" t="inlineStr">
        <x:is>
          <x:t xml:space="preserve">Рулонная плёнка / держатель</x:t>
        </x:is>
      </x:c>
      <x:c r="Z61" s="45" t="inlineStr">
        <x:is>
          <x:t xml:space="preserve">Инструмент / устройство</x:t>
        </x:is>
      </x:c>
      <x:c r="AA61" s="45" t="n"/>
    </x:row>
    <x:row r="62" s="38" customFormat="1" ht="12.75" customHeight="1">
      <x:c r="A62" s="45" t="inlineStr">
        <x:is>
          <x:t xml:space="preserve">PL-HIST-0061</x:t>
        </x:is>
      </x:c>
      <x:c r="B62" s="45" t="inlineStr">
        <x:is>
          <x:t xml:space="preserve">1885</x:t>
        </x:is>
      </x:c>
      <x:c r="C62" s="45" t="inlineStr">
        <x:is>
          <x:t xml:space="preserve">год</x:t>
        </x:is>
      </x:c>
      <x:c r="D62" s="45" t="inlineStr">
        <x:is>
          <x:t xml:space="preserve">США</x:t>
        </x:is>
      </x:c>
      <x:c r="E62" s="45" t="inlineStr">
        <x:is>
          <x:t xml:space="preserve">Рочестер, Нью-Йорк</x:t>
        </x:is>
      </x:c>
      <x:c r="F62" s="45" t="inlineStr">
        <x:is>
          <x:t xml:space="preserve">Джордж Истмен / Eastman Dry Plate and Film Company</x:t>
        </x:is>
      </x:c>
      <x:c r="G62" s="45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45" t="inlineStr">
        <x:is>
          <x:t xml:space="preserve">Негатив-позитив</x:t>
        </x:is>
      </x:c>
      <x:c r="I62" s="45" t="inlineStr">
        <x:is>
          <x:t xml:space="preserve">American Film / paper-based roll film</x:t>
        </x:is>
      </x:c>
      <x:c r="J62" s="45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45" t="inlineStr">
        <x:is>
          <x:t xml:space="preserve">Eastman-Walker roll holder</x:t>
        </x:is>
      </x:c>
      <x:c r="L62" s="45" t="inlineStr">
        <x:is>
          <x:t xml:space="preserve">Kodak camera 1888 и прозрачная рулонная плёнка 1889</x:t>
        </x:is>
      </x:c>
      <x:c r="M62" s="45" t="inlineStr">
        <x:is>
          <x:t xml:space="preserve">Переходная технология</x:t>
        </x:is>
      </x:c>
      <x:c r="N62" s="45" t="n">
        <x:v>4</x:v>
      </x:c>
      <x:c r="O62" s="45" t="inlineStr">
        <x:is>
          <x:t xml:space="preserve">PL-007</x:t>
        </x:is>
      </x:c>
      <x:c r="P62" s="45" t="inlineStr">
        <x:is>
          <x:t xml:space="preserve">SRC-036</x:t>
        </x:is>
      </x:c>
      <x:c r="Q62" s="45" t="inlineStr">
        <x:is>
          <x:t xml:space="preserve">George Eastman Museum — Two rare rolls of early Kodak film</x:t>
        </x:is>
      </x:c>
      <x:c r="R62" s="45" t="inlineStr">
        <x:is>
          <x:t xml:space="preserve">https://www.eastman.org/two-rare-rolls-early-kodak-film-acquired-george-eastman-museum</x:t>
        </x:is>
      </x:c>
      <x:c r="S62" s="45" t="n">
        <x:v>5</x:v>
      </x:c>
      <x:c r="T62" s="45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45" t="inlineStr">
        <x:is>
          <x:t xml:space="preserve">Пунктирная лента: рулон уже появился, но ещё требует улучшения.</x:t>
        </x:is>
      </x:c>
      <x:c r="V62" s="45" t="inlineStr">
        <x:is>
          <x:t xml:space="preserve">#PL007 #AmericanFilm #paper-roll-film #Eastman</x:t>
        </x:is>
      </x:c>
      <x:c r="W62" s="45" t="n"/>
      <x:c r="X62" s="45" t="inlineStr">
        <x:is>
          <x:t xml:space="preserve">43.1566, -77.6088</x:t>
        </x:is>
      </x:c>
      <x:c r="Y62" s="45" t="inlineStr">
        <x:is>
          <x:t xml:space="preserve">Рулонная плёнка / бумажная основа</x:t>
        </x:is>
      </x:c>
      <x:c r="Z62" s="45" t="inlineStr">
        <x:is>
          <x:t xml:space="preserve">Технология / процесс</x:t>
        </x:is>
      </x:c>
      <x:c r="AA62" s="45" t="n"/>
    </x:row>
    <x:row r="63" s="38" customFormat="1" ht="12.75" customHeight="1">
      <x:c r="A63" s="45" t="inlineStr">
        <x:is>
          <x:t xml:space="preserve">PL-HIST-0062</x:t>
        </x:is>
      </x:c>
      <x:c r="B63" s="45" t="inlineStr">
        <x:is>
          <x:t xml:space="preserve">1887</x:t>
        </x:is>
      </x:c>
      <x:c r="C63" s="45" t="inlineStr">
        <x:is>
          <x:t xml:space="preserve">год</x:t>
        </x:is>
      </x:c>
      <x:c r="D63" s="45" t="inlineStr">
        <x:is>
          <x:t xml:space="preserve">США</x:t>
        </x:is>
      </x:c>
      <x:c r="E63" s="45" t="inlineStr">
        <x:is>
          <x:t xml:space="preserve">Ньюарк, Нью-Джерси</x:t>
        </x:is>
      </x:c>
      <x:c r="F63" s="45" t="inlineStr">
        <x:is>
          <x:t xml:space="preserve">Ганнибал Гудвин</x:t>
        </x:is>
      </x:c>
      <x:c r="G63" s="45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45" t="inlineStr">
        <x:is>
          <x:t xml:space="preserve">Негатив-позитив</x:t>
        </x:is>
      </x:c>
      <x:c r="I63" s="45" t="inlineStr">
        <x:is>
          <x:t xml:space="preserve">Flexible transparent nitrocellulose film</x:t>
        </x:is>
      </x:c>
      <x:c r="J63" s="45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45" t="inlineStr">
        <x:is>
          <x:t xml:space="preserve">Ограничения бумажной рулонной плёнки</x:t>
        </x:is>
      </x:c>
      <x:c r="L63" s="45" t="inlineStr">
        <x:is>
          <x:t xml:space="preserve">Прозрачная плёнка Eastman/Reichenbach и патентные споры вокруг целлулоидной основы</x:t>
        </x:is>
      </x:c>
      <x:c r="M63" s="45" t="inlineStr">
        <x:is>
          <x:t xml:space="preserve">Исторически важная ограниченная ветка</x:t>
        </x:is>
      </x:c>
      <x:c r="N63" s="45" t="n">
        <x:v>4</x:v>
      </x:c>
      <x:c r="O63" s="45" t="inlineStr">
        <x:is>
          <x:t xml:space="preserve">PL-007</x:t>
        </x:is>
      </x:c>
      <x:c r="P63" s="45" t="inlineStr">
        <x:is>
          <x:t xml:space="preserve">SRC-037</x:t>
        </x:is>
      </x:c>
      <x:c r="Q63" s="45" t="inlineStr">
        <x:is>
          <x:t xml:space="preserve">National Inventors Hall of Fame — Hannibal Goodwin</x:t>
        </x:is>
      </x:c>
      <x:c r="R63" s="45" t="inlineStr">
        <x:is>
          <x:t xml:space="preserve">https://www.invent.org/inductees/hannibal-goodwin</x:t>
        </x:is>
      </x:c>
      <x:c r="S63" s="45" t="n">
        <x:v>4</x:v>
      </x:c>
      <x:c r="T63" s="45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45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45" t="inlineStr">
        <x:is>
          <x:t xml:space="preserve">#PL007 #Goodwin #celluloid #transparent-film #patent</x:t>
        </x:is>
      </x:c>
      <x:c r="W63" s="45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45" t="inlineStr">
        <x:is>
          <x:t xml:space="preserve">40.7357, -74.1724</x:t>
        </x:is>
      </x:c>
      <x:c r="Y63" s="45" t="inlineStr">
        <x:is>
          <x:t xml:space="preserve">Рулонная плёнка / целлулоидная основа</x:t>
        </x:is>
      </x:c>
      <x:c r="Z63" s="45" t="inlineStr">
        <x:is>
          <x:t xml:space="preserve">Технология / процесс</x:t>
        </x:is>
      </x:c>
      <x:c r="AA63" s="45" t="n"/>
    </x:row>
    <x:row r="64" s="38" customFormat="1" ht="12.75" customHeight="1">
      <x:c r="A64" s="45" t="inlineStr">
        <x:is>
          <x:t xml:space="preserve">PL-HIST-0063</x:t>
        </x:is>
      </x:c>
      <x:c r="B64" s="45" t="inlineStr">
        <x:is>
          <x:t xml:space="preserve">1888</x:t>
        </x:is>
      </x:c>
      <x:c r="C64" s="45" t="inlineStr">
        <x:is>
          <x:t xml:space="preserve">год</x:t>
        </x:is>
      </x:c>
      <x:c r="D64" s="45" t="inlineStr">
        <x:is>
          <x:t xml:space="preserve">США</x:t>
        </x:is>
      </x:c>
      <x:c r="E64" s="45" t="inlineStr">
        <x:is>
          <x:t xml:space="preserve">Рочестер, Нью-Йорк</x:t>
        </x:is>
      </x:c>
      <x:c r="F64" s="45" t="inlineStr">
        <x:is>
          <x:t xml:space="preserve">Джордж Истмен / Kodak</x:t>
        </x:is>
      </x:c>
      <x:c r="G64" s="45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45" t="inlineStr">
        <x:is>
          <x:t xml:space="preserve">Негатив-позитив</x:t>
        </x:is>
      </x:c>
      <x:c r="I64" s="45" t="inlineStr">
        <x:is>
          <x:t xml:space="preserve">Original Kodak camera / roll-film camera</x:t>
        </x:is>
      </x:c>
      <x:c r="J64" s="45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45" t="inlineStr">
        <x:is>
          <x:t xml:space="preserve">American Film и попытки заменить стеклянную пластину рулонным носителем</x:t>
        </x:is>
      </x:c>
      <x:c r="L64" s="45" t="inlineStr">
        <x:is>
          <x:t xml:space="preserve">Сервисная модель Kodak и массовая любительская фотография</x:t>
        </x:is>
      </x:c>
      <x:c r="M64" s="45" t="inlineStr">
        <x:is>
          <x:t xml:space="preserve">Главная линия</x:t>
        </x:is>
      </x:c>
      <x:c r="N64" s="45" t="n">
        <x:v>5</x:v>
      </x:c>
      <x:c r="O64" s="45" t="inlineStr">
        <x:is>
          <x:t xml:space="preserve">PL-007</x:t>
        </x:is>
      </x:c>
      <x:c r="P64" s="45" t="inlineStr">
        <x:is>
          <x:t xml:space="preserve">SRC-038</x:t>
        </x:is>
      </x:c>
      <x:c r="Q64" s="45" t="inlineStr">
        <x:is>
          <x:t xml:space="preserve">Smithsonian NMAH — Original Kodak Camera, Serial No. 540</x:t>
        </x:is>
      </x:c>
      <x:c r="R64" s="45" t="inlineStr">
        <x:is>
          <x:t xml:space="preserve">https://americanhistory.si.edu/collections/object/nmah_760118</x:t>
        </x:is>
      </x:c>
      <x:c r="S64" s="45" t="n">
        <x:v>5</x:v>
      </x:c>
      <x:c r="T64" s="45" t="inlineStr">
        <x:is>
          <x:t xml:space="preserve">Это флагман PL-007: камера Kodak изменила не только материал, но и саму роль фотографа.</x:t>
        </x:is>
      </x:c>
      <x:c r="U64" s="45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45" t="inlineStr">
        <x:is>
          <x:t xml:space="preserve">#PL007 #Kodak #roll-film-camera #Eastman #Rochester</x:t>
        </x:is>
      </x:c>
      <x:c r="W64" s="45" t="n"/>
      <x:c r="X64" s="45" t="inlineStr">
        <x:is>
          <x:t xml:space="preserve">43.1566, -77.6088</x:t>
        </x:is>
      </x:c>
      <x:c r="Y64" s="45" t="inlineStr">
        <x:is>
          <x:t xml:space="preserve">Рулонная плёнка / Kodak camera</x:t>
        </x:is>
      </x:c>
      <x:c r="Z64" s="45" t="inlineStr">
        <x:is>
          <x:t xml:space="preserve">Ключевой исторический узел</x:t>
        </x:is>
      </x:c>
      <x:c r="AA64" s="45" t="inlineStr">
        <x:is>
          <x:t xml:space="preserve">да</x:t>
        </x:is>
      </x:c>
    </x:row>
    <x:row r="65" s="38" customFormat="1" ht="12.75" customHeight="1">
      <x:c r="A65" s="45" t="inlineStr">
        <x:is>
          <x:t xml:space="preserve">PL-HIST-0064</x:t>
        </x:is>
      </x:c>
      <x:c r="B65" s="45" t="inlineStr">
        <x:is>
          <x:t xml:space="preserve">1888</x:t>
        </x:is>
      </x:c>
      <x:c r="C65" s="45" t="inlineStr">
        <x:is>
          <x:t xml:space="preserve">год</x:t>
        </x:is>
      </x:c>
      <x:c r="D65" s="45" t="inlineStr">
        <x:is>
          <x:t xml:space="preserve">США</x:t>
        </x:is>
      </x:c>
      <x:c r="E65" s="45" t="inlineStr">
        <x:is>
          <x:t xml:space="preserve">Рочестер, Нью-Йорк</x:t>
        </x:is>
      </x:c>
      <x:c r="F65" s="45" t="inlineStr">
        <x:is>
          <x:t xml:space="preserve">Джордж Истмен / Kodak</x:t>
        </x:is>
      </x:c>
      <x:c r="G65" s="45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45" t="inlineStr">
        <x:is>
          <x:t xml:space="preserve">Негатив-позитив</x:t>
        </x:is>
      </x:c>
      <x:c r="I65" s="45" t="inlineStr">
        <x:is>
          <x:t xml:space="preserve">Kodak processing service model</x:t>
        </x:is>
      </x:c>
      <x:c r="J65" s="45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45" t="inlineStr">
        <x:is>
          <x:t xml:space="preserve">Original Kodak camera 1888</x:t>
        </x:is>
      </x:c>
      <x:c r="L65" s="45" t="inlineStr">
        <x:is>
          <x:t xml:space="preserve">Слоган «You press the button, we do the rest» и рост любительской фотографии</x:t>
        </x:is>
      </x:c>
      <x:c r="M65" s="45" t="inlineStr">
        <x:is>
          <x:t xml:space="preserve">Распространение / коммерциализация</x:t>
        </x:is>
      </x:c>
      <x:c r="N65" s="45" t="n">
        <x:v>5</x:v>
      </x:c>
      <x:c r="O65" s="45" t="inlineStr">
        <x:is>
          <x:t xml:space="preserve">PL-007</x:t>
        </x:is>
      </x:c>
      <x:c r="P65" s="45" t="inlineStr">
        <x:is>
          <x:t xml:space="preserve">SRC-039</x:t>
        </x:is>
      </x:c>
      <x:c r="Q65" s="45" t="inlineStr">
        <x:is>
          <x:t xml:space="preserve">The Met — Kodak and the Rise of Amateur Photography</x:t>
        </x:is>
      </x:c>
      <x:c r="R65" s="45" t="inlineStr">
        <x:is>
          <x:t xml:space="preserve">https://www.metmuseum.org/essays/kodak-and-the-rise-of-amateur-photography</x:t>
        </x:is>
      </x:c>
      <x:c r="S65" s="45" t="n">
        <x:v>5</x:v>
      </x:c>
      <x:c r="T65" s="45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45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45" t="inlineStr">
        <x:is>
          <x:t xml:space="preserve">#PL007 #Kodak #service-model #amateur-photography</x:t>
        </x:is>
      </x:c>
      <x:c r="W65" s="45" t="n"/>
      <x:c r="X65" s="45" t="inlineStr">
        <x:is>
          <x:t xml:space="preserve">43.1566, -77.6088</x:t>
        </x:is>
      </x:c>
      <x:c r="Y65" s="45" t="inlineStr">
        <x:is>
          <x:t xml:space="preserve">Рулонная плёнка / сервисная модель</x:t>
        </x:is>
      </x:c>
      <x:c r="Z65" s="45" t="inlineStr">
        <x:is>
          <x:t xml:space="preserve">Распространение / коммерциализация</x:t>
        </x:is>
      </x:c>
      <x:c r="AA65" s="45" t="n"/>
    </x:row>
    <x:row r="66" s="38" customFormat="1" ht="12.75" customHeight="1">
      <x:c r="A66" s="45" t="inlineStr">
        <x:is>
          <x:t xml:space="preserve">PL-HIST-0065</x:t>
        </x:is>
      </x:c>
      <x:c r="B66" s="45" t="inlineStr">
        <x:is>
          <x:t xml:space="preserve">4 сентября 1888</x:t>
        </x:is>
      </x:c>
      <x:c r="C66" s="45" t="inlineStr">
        <x:is>
          <x:t xml:space="preserve">точная дата</x:t>
        </x:is>
      </x:c>
      <x:c r="D66" s="45" t="inlineStr">
        <x:is>
          <x:t xml:space="preserve">США</x:t>
        </x:is>
      </x:c>
      <x:c r="E66" s="45" t="inlineStr">
        <x:is>
          <x:t xml:space="preserve">Рочестер, Нью-Йорк</x:t>
        </x:is>
      </x:c>
      <x:c r="F66" s="45" t="inlineStr">
        <x:is>
          <x:t xml:space="preserve">Джордж Истмен / Kodak</x:t>
        </x:is>
      </x:c>
      <x:c r="G66" s="45" t="inlineStr">
        <x:is>
          <x:t xml:space="preserve">Истмен получает патент на камеру Kodak и регистрирует товарный знак Kodak.</x:t>
        </x:is>
      </x:c>
      <x:c r="H66" s="45" t="inlineStr">
        <x:is>
          <x:t xml:space="preserve">Негатив-позитив</x:t>
        </x:is>
      </x:c>
      <x:c r="I66" s="45" t="inlineStr">
        <x:is>
          <x:t xml:space="preserve">Kodak patent and trademark</x:t>
        </x:is>
      </x:c>
      <x:c r="J66" s="45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45" t="inlineStr">
        <x:is>
          <x:t xml:space="preserve">Original Kodak camera 1888</x:t>
        </x:is>
      </x:c>
      <x:c r="L66" s="45" t="inlineStr">
        <x:is>
          <x:t xml:space="preserve">Переименование компании и формирование Kodak как массового фотобренда</x:t>
        </x:is>
      </x:c>
      <x:c r="M66" s="45" t="inlineStr">
        <x:is>
          <x:t xml:space="preserve">Распространение / коммерциализация</x:t>
        </x:is>
      </x:c>
      <x:c r="N66" s="45" t="n">
        <x:v>4</x:v>
      </x:c>
      <x:c r="O66" s="45" t="inlineStr">
        <x:is>
          <x:t xml:space="preserve">PL-007</x:t>
        </x:is>
      </x:c>
      <x:c r="P66" s="45" t="inlineStr">
        <x:is>
          <x:t xml:space="preserve">SRC-040</x:t>
        </x:is>
      </x:c>
      <x:c r="Q66" s="45" t="inlineStr">
        <x:is>
          <x:t xml:space="preserve">George Eastman Museum — From the Camera Obscura to the Revolutionary Kodak</x:t>
        </x:is>
      </x:c>
      <x:c r="R66" s="45" t="inlineStr">
        <x:is>
          <x:t xml:space="preserve">https://www.eastman.org/camera-obscura-revolutionary-kodak</x:t>
        </x:is>
      </x:c>
      <x:c r="S66" s="45" t="n">
        <x:v>5</x:v>
      </x:c>
      <x:c r="T66" s="45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45" t="inlineStr">
        <x:is>
          <x:t xml:space="preserve">На карте: рядом с Рочестером появляется знак KODAK как брендовый маяк.</x:t>
        </x:is>
      </x:c>
      <x:c r="V66" s="45" t="inlineStr">
        <x:is>
          <x:t xml:space="preserve">#PL007 #Kodak #patent #trademark #brand</x:t>
        </x:is>
      </x:c>
      <x:c r="W66" s="45" t="n"/>
      <x:c r="X66" s="45" t="inlineStr">
        <x:is>
          <x:t xml:space="preserve">43.1566, -77.6088</x:t>
        </x:is>
      </x:c>
      <x:c r="Y66" s="45" t="inlineStr">
        <x:is>
          <x:t xml:space="preserve">Рулонная плёнка / патент и бренд</x:t>
        </x:is>
      </x:c>
      <x:c r="Z66" s="45" t="inlineStr">
        <x:is>
          <x:t xml:space="preserve">Публикация / объявление</x:t>
        </x:is>
      </x:c>
      <x:c r="AA66" s="45" t="n"/>
    </x:row>
    <x:row r="67" s="38" customFormat="1" ht="12.75" customHeight="1">
      <x:c r="A67" s="45" t="inlineStr">
        <x:is>
          <x:t xml:space="preserve">PL-HIST-0066</x:t>
        </x:is>
      </x:c>
      <x:c r="B67" s="45" t="inlineStr">
        <x:is>
          <x:t xml:space="preserve">1889</x:t>
        </x:is>
      </x:c>
      <x:c r="C67" s="45" t="inlineStr">
        <x:is>
          <x:t xml:space="preserve">год</x:t>
        </x:is>
      </x:c>
      <x:c r="D67" s="45" t="inlineStr">
        <x:is>
          <x:t xml:space="preserve">США</x:t>
        </x:is>
      </x:c>
      <x:c r="E67" s="45" t="inlineStr">
        <x:is>
          <x:t xml:space="preserve">Рочестер, Нью-Йорк</x:t>
        </x:is>
      </x:c>
      <x:c r="F67" s="45" t="inlineStr">
        <x:is>
          <x:t xml:space="preserve">Джордж Истмен / Генри Райхенбах</x:t>
        </x:is>
      </x:c>
      <x:c r="G67" s="45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45" t="inlineStr">
        <x:is>
          <x:t xml:space="preserve">Негатив-позитив</x:t>
        </x:is>
      </x:c>
      <x:c r="I67" s="45" t="inlineStr">
        <x:is>
          <x:t xml:space="preserve">Commercial transparent roll film</x:t>
        </x:is>
      </x:c>
      <x:c r="J67" s="45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45" t="inlineStr">
        <x:is>
          <x:t xml:space="preserve">Бумажная American Film и поиски прозрачной гибкой основы</x:t>
        </x:is>
      </x:c>
      <x:c r="L67" s="45" t="inlineStr">
        <x:is>
          <x:t xml:space="preserve">Развитие кинематографа и дальнейшая массовая плёночная фотография</x:t>
        </x:is>
      </x:c>
      <x:c r="M67" s="45" t="inlineStr">
        <x:is>
          <x:t xml:space="preserve">Главная линия</x:t>
        </x:is>
      </x:c>
      <x:c r="N67" s="45" t="n">
        <x:v>5</x:v>
      </x:c>
      <x:c r="O67" s="45" t="inlineStr">
        <x:is>
          <x:t xml:space="preserve">PL-007</x:t>
        </x:is>
      </x:c>
      <x:c r="P67" s="45" t="inlineStr">
        <x:is>
          <x:t xml:space="preserve">SRC-041</x:t>
        </x:is>
      </x:c>
      <x:c r="Q67" s="45" t="inlineStr">
        <x:is>
          <x:t xml:space="preserve">Kodak — Chronology of Film</x:t>
        </x:is>
      </x:c>
      <x:c r="R67" s="45" t="inlineStr">
        <x:is>
          <x:t xml:space="preserve">https://www.kodak.com/en/motion/page/chronology-of-film/</x:t>
        </x:is>
      </x:c>
      <x:c r="S67" s="45" t="n">
        <x:v>5</x:v>
      </x:c>
      <x:c r="T67" s="45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45" t="inlineStr">
        <x:is>
          <x:t xml:space="preserve">Рулон из полупрозрачной ленты, уходящий от фотографии к кино.</x:t>
        </x:is>
      </x:c>
      <x:c r="V67" s="45" t="inlineStr">
        <x:is>
          <x:t xml:space="preserve">#PL007 #transparent-roll-film #Reichenbach #Eastman #motion-picture</x:t>
        </x:is>
      </x:c>
      <x:c r="W67" s="45" t="n"/>
      <x:c r="X67" s="45" t="inlineStr">
        <x:is>
          <x:t xml:space="preserve">43.1566, -77.6088</x:t>
        </x:is>
      </x:c>
      <x:c r="Y67" s="45" t="inlineStr">
        <x:is>
          <x:t xml:space="preserve">Рулонная плёнка / прозрачная плёнка</x:t>
        </x:is>
      </x:c>
      <x:c r="Z67" s="45" t="inlineStr">
        <x:is>
          <x:t xml:space="preserve">Технология / процесс</x:t>
        </x:is>
      </x:c>
      <x:c r="AA67" s="45" t="n"/>
    </x:row>
    <x:row r="68" s="38" customFormat="1" ht="12.75" customHeight="1">
      <x:c r="A68" s="45" t="inlineStr">
        <x:is>
          <x:t xml:space="preserve">PL-HIST-0067</x:t>
        </x:is>
      </x:c>
      <x:c r="B68" s="45" t="inlineStr">
        <x:is>
          <x:t xml:space="preserve">1891</x:t>
        </x:is>
      </x:c>
      <x:c r="C68" s="45" t="inlineStr">
        <x:is>
          <x:t xml:space="preserve">год</x:t>
        </x:is>
      </x:c>
      <x:c r="D68" s="45" t="inlineStr">
        <x:is>
          <x:t xml:space="preserve">США</x:t>
        </x:is>
      </x:c>
      <x:c r="E68" s="45" t="inlineStr">
        <x:is>
          <x:t xml:space="preserve">Рочестер, Нью-Йорк</x:t>
        </x:is>
      </x:c>
      <x:c r="F68" s="45" t="inlineStr">
        <x:is>
          <x:t xml:space="preserve">Kodak / Eastman Company</x:t>
        </x:is>
      </x:c>
      <x:c r="G68" s="45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45" t="inlineStr">
        <x:is>
          <x:t xml:space="preserve">Негатив-позитив</x:t>
        </x:is>
      </x:c>
      <x:c r="I68" s="45" t="inlineStr">
        <x:is>
          <x:t xml:space="preserve">Daylight-loading roll-film camera</x:t>
        </x:is>
      </x:c>
      <x:c r="J68" s="45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45" t="inlineStr">
        <x:is>
          <x:t xml:space="preserve">Kodak camera 1888 and factory service model</x:t>
        </x:is>
      </x:c>
      <x:c r="L68" s="45" t="inlineStr">
        <x:is>
          <x:t xml:space="preserve">Pocket Kodak, Folding Pocket Kodak, Brownie and standard roll-film formats</x:t>
        </x:is>
      </x:c>
      <x:c r="M68" s="45" t="inlineStr">
        <x:is>
          <x:t xml:space="preserve">Главная линия</x:t>
        </x:is>
      </x:c>
      <x:c r="N68" s="45" t="n">
        <x:v>4</x:v>
      </x:c>
      <x:c r="O68" s="45" t="inlineStr">
        <x:is>
          <x:t xml:space="preserve">PL-007</x:t>
        </x:is>
      </x:c>
      <x:c r="P68" s="45" t="inlineStr">
        <x:is>
          <x:t xml:space="preserve">SRC-042</x:t>
        </x:is>
      </x:c>
      <x:c r="Q68" s="45" t="inlineStr">
        <x:is>
          <x:t xml:space="preserve">Kodak — Milestones</x:t>
        </x:is>
      </x:c>
      <x:c r="R68" s="45" t="inlineStr">
        <x:is>
          <x:t xml:space="preserve">https://www.kodak.com/en/company/page/milestones/</x:t>
        </x:is>
      </x:c>
      <x:c r="S68" s="45" t="n">
        <x:v>5</x:v>
      </x:c>
      <x:c r="T68" s="45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45" t="inlineStr">
        <x:is>
          <x:t xml:space="preserve">На карте: маленькая камера открывается на свету без тёмной комнаты.</x:t>
        </x:is>
      </x:c>
      <x:c r="V68" s="45" t="inlineStr">
        <x:is>
          <x:t xml:space="preserve">#PL007 #daylight-loading #roll-film #Kodak</x:t>
        </x:is>
      </x:c>
      <x:c r="W68" s="45" t="n"/>
      <x:c r="X68" s="45" t="inlineStr">
        <x:is>
          <x:t xml:space="preserve">43.1566, -77.6088</x:t>
        </x:is>
      </x:c>
      <x:c r="Y68" s="45" t="inlineStr">
        <x:is>
          <x:t xml:space="preserve">Рулонная плёнка / дневная перезарядка</x:t>
        </x:is>
      </x:c>
      <x:c r="Z68" s="45" t="inlineStr">
        <x:is>
          <x:t xml:space="preserve">Технология / процесс</x:t>
        </x:is>
      </x:c>
      <x:c r="AA68" s="45" t="n"/>
    </x:row>
    <x:row r="69" s="38" customFormat="1" ht="12.75" customHeight="1">
      <x:c r="A69" s="45" t="inlineStr">
        <x:is>
          <x:t xml:space="preserve">PL-HIST-0068</x:t>
        </x:is>
      </x:c>
      <x:c r="B69" s="45" t="inlineStr">
        <x:is>
          <x:t xml:space="preserve">1900</x:t>
        </x:is>
      </x:c>
      <x:c r="C69" s="45" t="inlineStr">
        <x:is>
          <x:t xml:space="preserve">год</x:t>
        </x:is>
      </x:c>
      <x:c r="D69" s="45" t="inlineStr">
        <x:is>
          <x:t xml:space="preserve">США</x:t>
        </x:is>
      </x:c>
      <x:c r="E69" s="45" t="inlineStr">
        <x:is>
          <x:t xml:space="preserve">Рочестер, Нью-Йорк</x:t>
        </x:is>
      </x:c>
      <x:c r="F69" s="45" t="inlineStr">
        <x:is>
          <x:t xml:space="preserve">Eastman Kodak / Brownie</x:t>
        </x:is>
      </x:c>
      <x:c r="G69" s="45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45" t="inlineStr">
        <x:is>
          <x:t xml:space="preserve">Негатив-позитив</x:t>
        </x:is>
      </x:c>
      <x:c r="I69" s="45" t="inlineStr">
        <x:is>
          <x:t xml:space="preserve">Kodak Brownie / mass snapshot photography</x:t>
        </x:is>
      </x:c>
      <x:c r="J69" s="45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45" t="inlineStr">
        <x:is>
          <x:t xml:space="preserve">Kodak camera 1888 and roll-film service model</x:t>
        </x:is>
      </x:c>
      <x:c r="L69" s="45" t="inlineStr">
        <x:is>
          <x:t xml:space="preserve">PL-008: массовая любительская фотография, snapshot-культура и Brownie как социальный перелом</x:t>
        </x:is>
      </x:c>
      <x:c r="M69" s="45" t="inlineStr">
        <x:is>
          <x:t xml:space="preserve">Связь / переход</x:t>
        </x:is>
      </x:c>
      <x:c r="N69" s="45" t="n">
        <x:v>4</x:v>
      </x:c>
      <x:c r="O69" s="45" t="inlineStr">
        <x:is>
          <x:t xml:space="preserve">PL-007</x:t>
        </x:is>
      </x:c>
      <x:c r="P69" s="45" t="inlineStr">
        <x:is>
          <x:t xml:space="preserve">SRC-043</x:t>
        </x:is>
      </x:c>
      <x:c r="Q69" s="45" t="inlineStr">
        <x:is>
          <x:t xml:space="preserve">National Science and Media Museum — Kodak Gallery</x:t>
        </x:is>
      </x:c>
      <x:c r="R69" s="45" t="inlineStr">
        <x:is>
          <x:t xml:space="preserve">https://www.scienceandmediamuseum.org.uk/whats-on/kodak-gallery</x:t>
        </x:is>
      </x:c>
      <x:c r="S69" s="45" t="n">
        <x:v>5</x:v>
      </x:c>
      <x:c r="T69" s="45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45" t="inlineStr">
        <x:is>
          <x:t xml:space="preserve">От Kodak 1888 линия идёт к дешёвой коробочной камере Brownie и семейным снимкам.</x:t>
        </x:is>
      </x:c>
      <x:c r="V69" s="45" t="inlineStr">
        <x:is>
          <x:t xml:space="preserve">#PL007 #Brownie #snapshot #mass-photography #future-PL</x:t>
        </x:is>
      </x:c>
      <x:c r="W69" s="45"/>
      <x:c r="X69" s="45" t="inlineStr">
        <x:is>
          <x:t xml:space="preserve">43.1566, -77.6088</x:t>
        </x:is>
      </x:c>
      <x:c r="Y69" s="45" t="inlineStr">
        <x:is>
          <x:t xml:space="preserve">Рулонная плёнка / массовая фотография</x:t>
        </x:is>
      </x:c>
      <x:c r="Z69" s="45" t="inlineStr">
        <x:is>
          <x:t xml:space="preserve">Связь / переход</x:t>
        </x:is>
      </x:c>
      <x:c r="AA69" s="45" t="n"/>
    </x:row>
    <x:row r="70" s="38" customFormat="1" ht="12.75" customHeight="1">
      <x:c r="A70" s="59" t="str">
        <x:v>PL-HIST-0069</x:v>
      </x:c>
      <x:c r="B70" s="59" t="str">
        <x:v>1900</x:v>
      </x:c>
      <x:c r="C70" s="59" t="str">
        <x:v>год</x:v>
      </x:c>
      <x:c r="D70" s="59" t="str">
        <x:v>США</x:v>
      </x:c>
      <x:c r="E70" s="59" t="str">
        <x:v>Рочестер, Нью-Йорк</x:v>
      </x:c>
      <x:c r="F70" s="59" t="str">
        <x:v>Eastman Kodak / Brownie</x:v>
      </x:c>
      <x:c r="G70" s="59" t="str">
        <x:v>Появляется первая камера Kodak Brownie — простая и недорогая коробочная roll-film камера для массового пользователя.</x:v>
      </x:c>
      <x:c r="H70" s="59" t="str">
        <x:v>Негатив-позитив</x:v>
      </x:c>
      <x:c r="I70" s="59" t="str">
        <x:v>Kodak Brownie / box roll-film camera</x:v>
      </x:c>
      <x:c r="J70" s="59" t="str">
        <x:v>Фотография становится дешёвой и доступной: теперь камера перестаёт быть только инструментом обеспеченных любителей и профессионалов.</x:v>
      </x:c>
      <x:c r="K70" s="59" t="str">
        <x:v>Kodak camera 1888 и сервисная модель обработки плёнки</x:v>
      </x:c>
      <x:c r="L70" s="59" t="str">
        <x:v>Snapshot-культура, семейные альбомы и массовая любительская фотография</x:v>
      </x:c>
      <x:c r="M70" s="59" t="str">
        <x:v>Главная линия</x:v>
      </x:c>
      <x:c r="N70" s="59" t="n">
        <x:v>5</x:v>
      </x:c>
      <x:c r="O70" s="59" t="str">
        <x:v>PL-008</x:v>
      </x:c>
      <x:c r="P70" s="59" t="str">
        <x:v>SRC-044</x:v>
      </x:c>
      <x:c r="Q70" s="59" t="str">
        <x:v>Science Museum Group — No. 1 Brownie Box Camera</x:v>
      </x:c>
      <x:c r="R70" s="59" t="str">
        <x:v>https://collection.sciencemuseumgroup.org.uk/objects/co8406729/no-1-brownie-box-camera</x:v>
      </x:c>
      <x:c r="S70" s="59" t="n">
        <x:v>5</x:v>
      </x:c>
      <x:c r="T70" s="59" t="str">
        <x:v>Флагман PL-008: Brownie — момент, когда фотография становится по-настоящему массовой бытовой практикой.</x:v>
      </x:c>
      <x:c r="U70" s="59" t="str">
        <x:v>На карте: из Рочестера расходятся линии к домам, семьям и любительским снимкам.</x:v>
      </x:c>
      <x:c r="V70" s="59" t="str">
        <x:v>#PL008 #Brownie #Kodak #snapshot #mass-photography</x:v>
      </x:c>
      <x:c r="W70" s="59"/>
      <x:c r="X70" s="59" t="str">
        <x:v>43.1566, -77.6088</x:v>
      </x:c>
      <x:c r="Y70" s="59" t="str">
        <x:v>Brownie / доступная камера</x:v>
      </x:c>
      <x:c r="Z70" s="59" t="str">
        <x:v>Ключевой исторический узел</x:v>
      </x:c>
      <x:c r="AA70" s="59" t="str">
        <x:v>да</x:v>
      </x:c>
    </x:row>
    <x:row r="71" s="38" customFormat="1" ht="12.75" customHeight="1">
      <x:c r="A71" s="59" t="str">
        <x:v>PL-HIST-0070</x:v>
      </x:c>
      <x:c r="B71" s="59" t="str">
        <x:v>1900</x:v>
      </x:c>
      <x:c r="C71" s="59" t="str">
        <x:v>год</x:v>
      </x:c>
      <x:c r="D71" s="59" t="str">
        <x:v>США</x:v>
      </x:c>
      <x:c r="E71" s="59" t="str">
        <x:v>Рочестер, Нью-Йорк</x:v>
      </x:c>
      <x:c r="F71" s="59" t="str">
        <x:v>Eastman Kodak</x:v>
      </x:c>
      <x:c r="G71" s="59" t="str">
        <x:v>Brownie продаётся по низкой цене и продвигается как камера, которой может пользоваться человек без фотографического опыта.</x:v>
      </x:c>
      <x:c r="H71" s="59" t="str">
        <x:v>Негатив-позитив</x:v>
      </x:c>
      <x:c r="I71" s="59" t="str">
        <x:v>Low-cost consumer camera</x:v>
      </x:c>
      <x:c r="J71" s="59" t="str">
        <x:v>Порог входа резко падает: фотография становится не только техникой, но и доступным хобби.</x:v>
      </x:c>
      <x:c r="K71" s="59" t="str">
        <x:v>Kodak 1888 упростил процесс, но оставался сравнительно дорогим</x:v>
      </x:c>
      <x:c r="L71" s="59" t="str">
        <x:v>Brownie расширяет аудиторию до детей, семей и среднего класса</x:v>
      </x:c>
      <x:c r="M71" s="59" t="str">
        <x:v>Распространение / коммерциализация</x:v>
      </x:c>
      <x:c r="N71" s="59" t="n">
        <x:v>5</x:v>
      </x:c>
      <x:c r="O71" s="59" t="str">
        <x:v>PL-008</x:v>
      </x:c>
      <x:c r="P71" s="59" t="str">
        <x:v>SRC-046</x:v>
      </x:c>
      <x:c r="Q71" s="59" t="str">
        <x:v>ACS — George Eastman, Kodak, and the Birth of Consumer Photography</x:v>
      </x:c>
      <x:c r="R71" s="59" t="str">
        <x:v>https://www.acs.org/education/whatischemistry/landmarks/eastman-kodak.html</x:v>
      </x:c>
      <x:c r="S71" s="59" t="n">
        <x:v>5</x:v>
      </x:c>
      <x:c r="T71" s="59" t="str">
        <x:v>Объяснить просто: Kodak сделал фотографию удобной, а Brownie сделал её дешёвой.</x:v>
      </x:c>
      <x:c r="U71" s="59" t="str">
        <x:v>Ценник рядом с маленькой коробочной камерой: фотография становится покупкой для обычной семьи.</x:v>
      </x:c>
      <x:c r="V71" s="59" t="str">
        <x:v>#PL008 #Brownie #affordable-camera #consumer-photography</x:v>
      </x:c>
      <x:c r="W71" s="59"/>
      <x:c r="X71" s="59" t="str">
        <x:v>43.1566, -77.6088</x:v>
      </x:c>
      <x:c r="Y71" s="59" t="str">
        <x:v>Brownie / цена и массовый рынок</x:v>
      </x:c>
      <x:c r="Z71" s="59" t="str">
        <x:v>Распространение / коммерциализация</x:v>
      </x:c>
      <x:c r="AA71" s="59"/>
    </x:row>
    <x:row r="72" s="38" customFormat="1" ht="12.75" customHeight="1">
      <x:c r="A72" s="59" t="str">
        <x:v>PL-HIST-0071</x:v>
      </x:c>
      <x:c r="B72" s="59" t="str">
        <x:v>1900–1901</x:v>
      </x:c>
      <x:c r="C72" s="59" t="str">
        <x:v>диапазон</x:v>
      </x:c>
      <x:c r="D72" s="59" t="str">
        <x:v>США / Великобритания</x:v>
      </x:c>
      <x:c r="E72" s="59" t="str">
        <x:v>Рочестер / массовая пресса</x:v>
      </x:c>
      <x:c r="F72" s="59" t="str">
        <x:v>Eastman Kodak / рекламные кампании Brownie</x:v>
      </x:c>
      <x:c r="G72" s="59" t="str">
        <x:v>Brownie продвигается через популярную прессу и визуальный образ персонажей Brownie, обращаясь к новой молодой и семейной аудитории.</x:v>
      </x:c>
      <x:c r="H72" s="59" t="str">
        <x:v>Негатив-позитив</x:v>
      </x:c>
      <x:c r="I72" s="59" t="str">
        <x:v>Brownie marketing / popular press</x:v>
      </x:c>
      <x:c r="J72" s="59" t="str">
        <x:v>Фотокамера становится не только устройством, но и массовым культурным продуктом с понятным образом и обещанием простоты.</x:v>
      </x:c>
      <x:c r="K72" s="59" t="str">
        <x:v>Kodak как бренд и сервис съёмки</x:v>
      </x:c>
      <x:c r="L72" s="59" t="str">
        <x:v>Brownie становится узнаваемой народной камерой</x:v>
      </x:c>
      <x:c r="M72" s="59" t="str">
        <x:v>Распространение / коммерциализация</x:v>
      </x:c>
      <x:c r="N72" s="59" t="n">
        <x:v>4</x:v>
      </x:c>
      <x:c r="O72" s="59" t="str">
        <x:v>PL-008</x:v>
      </x:c>
      <x:c r="P72" s="59" t="str">
        <x:v>SRC-047</x:v>
      </x:c>
      <x:c r="Q72" s="59" t="str">
        <x:v>National Science and Media Museum — B is for Brownie</x:v>
      </x:c>
      <x:c r="R72" s="59" t="str">
        <x:v>https://blog.scienceandmediamuseum.org.uk/a-z-photography-collection-b-is-for-brownie/</x:v>
      </x:c>
      <x:c r="S72" s="59" t="n">
        <x:v>5</x:v>
      </x:c>
      <x:c r="T72" s="59" t="str">
        <x:v>Хороший сюжет для урока: массовая фотография победила не только химией и камерой, но и рекламой.</x:v>
      </x:c>
      <x:c r="U72" s="59" t="str">
        <x:v>Визуально: рекламный плакат Brownie, персонажи и маленькая камера как игрушка для всех.</x:v>
      </x:c>
      <x:c r="V72" s="59" t="str">
        <x:v>#PL008 #Brownie #advertising #popular-press #children</x:v>
      </x:c>
      <x:c r="W72" s="59"/>
      <x:c r="X72" s="59" t="str">
        <x:v>43.1566, -77.6088</x:v>
      </x:c>
      <x:c r="Y72" s="59" t="str">
        <x:v>Brownie / детская аудитория и реклама</x:v>
      </x:c>
      <x:c r="Z72" s="59" t="str">
        <x:v>Распространение / коммерциализация</x:v>
      </x:c>
      <x:c r="AA72" s="59"/>
    </x:row>
    <x:row r="73" s="38" customFormat="1" ht="12.75" customHeight="1">
      <x:c r="A73" s="59" t="str">
        <x:v>PL-HIST-0072</x:v>
      </x:c>
      <x:c r="B73" s="59" t="str">
        <x:v>1901</x:v>
      </x:c>
      <x:c r="C73" s="59" t="str">
        <x:v>год</x:v>
      </x:c>
      <x:c r="D73" s="59" t="str">
        <x:v>Великобритания</x:v>
      </x:c>
      <x:c r="E73" s="59" t="str">
        <x:v>Лондон</x:v>
      </x:c>
      <x:c r="F73" s="59" t="str">
        <x:v>Kodak Limited / No. 2 Brownie</x:v>
      </x:c>
      <x:c r="G73" s="59" t="str">
        <x:v>No. 2 Brownie использует 120 roll film — формат, который позже станет важным стандартом среднего формата.</x:v>
      </x:c>
      <x:c r="H73" s="59" t="str">
        <x:v>Негатив-позитив</x:v>
      </x:c>
      <x:c r="I73" s="59" t="str">
        <x:v>No. 2 Brownie / 120 roll film</x:v>
      </x:c>
      <x:c r="J73" s="59" t="str">
        <x:v>Массовая простая камера оказывается связана с форматом плёнки, который переживёт саму эпоху Brownie и останется важным для фотографии.</x:v>
      </x:c>
      <x:c r="K73" s="59" t="str">
        <x:v>Brownie No. 1 и массовая roll-film камера</x:v>
      </x:c>
      <x:c r="L73" s="59" t="str">
        <x:v>120 film и среднеформатная фотография XX века</x:v>
      </x:c>
      <x:c r="M73" s="59" t="str">
        <x:v>Главная линия</x:v>
      </x:c>
      <x:c r="N73" s="59" t="n">
        <x:v>4</x:v>
      </x:c>
      <x:c r="O73" s="59" t="str">
        <x:v>PL-008</x:v>
      </x:c>
      <x:c r="P73" s="59" t="str">
        <x:v>SRC-050</x:v>
      </x:c>
      <x:c r="Q73" s="59" t="str">
        <x:v>Science Museum Group — No 2 Brownie Camera</x:v>
      </x:c>
      <x:c r="R73" s="59" t="str">
        <x:v>https://collection.sciencemuseumgroup.org.uk/objects/co8207799/no-2-brownie-camera</x:v>
      </x:c>
      <x:c r="S73" s="59" t="n">
        <x:v>4</x:v>
      </x:c>
      <x:c r="T73" s="59" t="str">
        <x:v>Не перегружать технически: важно показать, что массовая камера дала жизнь формату, который потом станет серьёзным фотографическим стандартом.</x:v>
      </x:c>
      <x:c r="U73" s="59" t="str">
        <x:v>Рядом с камерой — катушка 120 film, мост к среднему формату.</x:v>
      </x:c>
      <x:c r="V73" s="59" t="str">
        <x:v>#PL008 #No2Brownie #120film #medium-format</x:v>
      </x:c>
      <x:c r="W73" s="59" t="str">
        <x:v>Проверить отдельно формулировку «первый / introduced 120» по более сильному источнику; в текущем виде писать осторожно: «использует 120 roll film».</x:v>
      </x:c>
      <x:c r="X73" s="59" t="str">
        <x:v>51.5074, -0.1278</x:v>
      </x:c>
      <x:c r="Y73" s="59" t="str">
        <x:v>Brownie / 120 roll film</x:v>
      </x:c>
      <x:c r="Z73" s="59" t="str">
        <x:v>Технология / процесс</x:v>
      </x:c>
      <x:c r="AA73" s="59"/>
    </x:row>
    <x:row r="74" s="38" customFormat="1" ht="12.75" customHeight="1">
      <x:c r="A74" s="59" t="str">
        <x:v>PL-HIST-0073</x:v>
      </x:c>
      <x:c r="B74" s="59" t="str">
        <x:v>1900-е</x:v>
      </x:c>
      <x:c r="C74" s="59" t="str">
        <x:v>диапазон</x:v>
      </x:c>
      <x:c r="D74" s="59" t="str">
        <x:v>США / Великобритания</x:v>
      </x:c>
      <x:c r="E74" s="59" t="str">
        <x:v>распределённый процесс</x:v>
      </x:c>
      <x:c r="F74" s="59" t="str">
        <x:v>Любители фотографии / семьи</x:v>
      </x:c>
      <x:c r="G74" s="59" t="str">
        <x:v>Snapshot становится повседневной практикой: люди снимают прогулки, детей, поездки, праздники и частную жизнь.</x:v>
      </x:c>
      <x:c r="H74" s="59" t="str">
        <x:v>Печать / тиражирование</x:v>
      </x:c>
      <x:c r="I74" s="59" t="str">
        <x:v>Snapshot culture / family photography</x:v>
      </x:c>
      <x:c r="J74" s="59" t="str">
        <x:v>Фотография меняет социальную роль: она перестаёт быть только портретом или документом и становится способом сохранять личную память.</x:v>
      </x:c>
      <x:c r="K74" s="59" t="str">
        <x:v>Brownie делает камеру доступной широкому кругу людей</x:v>
      </x:c>
      <x:c r="L74" s="59" t="str">
        <x:v>Семейные альбомы и бытовая визуальная культура XX века</x:v>
      </x:c>
      <x:c r="M74" s="59" t="str">
        <x:v>Главная линия</x:v>
      </x:c>
      <x:c r="N74" s="59" t="n">
        <x:v>5</x:v>
      </x:c>
      <x:c r="O74" s="59" t="str">
        <x:v>PL-008</x:v>
      </x:c>
      <x:c r="P74" s="59" t="str">
        <x:v>SRC-049</x:v>
      </x:c>
      <x:c r="Q74" s="59" t="str">
        <x:v>National Gallery of Art — The Art of the American Snapshot, 1888–1978</x:v>
      </x:c>
      <x:c r="R74" s="59" t="str">
        <x:v>https://www.nga.gov/exhibitions/art-american-snapshot-1888-1978-collection-robert-e-jackson</x:v>
      </x:c>
      <x:c r="S74" s="59" t="n">
        <x:v>5</x:v>
      </x:c>
      <x:c r="T74" s="59" t="str">
        <x:v>Ключевой смысл: фотография входит в дом и начинает фиксировать обычную жизнь, а не только важные события.</x:v>
      </x:c>
      <x:c r="U74" s="59" t="str">
        <x:v>На карте: от камеры появляются маленькие карточки-снимки семьи, поездки, дома.</x:v>
      </x:c>
      <x:c r="V74" s="59" t="str">
        <x:v>#PL008 #snapshot #family-album #vernacular-photography</x:v>
      </x:c>
      <x:c r="W74" s="59"/>
      <x:c r="X74" s="59"/>
      <x:c r="Y74" s="59" t="str">
        <x:v>Snapshot-культура / семейный альбом</x:v>
      </x:c>
      <x:c r="Z74" s="59" t="str">
        <x:v>Применение / жанр</x:v>
      </x:c>
      <x:c r="AA74" s="59"/>
    </x:row>
    <x:row r="75" s="38" customFormat="1" ht="12.75" customHeight="1">
      <x:c r="A75" s="59" t="str">
        <x:v>PL-HIST-0074</x:v>
      </x:c>
      <x:c r="B75" s="59" t="str">
        <x:v>1900-е</x:v>
      </x:c>
      <x:c r="C75" s="59" t="str">
        <x:v>диапазон</x:v>
      </x:c>
      <x:c r="D75" s="59" t="str">
        <x:v>США</x:v>
      </x:c>
      <x:c r="E75" s="59" t="str">
        <x:v>распределённый процесс</x:v>
      </x:c>
      <x:c r="F75" s="59" t="str">
        <x:v>Массовые любители фотографии</x:v>
      </x:c>
      <x:c r="G75" s="59" t="str">
        <x:v>Фотография становится занятием людей без профессиональной подготовки: важнее не техническое мастерство, а возможность сохранить момент.</x:v>
      </x:c>
      <x:c r="H75" s="59" t="str">
        <x:v>Печать / тиражирование</x:v>
      </x:c>
      <x:c r="I75" s="59" t="str">
        <x:v>Amateur snapshot photography</x:v>
      </x:c>
      <x:c r="J75" s="59" t="str">
        <x:v>В центр выходит не фотограф-профессионал, а обычный человек с камерой; рождается культура бытового снимка.</x:v>
      </x:c>
      <x:c r="K75" s="59" t="str">
        <x:v>Kodak/Brownie снижает технический барьер</x:v>
      </x:c>
      <x:c r="L75" s="59" t="str">
        <x:v>Фотография как личный дневник, семейная память и визуальный архив</x:v>
      </x:c>
      <x:c r="M75" s="59" t="str">
        <x:v>Главная линия</x:v>
      </x:c>
      <x:c r="N75" s="59" t="n">
        <x:v>5</x:v>
      </x:c>
      <x:c r="O75" s="59" t="str">
        <x:v>PL-008</x:v>
      </x:c>
      <x:c r="P75" s="59" t="str">
        <x:v>SRC-039</x:v>
      </x:c>
      <x:c r="Q75" s="59" t="str">
        <x:v>The Met — Kodak and the Rise of Amateur Photography</x:v>
      </x:c>
      <x:c r="R75" s="59" t="str">
        <x:v>https://www.metmuseum.org/essays/kodak-and-the-rise-of-amateur-photography</x:v>
      </x:c>
      <x:c r="S75" s="59" t="n">
        <x:v>5</x:v>
      </x:c>
      <x:c r="T75" s="59" t="str">
        <x:v>Объяснить просто: раньше фотография была делом специалиста; теперь обычный человек получает право нажать кнопку и сохранить свою жизнь.</x:v>
      </x:c>
      <x:c r="U75" s="59" t="str">
        <x:v>Иконка: человек без студии и лаборатории снимает повседневный момент.</x:v>
      </x:c>
      <x:c r="V75" s="59" t="str">
        <x:v>#PL008 #amateur-photography #snapshot #everyday-life</x:v>
      </x:c>
      <x:c r="W75" s="59"/>
      <x:c r="X75" s="59"/>
      <x:c r="Y75" s="59" t="str">
        <x:v>Snapshot-культура / любительская практика</x:v>
      </x:c>
      <x:c r="Z75" s="59" t="str">
        <x:v>Применение / жанр</x:v>
      </x:c>
      <x:c r="AA75" s="59"/>
    </x:row>
    <x:row r="76" s="38" customFormat="1" ht="12.75" customHeight="1">
      <x:c r="A76" s="59" t="str">
        <x:v>PL-HIST-0075</x:v>
      </x:c>
      <x:c r="B76" s="59" t="str">
        <x:v>1900-е</x:v>
      </x:c>
      <x:c r="C76" s="59" t="str">
        <x:v>диапазон</x:v>
      </x:c>
      <x:c r="D76" s="59" t="str">
        <x:v>США</x:v>
      </x:c>
      <x:c r="E76" s="59" t="str">
        <x:v>Рочестер, Нью-Йорк / потребительский рынок</x:v>
      </x:c>
      <x:c r="F76" s="59" t="str">
        <x:v>Eastman Kodak / фотолаборатории</x:v>
      </x:c>
      <x:c r="G76" s="59" t="str">
        <x:v>Сервисная модель Kodak продолжает освобождать пользователя от проявки и печати: съёмка становится проще, а обработка уходит в лабораторию.</x:v>
      </x:c>
      <x:c r="H76" s="59" t="str">
        <x:v>Печать / тиражирование</x:v>
      </x:c>
      <x:c r="I76" s="59" t="str">
        <x:v>Consumer processing service</x:v>
      </x:c>
      <x:c r="J76" s="59" t="str">
        <x:v>Массовая фотография требует не только камеры, но и инфраструктуры: плёнка, проявка, печать и возврат снимков становятся частью единой системы.</x:v>
      </x:c>
      <x:c r="K76" s="59" t="str">
        <x:v>Kodak service model 1888</x:v>
      </x:c>
      <x:c r="L76" s="59" t="str">
        <x:v>Фотолаборатории, минилабы и массовая печать XX века</x:v>
      </x:c>
      <x:c r="M76" s="59" t="str">
        <x:v>Распространение / коммерциализация</x:v>
      </x:c>
      <x:c r="N76" s="59" t="n">
        <x:v>4</x:v>
      </x:c>
      <x:c r="O76" s="59" t="str">
        <x:v>PL-008</x:v>
      </x:c>
      <x:c r="P76" s="59" t="str">
        <x:v>SRC-039</x:v>
      </x:c>
      <x:c r="Q76" s="59" t="str">
        <x:v>The Met — Kodak and the Rise of Amateur Photography</x:v>
      </x:c>
      <x:c r="R76" s="59" t="str">
        <x:v>https://www.metmuseum.org/essays/kodak-and-the-rise-of-amateur-photography</x:v>
      </x:c>
      <x:c r="S76" s="59" t="n">
        <x:v>5</x:v>
      </x:c>
      <x:c r="T76" s="59" t="str">
        <x:v>Для PHOTO LAB это важный мост: массовая фотография сразу связана с лабораторией и печатью.</x:v>
      </x:c>
      <x:c r="U76" s="59" t="str">
        <x:v>Маршрут: пользователь снимает → лаборатория проявляет → отпечатки возвращаются.</x:v>
      </x:c>
      <x:c r="V76" s="59" t="str">
        <x:v>#PL008 #processing #photo-lab #Kodak-service #prints</x:v>
      </x:c>
      <x:c r="W76" s="59"/>
      <x:c r="X76" s="59" t="str">
        <x:v>43.1566, -77.6088</x:v>
      </x:c>
      <x:c r="Y76" s="59" t="str">
        <x:v>Snapshot-культура / сервисная обработка</x:v>
      </x:c>
      <x:c r="Z76" s="59" t="str">
        <x:v>Распространение / коммерциализация</x:v>
      </x:c>
      <x:c r="AA76" s="59"/>
    </x:row>
    <x:row r="77" s="38" customFormat="1" ht="12.75" customHeight="1">
      <x:c r="A77" s="59" t="str">
        <x:v>PL-HIST-0076</x:v>
      </x:c>
      <x:c r="B77" s="59" t="str">
        <x:v>1900–1980-е</x:v>
      </x:c>
      <x:c r="C77" s="59" t="str">
        <x:v>диапазон</x:v>
      </x:c>
      <x:c r="D77" s="59" t="str">
        <x:v>США / Великобритания / глобально</x:v>
      </x:c>
      <x:c r="E77" s="59" t="str">
        <x:v>распределённый процесс</x:v>
      </x:c>
      <x:c r="F77" s="59" t="str">
        <x:v>Eastman Kodak / пользователи Brownie</x:v>
      </x:c>
      <x:c r="G77" s="59" t="str">
        <x:v>Линейка Brownie живёт десятилетиями и закрепляет образ простой камеры для всех.</x:v>
      </x:c>
      <x:c r="H77" s="59" t="str">
        <x:v>Негатив-позитив</x:v>
      </x:c>
      <x:c r="I77" s="59" t="str">
        <x:v>Brownie camera line</x:v>
      </x:c>
      <x:c r="J77" s="59" t="str">
        <x:v>Brownie становится не одиночной моделью, а длительной культурной идеей: простая камера, доступная широкой аудитории.</x:v>
      </x:c>
      <x:c r="K77" s="59" t="str">
        <x:v>Brownie No. 1 и ранняя массовая фотография</x:v>
      </x:c>
      <x:c r="L77" s="59" t="str">
        <x:v>Долгая традиция простых потребительских камер XX века</x:v>
      </x:c>
      <x:c r="M77" s="59" t="str">
        <x:v>Временная доминирующая линия</x:v>
      </x:c>
      <x:c r="N77" s="59" t="n">
        <x:v>4</x:v>
      </x:c>
      <x:c r="O77" s="59" t="str">
        <x:v>PL-008</x:v>
      </x:c>
      <x:c r="P77" s="59" t="str">
        <x:v>SRC-047</x:v>
      </x:c>
      <x:c r="Q77" s="59" t="str">
        <x:v>National Science and Media Museum — B is for Brownie</x:v>
      </x:c>
      <x:c r="R77" s="59" t="str">
        <x:v>https://blog.scienceandmediamuseum.org.uk/a-z-photography-collection-b-is-for-brownie/</x:v>
      </x:c>
      <x:c r="S77" s="59" t="n">
        <x:v>4</x:v>
      </x:c>
      <x:c r="T77" s="59" t="str">
        <x:v>Важно: Brownie — это не только камера 1900 года, а символ народной фотографии на десятилетия.</x:v>
      </x:c>
      <x:c r="U77" s="59" t="str">
        <x:v>Таймлайн с разными поколениями Brownie как одной длинной народной линии.</x:v>
      </x:c>
      <x:c r="V77" s="59" t="str">
        <x:v>#PL008 #Brownie #camera-line #consumer-cameras</x:v>
      </x:c>
      <x:c r="W77" s="59" t="str">
        <x:v>Уточнить конкретные годы производства отдельных моделей Brownie при расширении темы.</x:v>
      </x:c>
      <x:c r="X77" s="59"/>
      <x:c r="Y77" s="59" t="str">
        <x:v>Brownie / долгий жизненный цикл</x:v>
      </x:c>
      <x:c r="Z77" s="59" t="str">
        <x:v>Распространение / коммерциализация</x:v>
      </x:c>
      <x:c r="AA77" s="59"/>
    </x:row>
    <x:row r="78" s="38" customFormat="1" ht="12.75" customHeight="1">
      <x:c r="A78" s="59" t="str">
        <x:v>PL-HIST-0077</x:v>
      </x:c>
      <x:c r="B78" s="59" t="str">
        <x:v>1888–1978</x:v>
      </x:c>
      <x:c r="C78" s="59" t="str">
        <x:v>диапазон</x:v>
      </x:c>
      <x:c r="D78" s="59" t="str">
        <x:v>США</x:v>
      </x:c>
      <x:c r="E78" s="59" t="str">
        <x:v>США / музейные коллекции</x:v>
      </x:c>
      <x:c r="F78" s="59" t="str">
        <x:v>Неизвестные фотографы / snapshot-архивы</x:v>
      </x:c>
      <x:c r="G78" s="59" t="str">
        <x:v>Массовые любительские снимки позже становятся историческим и культурным архивом повседневной жизни.</x:v>
      </x:c>
      <x:c r="H78" s="59" t="str">
        <x:v>Печать / тиражирование</x:v>
      </x:c>
      <x:c r="I78" s="59" t="str">
        <x:v>Vernacular photography / snapshot archive</x:v>
      </x:c>
      <x:c r="J78" s="59" t="str">
        <x:v>То, что начиналось как личные карточки «для себя», становится материалом для изучения общества, семьи, досуга и визуальной культуры.</x:v>
      </x:c>
      <x:c r="K78" s="59" t="str">
        <x:v>Kodak roll film и Brownie расширяют количество любительских снимков</x:v>
      </x:c>
      <x:c r="L78" s="59" t="str">
        <x:v>История vernacular photography и коллекционирование бытовых снимков</x:v>
      </x:c>
      <x:c r="M78" s="59" t="str">
        <x:v>Переходная технология</x:v>
      </x:c>
      <x:c r="N78" s="59" t="n">
        <x:v>3</x:v>
      </x:c>
      <x:c r="O78" s="59" t="str">
        <x:v>PL-008</x:v>
      </x:c>
      <x:c r="P78" s="59" t="str">
        <x:v>SRC-049</x:v>
      </x:c>
      <x:c r="Q78" s="59" t="str">
        <x:v>National Gallery of Art — The Art of the American Snapshot, 1888–1978</x:v>
      </x:c>
      <x:c r="R78" s="59" t="str">
        <x:v>https://www.nga.gov/exhibitions/art-american-snapshot-1888-1978-collection-robert-e-jackson</x:v>
      </x:c>
      <x:c r="S78" s="59" t="n">
        <x:v>5</x:v>
      </x:c>
      <x:c r="T78" s="59" t="str">
        <x:v>Смысл для начинающего: даже обычный семейный снимок со временем может стать историческим документом.</x:v>
      </x:c>
      <x:c r="U78" s="59" t="str">
        <x:v>Коробка старых снимков превращается в музейный архив.</x:v>
      </x:c>
      <x:c r="V78" s="59" t="str">
        <x:v>#PL008 #vernacular #snapshot-archive #museum #everyday-history</x:v>
      </x:c>
      <x:c r="W78" s="59"/>
      <x:c r="X78" s="59"/>
      <x:c r="Y78" s="59" t="str">
        <x:v>Snapshot-культура / культурный архив</x:v>
      </x:c>
      <x:c r="Z78" s="59" t="str">
        <x:v>Применение / жанр</x:v>
      </x:c>
      <x:c r="AA78" s="59"/>
    </x:row>
    <x:row r="79" s="38" customFormat="1" ht="12.75" customHeight="1">
      <x:c r="A79" s="59" t="str">
        <x:v>PL-HIST-0078</x:v>
      </x:c>
      <x:c r="B79" s="59" t="str">
        <x:v>1913 / 1925</x:v>
      </x:c>
      <x:c r="C79" s="59" t="str">
        <x:v>диапазон</x:v>
      </x:c>
      <x:c r="D79" s="59" t="str">
        <x:v>Германия</x:v>
      </x:c>
      <x:c r="E79" s="59" t="str">
        <x:v>Вецлар / Лейпциг</x:v>
      </x:c>
      <x:c r="F79" s="59" t="str">
        <x:v>Оскар Барнак / Leica</x:v>
      </x:c>
      <x:c r="G79" s="59" t="str">
        <x:v>После массовых box-камер следующий большой вопрос — как сделать камеру компактной, быстрой и качественной; к этому ведёт линия 35 мм и Leica.</x:v>
      </x:c>
      <x:c r="H79" s="59" t="str">
        <x:v>Негатив-позитив</x:v>
      </x:c>
      <x:c r="I79" s="59" t="str">
        <x:v>Bridge to 35mm miniature photography</x:v>
      </x:c>
      <x:c r="J79" s="59" t="str">
        <x:v>Фотография уже стала массовой, но следующий этап — сделать маленькую камеру серьёзным инструментом для живой съёмки.</x:v>
      </x:c>
      <x:c r="K79" s="59" t="str">
        <x:v>Brownie и snapshot-культура показывают силу простой камеры</x:v>
      </x:c>
      <x:c r="L79" s="59" t="str">
        <x:v>PL-009: 35 мм, Leica и новая мобильность фотографа</x:v>
      </x:c>
      <x:c r="M79" s="59" t="str">
        <x:v>Связь / переход</x:v>
      </x:c>
      <x:c r="N79" s="59" t="n">
        <x:v>5</x:v>
      </x:c>
      <x:c r="O79" s="59" t="str">
        <x:v>PL-008</x:v>
      </x:c>
      <x:c r="P79" s="59" t="str">
        <x:v>SRC-051</x:v>
      </x:c>
      <x:c r="Q79" s="59" t="str">
        <x:v>Smithsonian NMAH — Leica 35 mm 1(A) Camera</x:v>
      </x:c>
      <x:c r="R79" s="59" t="str">
        <x:v>https://americanhistory.si.edu/collections/object/nmah_834692</x:v>
      </x:c>
      <x:c r="S79" s="59" t="n">
        <x:v>5</x:v>
      </x:c>
      <x:c r="T79" s="59" t="str">
        <x:v>Это мост к PL-009: после «камеры для всех» появится идея компактной камеры для быстрой и качественной фотографии.</x:v>
      </x:c>
      <x:c r="U79" s="59" t="str">
        <x:v>Линия от коробочной Brownie к маленькой 35-мм камере Leica.</x:v>
      </x:c>
      <x:c r="V79" s="59" t="str">
        <x:v>#PL008 #bridge #Leica #35mm #future-PL</x:v>
      </x:c>
      <x:c r="W79" s="59" t="str">
        <x:v>При заполнении PL-009 уточнить отдельно Ur-Leica 1913, Leica I 1925 и роль 35-мм кино-плёнки.</x:v>
      </x:c>
      <x:c r="X79" s="59" t="str">
        <x:v>50.5619, 8.5044</x:v>
      </x:c>
      <x:c r="Y79" s="59" t="str">
        <x:v>Brownie / мост к 35 мм</x:v>
      </x:c>
      <x:c r="Z79" s="59" t="str">
        <x:v>Связь / переход</x:v>
      </x:c>
      <x:c r="AA79" s="59"/>
    </x:row>
    <x:row r="80" s="38" customFormat="1" ht="12.75" customHeight="1">
      <x:c r="Z80" s="37" t="n"/>
    </x:row>
    <x:row r="81" s="38" customFormat="1" ht="12.75" customHeight="1">
      <x:c r="Z81" s="37" t="n"/>
    </x:row>
    <x:row r="82" s="38" customFormat="1" ht="12.75" customHeight="1">
      <x:c r="Z82" s="37" t="n"/>
    </x:row>
    <x:row r="83" s="38" customFormat="1" ht="12.75" customHeight="1">
      <x:c r="Z83" s="37" t="n"/>
    </x:row>
    <x:row r="84" s="38" customFormat="1" ht="12.75" customHeight="1">
      <x:c r="Z84" s="37" t="n"/>
    </x:row>
    <x:row r="85" s="38" customFormat="1" ht="12.75" customHeight="1">
      <x:c r="Z85" s="37" t="n"/>
    </x:row>
    <x:row r="86" s="38" customFormat="1" ht="12.75" customHeight="1">
      <x:c r="Z86" s="37" t="n"/>
    </x:row>
    <x:row r="87" s="38" customFormat="1" ht="12.75" customHeight="1">
      <x:c r="Z87" s="37" t="n"/>
    </x:row>
    <x:row r="88" s="38" customFormat="1" ht="12.75" customHeight="1">
      <x:c r="Z88" s="37" t="n"/>
    </x:row>
    <x:row r="89" s="38" customFormat="1" ht="12.75" customHeight="1">
      <x:c r="Z89" s="37" t="n"/>
    </x:row>
    <x:row r="90" s="38" customFormat="1" ht="12.75" customHeight="1">
      <x:c r="Z90" s="37" t="n"/>
    </x:row>
    <x:row r="91" s="38" customFormat="1" ht="12.75" customHeight="1">
      <x:c r="Z91" s="37" t="n"/>
    </x:row>
    <x:row r="92" s="38" customFormat="1" ht="12.75" customHeight="1">
      <x:c r="Z92" s="37" t="n"/>
    </x:row>
    <x:row r="93" s="38" customFormat="1" ht="12.75" customHeight="1">
      <x:c r="Z93" s="37" t="n"/>
    </x:row>
    <x:row r="94" s="38" customFormat="1" ht="12.75" customHeight="1">
      <x:c r="Z94" s="37" t="n"/>
    </x:row>
    <x:row r="95" s="38" customFormat="1" ht="12.75" customHeight="1">
      <x:c r="Z95" s="37" t="n"/>
    </x:row>
    <x:row r="96" s="38" customFormat="1" ht="12.75" customHeight="1">
      <x:c r="Z96" s="37" t="n"/>
    </x:row>
    <x:row r="97" s="38" customFormat="1" ht="12.75" customHeight="1">
      <x:c r="Z97" s="37" t="n"/>
    </x:row>
    <x:row r="98" s="38" customFormat="1" ht="12.75" customHeight="1">
      <x:c r="Z98" s="37" t="n"/>
    </x:row>
    <x:row r="99" s="38" customFormat="1" ht="12.75" customHeight="1">
      <x:c r="Z99" s="37" t="n"/>
    </x:row>
    <x:row r="100" s="38" customFormat="1" ht="12.75" customHeight="1">
      <x:c r="Z100" s="37" t="n"/>
    </x:row>
    <x:row r="101" s="38" customFormat="1" ht="12.75" customHeight="1">
      <x:c r="Z101" s="37" t="n"/>
    </x:row>
    <x:row r="102" s="38" customFormat="1" ht="12.75" customHeight="1">
      <x:c r="Z102" s="37" t="n"/>
    </x:row>
    <x:row r="103" s="38" customFormat="1" ht="12.75" customHeight="1">
      <x:c r="Z103" s="37" t="n"/>
    </x:row>
    <x:row r="104" s="38" customFormat="1" ht="12.75" customHeight="1">
      <x:c r="Z104" s="37" t="n"/>
    </x:row>
    <x:row r="105" s="38" customFormat="1" ht="12.75" customHeight="1">
      <x:c r="Z105" s="37" t="n"/>
    </x:row>
    <x:row r="106" s="38" customFormat="1" ht="12.75" customHeight="1">
      <x:c r="Z106" s="37" t="n"/>
    </x:row>
    <x:row r="107" s="38" customFormat="1" ht="12.75" customHeight="1">
      <x:c r="Z107" s="37" t="n"/>
    </x:row>
    <x:row r="108" s="38" customFormat="1" ht="12.75" customHeight="1">
      <x:c r="Z108" s="37" t="n"/>
    </x:row>
    <x:row r="109" s="38" customFormat="1" ht="12.75" customHeight="1">
      <x:c r="Z109" s="37" t="n"/>
    </x:row>
    <x:row r="110" s="38" customFormat="1" ht="12.75" customHeight="1">
      <x:c r="Z110" s="37" t="n"/>
    </x:row>
    <x:row r="111" s="38" customFormat="1" ht="12.75" customHeight="1">
      <x:c r="Z111" s="37" t="n"/>
    </x:row>
    <x:row r="112" s="38" customFormat="1" ht="12.75" customHeight="1">
      <x:c r="Z112" s="37" t="n"/>
    </x:row>
    <x:row r="113" s="38" customFormat="1" ht="12.75" customHeight="1">
      <x:c r="Z113" s="37" t="n"/>
    </x:row>
    <x:row r="114" s="38" customFormat="1" ht="12.75" customHeight="1">
      <x:c r="Z114" s="37" t="n"/>
    </x:row>
    <x:row r="115" s="38" customFormat="1" ht="12.75" customHeight="1">
      <x:c r="Z115" s="37" t="n"/>
    </x:row>
    <x:row r="116" s="38" customFormat="1" ht="12.75" customHeight="1">
      <x:c r="Z116" s="37" t="n"/>
    </x:row>
    <x:row r="117" s="38" customFormat="1" ht="12.75" customHeight="1">
      <x:c r="Z117" s="37" t="n"/>
    </x:row>
    <x:row r="118" s="38" customFormat="1" ht="12.75" customHeight="1">
      <x:c r="Z118" s="37" t="n"/>
    </x:row>
    <x:row r="119" s="38" customFormat="1" ht="12.75" customHeight="1">
      <x:c r="Z119" s="37" t="n"/>
    </x:row>
    <x:row r="120" s="38" customFormat="1" ht="12.75" customHeight="1">
      <x:c r="Z120" s="37" t="n"/>
    </x:row>
    <x:row r="121" s="38" customFormat="1" ht="12.75" customHeight="1">
      <x:c r="Z121" s="37" t="n"/>
    </x:row>
    <x:row r="122" s="38" customFormat="1" ht="12.75" customHeight="1">
      <x:c r="Z122" s="37" t="n"/>
    </x:row>
    <x:row r="123" s="38" customFormat="1" ht="12.75" customHeight="1">
      <x:c r="Z123" s="37" t="n"/>
    </x:row>
    <x:row r="124" s="38" customFormat="1" ht="12.75" customHeight="1">
      <x:c r="Z124" s="37" t="n"/>
    </x:row>
    <x:row r="125" s="38" customFormat="1" ht="12.75" customHeight="1">
      <x:c r="Z125" s="37" t="n"/>
    </x:row>
    <x:row r="126" s="38" customFormat="1" ht="12.75" customHeight="1">
      <x:c r="Z126" s="37" t="n"/>
    </x:row>
    <x:row r="127" s="38" customFormat="1" ht="12.75" customHeight="1">
      <x:c r="Z127" s="37" t="n"/>
    </x:row>
    <x:row r="128" s="38" customFormat="1" ht="12.75" customHeight="1">
      <x:c r="Z128" s="37" t="n"/>
    </x:row>
    <x:row r="129" s="38" customFormat="1" ht="12.75" customHeight="1">
      <x:c r="Z129" s="37" t="n"/>
    </x:row>
    <x:row r="130" s="38" customFormat="1" ht="12.75" customHeight="1">
      <x:c r="Z130" s="37" t="n"/>
    </x:row>
    <x:row r="131" s="38" customFormat="1" ht="12.75" customHeight="1">
      <x:c r="Z131" s="37" t="n"/>
    </x:row>
    <x:row r="132" s="38" customFormat="1" ht="12.75" customHeight="1">
      <x:c r="Z132" s="37" t="n"/>
    </x:row>
    <x:row r="133" s="38" customFormat="1" ht="12.75" customHeight="1">
      <x:c r="Z133" s="37" t="n"/>
    </x:row>
    <x:row r="134" s="38" customFormat="1" ht="12.75" customHeight="1">
      <x:c r="Z134" s="37" t="n"/>
    </x:row>
    <x:row r="135" s="38" customFormat="1" ht="12.75" customHeight="1">
      <x:c r="Z135" s="37" t="n"/>
    </x:row>
    <x:row r="136" s="38" customFormat="1" ht="12.75" customHeight="1">
      <x:c r="Z136" s="37" t="n"/>
    </x:row>
    <x:row r="137" s="38" customFormat="1" ht="12.75" customHeight="1">
      <x:c r="Z137" s="37" t="n"/>
    </x:row>
    <x:row r="138" s="38" customFormat="1" ht="12.75" customHeight="1">
      <x:c r="Z138" s="37" t="n"/>
    </x:row>
    <x:row r="139" s="38" customFormat="1" ht="12.75" customHeight="1">
      <x:c r="Z139" s="37" t="n"/>
    </x:row>
    <x:row r="140" s="38" customFormat="1" ht="12.75" customHeight="1">
      <x:c r="Z140" s="37" t="n"/>
    </x:row>
    <x:row r="141" s="38" customFormat="1" ht="12.75" customHeight="1">
      <x:c r="Z141" s="37" t="n"/>
    </x:row>
    <x:row r="142" s="38" customFormat="1" ht="12.75" customHeight="1">
      <x:c r="Z142" s="37" t="n"/>
    </x:row>
    <x:row r="143" s="38" customFormat="1" ht="12.75" customHeight="1">
      <x:c r="Z143" s="37" t="n"/>
    </x:row>
    <x:row r="144" s="38" customFormat="1" ht="12.75" customHeight="1">
      <x:c r="Z144" s="37" t="n"/>
    </x:row>
    <x:row r="145" s="38" customFormat="1" ht="12.75" customHeight="1">
      <x:c r="Z145" s="37" t="n"/>
    </x:row>
    <x:row r="146" s="38" customFormat="1" ht="12.75" customHeight="1">
      <x:c r="Z146" s="37" t="n"/>
    </x:row>
    <x:row r="147" s="38" customFormat="1" ht="12.75" customHeight="1">
      <x:c r="Z147" s="37" t="n"/>
    </x:row>
    <x:row r="148" s="38" customFormat="1" ht="12.75" customHeight="1">
      <x:c r="Z148" s="37" t="n"/>
    </x:row>
    <x:row r="149" s="38" customFormat="1" ht="12.75" customHeight="1">
      <x:c r="Z149" s="37" t="n"/>
    </x:row>
    <x:row r="150" s="38" customFormat="1" ht="12.75" customHeight="1">
      <x:c r="Z150" s="37" t="n"/>
    </x:row>
    <x:row r="151" s="38" customFormat="1" ht="12.75" customHeight="1">
      <x:c r="Z151" s="37" t="n"/>
    </x:row>
    <x:row r="152" s="38" customFormat="1" ht="12.75" customHeight="1">
      <x:c r="Z152" s="37" t="n"/>
    </x:row>
    <x:row r="153" s="38" customFormat="1" ht="12.75" customHeight="1">
      <x:c r="Z153" s="37" t="n"/>
    </x:row>
    <x:row r="154" s="38" customFormat="1" ht="12.75" customHeight="1">
      <x:c r="Z154" s="37" t="n"/>
    </x:row>
    <x:row r="155" s="38" customFormat="1" ht="12.75" customHeight="1">
      <x:c r="Z155" s="37" t="n"/>
    </x:row>
    <x:row r="156" s="38" customFormat="1" ht="12.75" customHeight="1">
      <x:c r="Z156" s="37" t="n"/>
    </x:row>
    <x:row r="157" s="38" customFormat="1" ht="12.75" customHeight="1">
      <x:c r="Z157" s="37" t="n"/>
    </x:row>
    <x:row r="158" s="38" customFormat="1" ht="12.75" customHeight="1">
      <x:c r="Z158" s="37" t="n"/>
    </x:row>
    <x:row r="159" s="38" customFormat="1" ht="12.75" customHeight="1">
      <x:c r="Z159" s="37" t="n"/>
    </x:row>
    <x:row r="160" s="38" customFormat="1" ht="12.75" customHeight="1">
      <x:c r="Z160" s="37" t="n"/>
    </x:row>
    <x:row r="161" s="38" customFormat="1" ht="12.75" customHeight="1">
      <x:c r="Z161" s="37" t="n"/>
    </x:row>
    <x:row r="162" s="38" customFormat="1" ht="12.75" customHeight="1">
      <x:c r="Z162" s="37" t="n"/>
    </x:row>
    <x:row r="163" s="38" customFormat="1" ht="12.75" customHeight="1">
      <x:c r="Z163" s="37" t="n"/>
    </x:row>
    <x:row r="164" s="38" customFormat="1" ht="12.75" customHeight="1">
      <x:c r="Z164" s="37" t="n"/>
    </x:row>
    <x:row r="165" s="38" customFormat="1" ht="12.75" customHeight="1">
      <x:c r="Z165" s="37" t="n"/>
    </x:row>
    <x:row r="166" s="38" customFormat="1" ht="12.75" customHeight="1">
      <x:c r="Z166" s="37" t="n"/>
    </x:row>
    <x:row r="167" s="38" customFormat="1" ht="12.75" customHeight="1">
      <x:c r="Z167" s="37" t="n"/>
    </x:row>
    <x:row r="168" s="38" customFormat="1" ht="12.75" customHeight="1">
      <x:c r="Z168" s="37" t="n"/>
    </x:row>
    <x:row r="169" s="38" customFormat="1" ht="12.75" customHeight="1">
      <x:c r="Z169" s="37" t="n"/>
    </x:row>
    <x:row r="170" s="38" customFormat="1" ht="12.75" customHeight="1">
      <x:c r="Z170" s="37" t="n"/>
    </x:row>
    <x:row r="171" s="38" customFormat="1" ht="12.75" customHeight="1">
      <x:c r="Z171" s="37" t="n"/>
    </x:row>
    <x:row r="172" s="38" customFormat="1" ht="12.75" customHeight="1">
      <x:c r="Z172" s="37" t="n"/>
    </x:row>
    <x:row r="173" s="38" customFormat="1" ht="12.75" customHeight="1">
      <x:c r="Z173" s="37" t="n"/>
    </x:row>
    <x:row r="174" s="38" customFormat="1" ht="12.75" customHeight="1">
      <x:c r="Z174" s="37" t="n"/>
    </x:row>
    <x:row r="175" s="38" customFormat="1" ht="12.75" customHeight="1">
      <x:c r="Z175" s="37" t="n"/>
    </x:row>
    <x:row r="176" s="38" customFormat="1" ht="12.75" customHeight="1">
      <x:c r="Z176" s="37" t="n"/>
    </x:row>
    <x:row r="177" s="38" customFormat="1" ht="12.75" customHeight="1">
      <x:c r="Z177" s="37" t="n"/>
    </x:row>
    <x:row r="178" s="38" customFormat="1" ht="12.75" customHeight="1">
      <x:c r="Z178" s="37" t="n"/>
    </x:row>
    <x:row r="179" s="38" customFormat="1" ht="12.75" customHeight="1">
      <x:c r="Z179" s="37" t="n"/>
    </x:row>
    <x:row r="180" s="38" customFormat="1" ht="12.75" customHeight="1">
      <x:c r="Z180" s="37" t="n"/>
    </x:row>
    <x:row r="181" s="38" customFormat="1" ht="12.75" customHeight="1">
      <x:c r="Z181" s="37" t="n"/>
    </x:row>
    <x:row r="182" s="38" customFormat="1" ht="12.75" customHeight="1">
      <x:c r="Z182" s="37" t="n"/>
    </x:row>
    <x:row r="183" s="38" customFormat="1" ht="12.75" customHeight="1">
      <x:c r="Z183" s="37" t="n"/>
    </x:row>
    <x:row r="184" s="38" customFormat="1" ht="12.75" customHeight="1">
      <x:c r="Z184" s="37" t="n"/>
    </x:row>
    <x:row r="185" s="38" customFormat="1" ht="12.75" customHeight="1">
      <x:c r="Z185" s="37" t="n"/>
    </x:row>
    <x:row r="186" s="38" customFormat="1" ht="12.75" customHeight="1">
      <x:c r="Z186" s="37" t="n"/>
    </x:row>
    <x:row r="187" s="38" customFormat="1" ht="12.75" customHeight="1">
      <x:c r="Z187" s="37" t="n"/>
    </x:row>
    <x:row r="188" s="38" customFormat="1" ht="12.75" customHeight="1">
      <x:c r="Z188" s="37" t="n"/>
    </x:row>
    <x:row r="189" s="38" customFormat="1" ht="12.75" customHeight="1">
      <x:c r="Z189" s="37" t="n"/>
    </x:row>
    <x:row r="190" s="38" customFormat="1" ht="12.75" customHeight="1">
      <x:c r="Z190" s="37" t="n"/>
    </x:row>
    <x:row r="191" s="38" customFormat="1" ht="12.75" customHeight="1">
      <x:c r="Z191" s="37" t="n"/>
    </x:row>
    <x:row r="192" s="38" customFormat="1" ht="12.75" customHeight="1">
      <x:c r="Z192" s="37" t="n"/>
    </x:row>
    <x:row r="193" s="38" customFormat="1" ht="12.75" customHeight="1">
      <x:c r="Z193" s="37" t="n"/>
    </x:row>
    <x:row r="194" s="38" customFormat="1" ht="12.75" customHeight="1">
      <x:c r="Z194" s="37" t="n"/>
    </x:row>
    <x:row r="195" s="38" customFormat="1" ht="12.75" customHeight="1">
      <x:c r="Z195" s="37" t="n"/>
    </x:row>
    <x:row r="196" s="38" customFormat="1" ht="12.75" customHeight="1">
      <x:c r="Z196" s="37" t="n"/>
    </x:row>
    <x:row r="197" s="38" customFormat="1" ht="12.75" customHeight="1">
      <x:c r="Z197" s="37" t="n"/>
    </x:row>
    <x:row r="198" s="38" customFormat="1" ht="12.75" customHeight="1">
      <x:c r="Z198" s="37" t="n"/>
    </x:row>
    <x:row r="199" s="38" customFormat="1" ht="12.75" customHeight="1">
      <x:c r="Z199" s="37" t="n"/>
    </x:row>
    <x:row r="200" s="38" customFormat="1" ht="12.75" customHeight="1">
      <x:c r="Z200" s="37" t="n"/>
    </x:row>
    <x:row r="201" s="38" customFormat="1" ht="12.75" customHeight="1">
      <x:c r="Z201" s="37" t="n"/>
    </x:row>
    <x:row r="202" s="38" customFormat="1" ht="12.75" customHeight="1">
      <x:c r="Z202" s="37" t="n"/>
    </x:row>
    <x:row r="203" s="38" customFormat="1" ht="12.75" customHeight="1">
      <x:c r="Z203" s="37" t="n"/>
    </x:row>
    <x:row r="204" s="38" customFormat="1" ht="12.75" customHeight="1">
      <x:c r="Z204" s="37" t="n"/>
    </x:row>
    <x:row r="205" s="38" customFormat="1" ht="12.75" customHeight="1">
      <x:c r="Z205" s="37" t="n"/>
    </x:row>
    <x:row r="206" s="38" customFormat="1" ht="12.75" customHeight="1">
      <x:c r="Z206" s="37" t="n"/>
    </x:row>
    <x:row r="207" s="38" customFormat="1" ht="12.75" customHeight="1">
      <x:c r="Z207" s="37" t="n"/>
    </x:row>
    <x:row r="208" s="38" customFormat="1" ht="12.75" customHeight="1">
      <x:c r="Z208" s="37" t="n"/>
    </x:row>
    <x:row r="209" s="38" customFormat="1" ht="12.75" customHeight="1">
      <x:c r="Z209" s="37" t="n"/>
    </x:row>
    <x:row r="210" s="38" customFormat="1" ht="12.75" customHeight="1">
      <x:c r="Z210" s="37" t="n"/>
    </x:row>
    <x:row r="211" s="38" customFormat="1" ht="12.75" customHeight="1">
      <x:c r="Z211" s="37" t="n"/>
    </x:row>
    <x:row r="212" s="38" customFormat="1" ht="12.75" customHeight="1">
      <x:c r="Z212" s="37" t="n"/>
    </x:row>
    <x:row r="213" s="38" customFormat="1" ht="12.75" customHeight="1">
      <x:c r="Z213" s="37" t="n"/>
    </x:row>
    <x:row r="214" s="38" customFormat="1" ht="12.75" customHeight="1">
      <x:c r="Z214" s="37" t="n"/>
    </x:row>
    <x:row r="215" s="38" customFormat="1" ht="12.75" customHeight="1">
      <x:c r="Z215" s="37" t="n"/>
    </x:row>
    <x:row r="216" s="38" customFormat="1" ht="12.75" customHeight="1">
      <x:c r="Z216" s="37" t="n"/>
    </x:row>
    <x:row r="217" s="38" customFormat="1" ht="12.75" customHeight="1">
      <x:c r="Z217" s="37" t="n"/>
    </x:row>
    <x:row r="218" s="38" customFormat="1" ht="12.75" customHeight="1">
      <x:c r="Z218" s="37" t="n"/>
    </x:row>
    <x:row r="219" s="38" customFormat="1" ht="12.75" customHeight="1">
      <x:c r="Z219" s="37" t="n"/>
    </x:row>
    <x:row r="220" s="38" customFormat="1" ht="12.75" customHeight="1">
      <x:c r="Z220" s="37" t="n"/>
    </x:row>
    <x:row r="221" s="38" customFormat="1" ht="12.75" customHeight="1">
      <x:c r="Z221" s="37" t="n"/>
    </x:row>
    <x:row r="222" s="38" customFormat="1" ht="12.75" customHeight="1">
      <x:c r="Z222" s="37" t="n"/>
    </x:row>
    <x:row r="223" s="38" customFormat="1" ht="12.75" customHeight="1">
      <x:c r="Z223" s="37" t="n"/>
    </x:row>
    <x:row r="224" s="38" customFormat="1" ht="12.75" customHeight="1">
      <x:c r="Z224" s="37" t="n"/>
    </x:row>
    <x:row r="225" s="38" customFormat="1" ht="12.75" customHeight="1">
      <x:c r="Z225" s="37" t="n"/>
    </x:row>
    <x:row r="226" s="38" customFormat="1" ht="12.75" customHeight="1">
      <x:c r="Z226" s="37" t="n"/>
    </x:row>
    <x:row r="227" s="38" customFormat="1" ht="12.75" customHeight="1">
      <x:c r="Z227" s="37" t="n"/>
    </x:row>
    <x:row r="228" s="38" customFormat="1" ht="12.75" customHeight="1">
      <x:c r="Z228" s="37" t="n"/>
    </x:row>
    <x:row r="229" s="38" customFormat="1" ht="12.75" customHeight="1">
      <x:c r="Z229" s="37" t="n"/>
    </x:row>
    <x:row r="230" s="38" customFormat="1" ht="12.75" customHeight="1">
      <x:c r="Z230" s="37" t="n"/>
    </x:row>
    <x:row r="231" s="38" customFormat="1" ht="12.75" customHeight="1">
      <x:c r="Z231" s="37" t="n"/>
    </x:row>
    <x:row r="232" s="38" customFormat="1" ht="12.75" customHeight="1">
      <x:c r="Z232" s="37" t="n"/>
    </x:row>
    <x:row r="233" s="38" customFormat="1" ht="12.75" customHeight="1">
      <x:c r="Z233" s="37" t="n"/>
    </x:row>
    <x:row r="234" s="38" customFormat="1" ht="12.75" customHeight="1">
      <x:c r="Z234" s="37" t="n"/>
    </x:row>
    <x:row r="235" s="38" customFormat="1" ht="12.75" customHeight="1">
      <x:c r="Z235" s="37" t="n"/>
    </x:row>
    <x:row r="236" s="38" customFormat="1" ht="12.75" customHeight="1">
      <x:c r="Z236" s="37" t="n"/>
    </x:row>
    <x:row r="237" s="38" customFormat="1" ht="12.75" customHeight="1">
      <x:c r="Z237" s="37" t="n"/>
    </x:row>
    <x:row r="238" s="38" customFormat="1" ht="12.75" customHeight="1">
      <x:c r="Z238" s="37" t="n"/>
    </x:row>
    <x:row r="239" s="38" customFormat="1" ht="12.75" customHeight="1">
      <x:c r="Z239" s="37" t="n"/>
    </x:row>
    <x:row r="240" s="38" customFormat="1" ht="12.75" customHeight="1">
      <x:c r="Z240" s="37" t="n"/>
    </x:row>
    <x:row r="241" s="38" customFormat="1" ht="12.75" customHeight="1">
      <x:c r="Z241" s="37" t="n"/>
    </x:row>
    <x:row r="242" s="38" customFormat="1" ht="12.75" customHeight="1">
      <x:c r="Z242" s="37" t="n"/>
    </x:row>
    <x:row r="243" s="38" customFormat="1" ht="12.75" customHeight="1">
      <x:c r="Z243" s="37" t="n"/>
    </x:row>
    <x:row r="244" s="38" customFormat="1" ht="12.75" customHeight="1">
      <x:c r="Z244" s="37" t="n"/>
    </x:row>
    <x:row r="245" s="38" customFormat="1" ht="12.75" customHeight="1">
      <x:c r="Z245" s="37" t="n"/>
    </x:row>
    <x:row r="246" s="38" customFormat="1" ht="12.75" customHeight="1">
      <x:c r="Z246" s="37" t="n"/>
    </x:row>
    <x:row r="247" s="38" customFormat="1" ht="12.75" customHeight="1">
      <x:c r="Z247" s="37" t="n"/>
    </x:row>
    <x:row r="248" s="38" customFormat="1" ht="12.75" customHeight="1">
      <x:c r="Z248" s="37" t="n"/>
    </x:row>
    <x:row r="249" s="38" customFormat="1" ht="12.75" customHeight="1">
      <x:c r="Z249" s="37" t="n"/>
    </x:row>
    <x:row r="250" s="38" customFormat="1" ht="12.75" customHeight="1">
      <x:c r="Z250" s="37" t="n"/>
    </x:row>
    <x:row r="251" s="38" customFormat="1" ht="12.75" customHeight="1">
      <x:c r="Z251" s="37" t="n"/>
    </x:row>
    <x:row r="252" s="38" customFormat="1" ht="12.75" customHeight="1">
      <x:c r="Z252" s="37" t="n"/>
    </x:row>
    <x:row r="253" s="38" customFormat="1" ht="12.75" customHeight="1">
      <x:c r="Z253" s="37" t="n"/>
    </x:row>
    <x:row r="254" s="38" customFormat="1" ht="12.75" customHeight="1">
      <x:c r="Z254" s="37" t="n"/>
    </x:row>
    <x:row r="255" s="38" customFormat="1" ht="12.75" customHeight="1">
      <x:c r="Z255" s="37" t="n"/>
    </x:row>
    <x:row r="256" s="38" customFormat="1" ht="12.75" customHeight="1">
      <x:c r="Z256" s="37" t="n"/>
    </x:row>
    <x:row r="257" s="38" customFormat="1" ht="12.75" customHeight="1">
      <x:c r="Z257" s="37" t="n"/>
    </x:row>
    <x:row r="258" s="38" customFormat="1" ht="12.75" customHeight="1">
      <x:c r="Z258" s="37" t="n"/>
    </x:row>
    <x:row r="259" s="38" customFormat="1" ht="12.75" customHeight="1">
      <x:c r="Z259" s="37" t="n"/>
    </x:row>
    <x:row r="260" s="38" customFormat="1" ht="12.75" customHeight="1">
      <x:c r="Z260" s="37" t="n"/>
    </x:row>
    <x:row r="261" s="38" customFormat="1" ht="12.75" customHeight="1">
      <x:c r="Z261" s="37" t="n"/>
    </x:row>
    <x:row r="262" s="38" customFormat="1" ht="12.75" customHeight="1">
      <x:c r="Z262" s="37" t="n"/>
    </x:row>
    <x:row r="263" s="38" customFormat="1" ht="12.75" customHeight="1">
      <x:c r="Z263" s="37" t="n"/>
    </x:row>
    <x:row r="264" s="38" customFormat="1" ht="12.75" customHeight="1">
      <x:c r="Z264" s="37" t="n"/>
    </x:row>
    <x:row r="265" s="38" customFormat="1" ht="12.75" customHeight="1">
      <x:c r="Z265" s="37" t="n"/>
    </x:row>
    <x:row r="266" s="38" customFormat="1" ht="12.75" customHeight="1">
      <x:c r="Z266" s="37" t="n"/>
    </x:row>
    <x:row r="267" s="38" customFormat="1" ht="12.75" customHeight="1">
      <x:c r="Z267" s="37" t="n"/>
    </x:row>
    <x:row r="268" s="38" customFormat="1" ht="12.75" customHeight="1">
      <x:c r="Z268" s="37" t="n"/>
    </x:row>
    <x:row r="269" s="38" customFormat="1" ht="12.75" customHeight="1">
      <x:c r="Z269" s="37" t="n"/>
    </x:row>
    <x:row r="270" s="38" customFormat="1" ht="12.75" customHeight="1">
      <x:c r="Z270" s="37" t="n"/>
    </x:row>
    <x:row r="271" s="38" customFormat="1" ht="12.75" customHeight="1">
      <x:c r="Z271" s="37" t="n"/>
    </x:row>
    <x:row r="272" s="38" customFormat="1" ht="12.75" customHeight="1">
      <x:c r="Z272" s="37" t="n"/>
    </x:row>
    <x:row r="273" s="38" customFormat="1" ht="12.75" customHeight="1">
      <x:c r="Z273" s="37" t="n"/>
    </x:row>
    <x:row r="274" s="38" customFormat="1" ht="12.75" customHeight="1">
      <x:c r="Z274" s="37" t="n"/>
    </x:row>
    <x:row r="275" s="38" customFormat="1" ht="12.75" customHeight="1">
      <x:c r="Z275" s="37" t="n"/>
    </x:row>
    <x:row r="276" s="38" customFormat="1" ht="12.75" customHeight="1">
      <x:c r="Z276" s="37" t="n"/>
    </x:row>
    <x:row r="277" s="38" customFormat="1" ht="12.75" customHeight="1">
      <x:c r="Z277" s="37" t="n"/>
    </x:row>
    <x:row r="278" s="38" customFormat="1" ht="12.75" customHeight="1">
      <x:c r="Z278" s="37" t="n"/>
    </x:row>
    <x:row r="279" s="38" customFormat="1" ht="12.75" customHeight="1">
      <x:c r="Z279" s="37" t="n"/>
    </x:row>
    <x:row r="280" s="38" customFormat="1" ht="12.75" customHeight="1">
      <x:c r="Z280" s="37" t="n"/>
    </x:row>
    <x:row r="281" s="38" customFormat="1" ht="12.75" customHeight="1">
      <x:c r="Z281" s="37" t="n"/>
    </x:row>
    <x:row r="282" s="38" customFormat="1" ht="12.75" customHeight="1">
      <x:c r="Z282" s="37" t="n"/>
    </x:row>
    <x:row r="283" s="38" customFormat="1" ht="12.75" customHeight="1">
      <x:c r="Z283" s="37" t="n"/>
    </x:row>
    <x:row r="284" s="38" customFormat="1" ht="12.75" customHeight="1">
      <x:c r="Z284" s="37" t="n"/>
    </x:row>
    <x:row r="285" s="38" customFormat="1" ht="12.75" customHeight="1">
      <x:c r="Z285" s="37" t="n"/>
    </x:row>
    <x:row r="286" s="38" customFormat="1" ht="12.75" customHeight="1">
      <x:c r="Z286" s="37" t="n"/>
    </x:row>
    <x:row r="287" s="38" customFormat="1" ht="12.75" customHeight="1">
      <x:c r="Z287" s="37" t="n"/>
    </x:row>
    <x:row r="288" s="38" customFormat="1" ht="12.75" customHeight="1">
      <x:c r="Z288" s="37" t="n"/>
    </x:row>
    <x:row r="289" s="38" customFormat="1" ht="12.75" customHeight="1">
      <x:c r="Z289" s="37" t="n"/>
    </x:row>
    <x:row r="290" s="38" customFormat="1" ht="12.75" customHeight="1">
      <x:c r="Z290" s="37" t="n"/>
    </x:row>
    <x:row r="291" s="38" customFormat="1" ht="12.75" customHeight="1">
      <x:c r="Z291" s="37" t="n"/>
    </x:row>
    <x:row r="292" s="38" customFormat="1" ht="12.75" customHeight="1">
      <x:c r="Z292" s="37" t="n"/>
    </x:row>
    <x:row r="293" s="38" customFormat="1" ht="12.75" customHeight="1">
      <x:c r="Z293" s="37" t="n"/>
    </x:row>
    <x:row r="294" s="38" customFormat="1" ht="12.75" customHeight="1">
      <x:c r="Z294" s="37" t="n"/>
    </x:row>
    <x:row r="295" s="38" customFormat="1" ht="12.75" customHeight="1">
      <x:c r="Z295" s="37" t="n"/>
    </x:row>
    <x:row r="296" s="38" customFormat="1" ht="12.75" customHeight="1">
      <x:c r="Z296" s="37" t="n"/>
    </x:row>
    <x:row r="297" s="38" customFormat="1" ht="12.75" customHeight="1">
      <x:c r="Z297" s="37" t="n"/>
    </x:row>
    <x:row r="298" s="38" customFormat="1" ht="12.75" customHeight="1">
      <x:c r="Z298" s="37" t="n"/>
    </x:row>
    <x:row r="299" s="38" customFormat="1" ht="12.75" customHeight="1">
      <x:c r="Z299" s="37" t="n"/>
    </x:row>
    <x:row r="300" s="38" customFormat="1" ht="12.75" customHeight="1">
      <x:c r="Z300" s="37" t="n"/>
    </x:row>
    <x:row r="301" s="38" customFormat="1" ht="12.75" customHeight="1">
      <x:c r="Z301" s="37" t="n"/>
    </x:row>
    <x:row r="302" s="38" customFormat="1" ht="12.75" customHeight="1">
      <x:c r="Z302" s="37" t="n"/>
    </x:row>
    <x:row r="303" s="38" customFormat="1" ht="12.75" customHeight="1">
      <x:c r="Z303" s="37" t="n"/>
    </x:row>
    <x:row r="304" s="38" customFormat="1" ht="12.75" customHeight="1">
      <x:c r="Z304" s="37" t="n"/>
    </x:row>
    <x:row r="305" s="38" customFormat="1" ht="12.75" customHeight="1">
      <x:c r="Z305" s="37" t="n"/>
    </x:row>
    <x:row r="306" s="38" customFormat="1" ht="12.75" customHeight="1">
      <x:c r="Z306" s="37" t="n"/>
    </x:row>
    <x:row r="307" s="38" customFormat="1" ht="12.75" customHeight="1">
      <x:c r="Z307" s="37" t="n"/>
    </x:row>
    <x:row r="308" s="38" customFormat="1" ht="12.75" customHeight="1">
      <x:c r="Z308" s="37" t="n"/>
    </x:row>
    <x:row r="309" s="38" customFormat="1" ht="12.75" customHeight="1">
      <x:c r="Z309" s="37" t="n"/>
    </x:row>
    <x:row r="310" s="38" customFormat="1" ht="12.75" customHeight="1">
      <x:c r="Z310" s="37" t="n"/>
    </x:row>
    <x:row r="311" s="38" customFormat="1" ht="12.75" customHeight="1">
      <x:c r="Z311" s="37" t="n"/>
    </x:row>
    <x:row r="312" s="38" customFormat="1" ht="12.75" customHeight="1">
      <x:c r="Z312" s="37" t="n"/>
    </x:row>
    <x:row r="313" s="38" customFormat="1" ht="12.75" customHeight="1">
      <x:c r="Z313" s="37" t="n"/>
    </x:row>
    <x:row r="314" s="38" customFormat="1" ht="12.75" customHeight="1">
      <x:c r="Z314" s="37" t="n"/>
    </x:row>
    <x:row r="315" s="38" customFormat="1" ht="12.75" customHeight="1">
      <x:c r="Z315" s="37" t="n"/>
    </x:row>
    <x:row r="316" s="38" customFormat="1" ht="12.75" customHeight="1">
      <x:c r="Z316" s="37" t="n"/>
    </x:row>
    <x:row r="317" s="38" customFormat="1" ht="12.75" customHeight="1">
      <x:c r="Z317" s="37" t="n"/>
    </x:row>
    <x:row r="318" s="38" customFormat="1" ht="12.75" customHeight="1">
      <x:c r="Z318" s="37" t="n"/>
    </x:row>
    <x:row r="319" s="38" customFormat="1" ht="12.75" customHeight="1">
      <x:c r="Z319" s="37" t="n"/>
    </x:row>
    <x:row r="320" s="38" customFormat="1" ht="12.75" customHeight="1">
      <x:c r="Z320" s="37" t="n"/>
    </x:row>
    <x:row r="321" s="38" customFormat="1" ht="12.75" customHeight="1">
      <x:c r="Z321" s="37" t="n"/>
    </x:row>
    <x:row r="322" s="38" customFormat="1" ht="12.75" customHeight="1">
      <x:c r="Z322" s="37" t="n"/>
    </x:row>
    <x:row r="323" s="38" customFormat="1" ht="12.75" customHeight="1">
      <x:c r="Z323" s="37" t="n"/>
    </x:row>
    <x:row r="324" s="38" customFormat="1" ht="12.75" customHeight="1">
      <x:c r="Z324" s="37" t="n"/>
    </x:row>
    <x:row r="325" s="38" customFormat="1" ht="12.75" customHeight="1">
      <x:c r="Z325" s="37" t="n"/>
    </x:row>
    <x:row r="326" s="38" customFormat="1" ht="12.75" customHeight="1">
      <x:c r="Z326" s="37" t="n"/>
    </x:row>
    <x:row r="327" s="38" customFormat="1" ht="12.75" customHeight="1">
      <x:c r="Z327" s="37" t="n"/>
    </x:row>
    <x:row r="328" s="38" customFormat="1" ht="12.75" customHeight="1">
      <x:c r="Z328" s="37" t="n"/>
    </x:row>
    <x:row r="329" s="38" customFormat="1" ht="12.75" customHeight="1">
      <x:c r="Z329" s="37" t="n"/>
    </x:row>
    <x:row r="330" s="38" customFormat="1" ht="12.75" customHeight="1">
      <x:c r="Z330" s="37" t="n"/>
    </x:row>
    <x:row r="331" s="38" customFormat="1" ht="12.75" customHeight="1">
      <x:c r="Z331" s="37" t="n"/>
    </x:row>
    <x:row r="332" s="38" customFormat="1" ht="12.75" customHeight="1">
      <x:c r="Z332" s="37" t="n"/>
    </x:row>
    <x:row r="333" s="38" customFormat="1" ht="12.75" customHeight="1">
      <x:c r="Z333" s="37" t="n"/>
    </x:row>
    <x:row r="334" s="38" customFormat="1" ht="12.75" customHeight="1">
      <x:c r="Z334" s="37" t="n"/>
    </x:row>
    <x:row r="335" s="38" customFormat="1" ht="12.75" customHeight="1">
      <x:c r="Z335" s="37" t="n"/>
    </x:row>
    <x:row r="336" s="38" customFormat="1" ht="12.75" customHeight="1">
      <x:c r="Z336" s="37" t="n"/>
    </x:row>
    <x:row r="337" s="38" customFormat="1" ht="12.75" customHeight="1">
      <x:c r="Z337" s="37" t="n"/>
    </x:row>
    <x:row r="338" s="38" customFormat="1" ht="12.75" customHeight="1">
      <x:c r="Z338" s="37" t="n"/>
    </x:row>
    <x:row r="339" s="38" customFormat="1" ht="12.75" customHeight="1">
      <x:c r="Z339" s="37" t="n"/>
    </x:row>
    <x:row r="340" s="38" customFormat="1" ht="12.75" customHeight="1">
      <x:c r="Z340" s="37" t="n"/>
    </x:row>
    <x:row r="341" s="38" customFormat="1" ht="12.75" customHeight="1">
      <x:c r="Z341" s="37" t="n"/>
    </x:row>
    <x:row r="342" s="38" customFormat="1" ht="12.75" customHeight="1">
      <x:c r="Z342" s="37" t="n"/>
    </x:row>
    <x:row r="343" s="38" customFormat="1" ht="12.75" customHeight="1">
      <x:c r="Z343" s="37" t="n"/>
    </x:row>
    <x:row r="344" s="38" customFormat="1" ht="12.75" customHeight="1">
      <x:c r="Z344" s="37" t="n"/>
    </x:row>
    <x:row r="345" s="38" customFormat="1" ht="12.75" customHeight="1">
      <x:c r="Z345" s="37" t="n"/>
    </x:row>
    <x:row r="346" s="38" customFormat="1" ht="12.75" customHeight="1">
      <x:c r="Z346" s="37" t="n"/>
    </x:row>
    <x:row r="347" s="38" customFormat="1" ht="12.75" customHeight="1">
      <x:c r="Z347" s="37" t="n"/>
    </x:row>
    <x:row r="348" s="38" customFormat="1" ht="12.75" customHeight="1">
      <x:c r="Z348" s="37" t="n"/>
    </x:row>
    <x:row r="349" s="38" customFormat="1" ht="12.75" customHeight="1">
      <x:c r="Z349" s="37" t="n"/>
    </x:row>
    <x:row r="350" s="38" customFormat="1" ht="12.75" customHeight="1">
      <x:c r="Z350" s="37" t="n"/>
    </x:row>
    <x:row r="351" s="38" customFormat="1" ht="12.75" customHeight="1">
      <x:c r="Z351" s="37" t="n"/>
    </x:row>
    <x:row r="352" s="38" customFormat="1" ht="12.75" customHeight="1">
      <x:c r="Z352" s="37" t="n"/>
    </x:row>
    <x:row r="353" s="38" customFormat="1" ht="12.75" customHeight="1">
      <x:c r="Z353" s="37" t="n"/>
    </x:row>
    <x:row r="354" s="38" customFormat="1" ht="12.75" customHeight="1">
      <x:c r="Z354" s="37" t="n"/>
    </x:row>
    <x:row r="355" s="38" customFormat="1" ht="12.75" customHeight="1">
      <x:c r="Z355" s="37" t="n"/>
    </x:row>
    <x:row r="356" s="38" customFormat="1" ht="12.75" customHeight="1">
      <x:c r="Z356" s="37" t="n"/>
    </x:row>
    <x:row r="357" s="38" customFormat="1" ht="12.75" customHeight="1">
      <x:c r="Z357" s="37" t="n"/>
    </x:row>
    <x:row r="358" s="38" customFormat="1" ht="12.75" customHeight="1">
      <x:c r="Z358" s="37" t="n"/>
    </x:row>
    <x:row r="359" s="38" customFormat="1" ht="12.75" customHeight="1">
      <x:c r="Z359" s="37" t="n"/>
    </x:row>
    <x:row r="360" s="38" customFormat="1" ht="12.75" customHeight="1">
      <x:c r="Z360" s="37" t="n"/>
    </x:row>
    <x:row r="361" s="38" customFormat="1" ht="12.75" customHeight="1">
      <x:c r="Z361" s="37" t="n"/>
    </x:row>
    <x:row r="362" s="38" customFormat="1" ht="12.75" customHeight="1">
      <x:c r="Z362" s="37" t="n"/>
    </x:row>
    <x:row r="363" s="38" customFormat="1" ht="12.75" customHeight="1">
      <x:c r="Z363" s="37" t="n"/>
    </x:row>
    <x:row r="364" s="38" customFormat="1" ht="12.75" customHeight="1">
      <x:c r="Z364" s="37" t="n"/>
    </x:row>
    <x:row r="365" s="38" customFormat="1" ht="12.75" customHeight="1">
      <x:c r="Z365" s="37" t="n"/>
    </x:row>
    <x:row r="366" s="38" customFormat="1" ht="12.75" customHeight="1">
      <x:c r="Z366" s="37" t="n"/>
    </x:row>
    <x:row r="367" s="38" customFormat="1" ht="12.75" customHeight="1">
      <x:c r="Z367" s="37" t="n"/>
    </x:row>
    <x:row r="368" s="38" customFormat="1" ht="12.75" customHeight="1">
      <x:c r="Z368" s="37" t="n"/>
    </x:row>
    <x:row r="369" s="38" customFormat="1" ht="12.75" customHeight="1">
      <x:c r="Z369" s="37" t="n"/>
    </x:row>
    <x:row r="370" s="38" customFormat="1" ht="12.75" customHeight="1">
      <x:c r="Z370" s="37" t="n"/>
    </x:row>
    <x:row r="371" s="38" customFormat="1" ht="12.75" customHeight="1">
      <x:c r="Z371" s="37" t="n"/>
    </x:row>
    <x:row r="372" s="38" customFormat="1" ht="12.75" customHeight="1">
      <x:c r="Z372" s="37" t="n"/>
    </x:row>
    <x:row r="373" s="38" customFormat="1" ht="12.75" customHeight="1">
      <x:c r="Z373" s="37" t="n"/>
    </x:row>
    <x:row r="374" s="38" customFormat="1" ht="12.75" customHeight="1">
      <x:c r="Z374" s="37" t="n"/>
    </x:row>
    <x:row r="375" s="38" customFormat="1" ht="12.75" customHeight="1">
      <x:c r="Z375" s="37" t="n"/>
    </x:row>
    <x:row r="376" s="38" customFormat="1" ht="12.75" customHeight="1">
      <x:c r="Z376" s="37" t="n"/>
    </x:row>
    <x:row r="377" s="38" customFormat="1" ht="12.75" customHeight="1">
      <x:c r="Z377" s="37" t="n"/>
    </x:row>
    <x:row r="378" s="38" customFormat="1" ht="12.75" customHeight="1">
      <x:c r="Z378" s="37" t="n"/>
    </x:row>
    <x:row r="379" s="38" customFormat="1" ht="12.75" customHeight="1">
      <x:c r="Z379" s="37" t="n"/>
    </x:row>
    <x:row r="380" s="38" customFormat="1" ht="12.75" customHeight="1">
      <x:c r="Z380" s="37" t="n"/>
    </x:row>
    <x:row r="381" s="38" customFormat="1" ht="12.75" customHeight="1">
      <x:c r="Z381" s="37" t="n"/>
    </x:row>
    <x:row r="382" s="38" customFormat="1" ht="12.75" customHeight="1">
      <x:c r="Z382" s="37" t="n"/>
    </x:row>
    <x:row r="383" s="38" customFormat="1" ht="12.75" customHeight="1">
      <x:c r="Z383" s="37" t="n"/>
    </x:row>
    <x:row r="384" s="38" customFormat="1" ht="12.75" customHeight="1">
      <x:c r="Z384" s="37" t="n"/>
    </x:row>
    <x:row r="385" s="38" customFormat="1" ht="12.75" customHeight="1">
      <x:c r="Z385" s="37" t="n"/>
    </x:row>
    <x:row r="386" s="38" customFormat="1" ht="12.75" customHeight="1">
      <x:c r="Z386" s="37" t="n"/>
    </x:row>
    <x:row r="387" s="38" customFormat="1" ht="12.75" customHeight="1">
      <x:c r="Z387" s="37" t="n"/>
    </x:row>
    <x:row r="388" s="38" customFormat="1" ht="12.75" customHeight="1">
      <x:c r="Z388" s="37" t="n"/>
    </x:row>
    <x:row r="389" s="38" customFormat="1" ht="12.75" customHeight="1">
      <x:c r="Z389" s="37" t="n"/>
    </x:row>
    <x:row r="390" s="38" customFormat="1" ht="12.75" customHeight="1">
      <x:c r="Z390" s="37" t="n"/>
    </x:row>
    <x:row r="391" s="38" customFormat="1" ht="12.75" customHeight="1">
      <x:c r="Z391" s="37" t="n"/>
    </x:row>
    <x:row r="392" s="38" customFormat="1" ht="12.75" customHeight="1">
      <x:c r="Z392" s="37" t="n"/>
    </x:row>
    <x:row r="393" s="38" customFormat="1" ht="12.75" customHeight="1">
      <x:c r="Z393" s="37" t="n"/>
    </x:row>
    <x:row r="394" s="38" customFormat="1" ht="12.75" customHeight="1">
      <x:c r="Z394" s="37" t="n"/>
    </x:row>
    <x:row r="395" s="38" customFormat="1" ht="12.75" customHeight="1">
      <x:c r="Z395" s="37" t="n"/>
    </x:row>
    <x:row r="396" s="38" customFormat="1" ht="12.75" customHeight="1">
      <x:c r="Z396" s="37" t="n"/>
    </x:row>
    <x:row r="397" s="38" customFormat="1" ht="12.75" customHeight="1">
      <x:c r="Z397" s="37" t="n"/>
    </x:row>
    <x:row r="398" s="38" customFormat="1" ht="12.75" customHeight="1">
      <x:c r="Z398" s="37" t="n"/>
    </x:row>
    <x:row r="399" s="38" customFormat="1" ht="12.75" customHeight="1">
      <x:c r="Z399" s="37" t="n"/>
    </x:row>
    <x:row r="400" s="38" customFormat="1" ht="12.75" customHeight="1">
      <x:c r="Z400" s="37" t="n"/>
    </x:row>
    <x:row r="401" s="38" customFormat="1" ht="12.75" customHeight="1">
      <x:c r="Z401" s="37" t="n"/>
    </x:row>
    <x:row r="402" s="38" customFormat="1" ht="12.75" customHeight="1">
      <x:c r="Z402" s="37" t="n"/>
    </x:row>
    <x:row r="403" s="38" customFormat="1" ht="12.75" customHeight="1">
      <x:c r="Z403" s="37" t="n"/>
    </x:row>
    <x:row r="404" s="38" customFormat="1" ht="12.75" customHeight="1">
      <x:c r="Z404" s="37" t="n"/>
    </x:row>
    <x:row r="405" s="38" customFormat="1" ht="12.75" customHeight="1">
      <x:c r="Z405" s="37" t="n"/>
    </x:row>
    <x:row r="406" s="38" customFormat="1" ht="12.75" customHeight="1">
      <x:c r="Z406" s="37" t="n"/>
    </x:row>
    <x:row r="407" s="38" customFormat="1" ht="12.75" customHeight="1">
      <x:c r="Z407" s="37" t="n"/>
    </x:row>
    <x:row r="408" s="38" customFormat="1" ht="12.75" customHeight="1">
      <x:c r="Z408" s="37" t="n"/>
    </x:row>
    <x:row r="409" s="38" customFormat="1" ht="12.75" customHeight="1">
      <x:c r="Z409" s="37" t="n"/>
    </x:row>
    <x:row r="410" s="38" customFormat="1" ht="12.75" customHeight="1">
      <x:c r="Z410" s="37" t="n"/>
    </x:row>
    <x:row r="411" s="38" customFormat="1" ht="12.75" customHeight="1">
      <x:c r="Z411" s="37" t="n"/>
    </x:row>
    <x:row r="412" s="38" customFormat="1" ht="12.75" customHeight="1">
      <x:c r="Z412" s="37" t="n"/>
    </x:row>
    <x:row r="413" s="38" customFormat="1" ht="12.75" customHeight="1">
      <x:c r="Z413" s="37" t="n"/>
    </x:row>
    <x:row r="414" s="38" customFormat="1" ht="12.75" customHeight="1">
      <x:c r="Z414" s="37" t="n"/>
    </x:row>
    <x:row r="415" s="38" customFormat="1" ht="12.75" customHeight="1">
      <x:c r="Z415" s="37" t="n"/>
    </x:row>
    <x:row r="416" s="38" customFormat="1" ht="12.75" customHeight="1">
      <x:c r="Z416" s="37" t="n"/>
    </x:row>
    <x:row r="417" s="38" customFormat="1" ht="12.75" customHeight="1">
      <x:c r="Z417" s="37" t="n"/>
    </x:row>
    <x:row r="418" s="38" customFormat="1" ht="12.75" customHeight="1">
      <x:c r="Z418" s="37" t="n"/>
    </x:row>
    <x:row r="419" s="38" customFormat="1" ht="12.75" customHeight="1">
      <x:c r="Z419" s="37" t="n"/>
    </x:row>
    <x:row r="420" s="38" customFormat="1" ht="12.75" customHeight="1">
      <x:c r="Z420" s="37" t="n"/>
    </x:row>
    <x:row r="421" s="38" customFormat="1" ht="12.75" customHeight="1">
      <x:c r="Z421" s="37" t="n"/>
    </x:row>
    <x:row r="422" s="38" customFormat="1" ht="12.75" customHeight="1">
      <x:c r="Z422" s="37" t="n"/>
    </x:row>
    <x:row r="423" s="38" customFormat="1" ht="12.75" customHeight="1">
      <x:c r="Z423" s="37" t="n"/>
    </x:row>
    <x:row r="424" s="38" customFormat="1" ht="12.75" customHeight="1">
      <x:c r="Z424" s="37" t="n"/>
    </x:row>
    <x:row r="425" s="38" customFormat="1" ht="12.75" customHeight="1">
      <x:c r="Z425" s="37" t="n"/>
    </x:row>
    <x:row r="426" s="38" customFormat="1" ht="12.75" customHeight="1">
      <x:c r="Z426" s="37" t="n"/>
    </x:row>
    <x:row r="427" s="38" customFormat="1" ht="12.75" customHeight="1">
      <x:c r="Z427" s="37" t="n"/>
    </x:row>
    <x:row r="428" s="38" customFormat="1" ht="12.75" customHeight="1">
      <x:c r="Z428" s="37" t="n"/>
    </x:row>
    <x:row r="429" s="38" customFormat="1" ht="12.75" customHeight="1">
      <x:c r="Z429" s="37" t="n"/>
    </x:row>
    <x:row r="430" s="38" customFormat="1" ht="12.75" customHeight="1">
      <x:c r="Z430" s="37" t="n"/>
    </x:row>
    <x:row r="431" s="38" customFormat="1" ht="12.75" customHeight="1">
      <x:c r="Z431" s="37" t="n"/>
    </x:row>
    <x:row r="432" s="38" customFormat="1" ht="12.75" customHeight="1">
      <x:c r="Z432" s="37" t="n"/>
    </x:row>
    <x:row r="433" s="38" customFormat="1" ht="12.75" customHeight="1">
      <x:c r="Z433" s="37" t="n"/>
    </x:row>
    <x:row r="434" s="38" customFormat="1" ht="12.75" customHeight="1">
      <x:c r="Z434" s="37" t="n"/>
    </x:row>
    <x:row r="435" s="38" customFormat="1" ht="12.75" customHeight="1">
      <x:c r="Z435" s="37" t="n"/>
    </x:row>
    <x:row r="436" s="38" customFormat="1" ht="12.75" customHeight="1">
      <x:c r="Z436" s="37" t="n"/>
    </x:row>
    <x:row r="437" s="38" customFormat="1" ht="12.75" customHeight="1">
      <x:c r="Z437" s="37" t="n"/>
    </x:row>
    <x:row r="438" s="38" customFormat="1" ht="12.75" customHeight="1">
      <x:c r="Z438" s="37" t="n"/>
    </x:row>
    <x:row r="439" s="38" customFormat="1" ht="12.75" customHeight="1">
      <x:c r="Z439" s="37" t="n"/>
    </x:row>
    <x:row r="440" s="38" customFormat="1" ht="12.75" customHeight="1">
      <x:c r="Z440" s="37" t="n"/>
    </x:row>
    <x:row r="441" s="38" customFormat="1" ht="12.75" customHeight="1">
      <x:c r="Z441" s="37" t="n"/>
    </x:row>
    <x:row r="442" s="38" customFormat="1" ht="12.75" customHeight="1">
      <x:c r="Z442" s="37" t="n"/>
    </x:row>
    <x:row r="443" s="38" customFormat="1" ht="12.75" customHeight="1">
      <x:c r="Z443" s="37" t="n"/>
    </x:row>
    <x:row r="444" s="38" customFormat="1" ht="12.75" customHeight="1">
      <x:c r="Z444" s="37" t="n"/>
    </x:row>
    <x:row r="445" s="38" customFormat="1" ht="12.75" customHeight="1">
      <x:c r="Z445" s="37" t="n"/>
    </x:row>
    <x:row r="446" s="38" customFormat="1" ht="12.75" customHeight="1">
      <x:c r="Z446" s="37" t="n"/>
    </x:row>
    <x:row r="447" s="38" customFormat="1" ht="12.75" customHeight="1">
      <x:c r="Z447" s="37" t="n"/>
    </x:row>
    <x:row r="448" s="38" customFormat="1" ht="12.75" customHeight="1">
      <x:c r="Z448" s="37" t="n"/>
    </x:row>
    <x:row r="449" s="38" customFormat="1" ht="12.75" customHeight="1">
      <x:c r="Z449" s="37" t="n"/>
    </x:row>
    <x:row r="450" s="38" customFormat="1" ht="12.75" customHeight="1">
      <x:c r="Z450" s="37" t="n"/>
    </x:row>
    <x:row r="451" s="38" customFormat="1" ht="12.75" customHeight="1">
      <x:c r="Z451" s="37" t="n"/>
    </x:row>
    <x:row r="452" s="38" customFormat="1" ht="12.75" customHeight="1">
      <x:c r="Z452" s="37" t="n"/>
    </x:row>
    <x:row r="453" s="38" customFormat="1" ht="12.75" customHeight="1">
      <x:c r="Z453" s="37" t="n"/>
    </x:row>
    <x:row r="454" s="38" customFormat="1" ht="12.75" customHeight="1">
      <x:c r="Z454" s="37" t="n"/>
    </x:row>
    <x:row r="455" s="38" customFormat="1" ht="12.75" customHeight="1">
      <x:c r="Z455" s="37" t="n"/>
    </x:row>
    <x:row r="456" s="38" customFormat="1" ht="12.75" customHeight="1">
      <x:c r="Z456" s="37" t="n"/>
    </x:row>
    <x:row r="457" s="38" customFormat="1" ht="12.75" customHeight="1">
      <x:c r="Z457" s="37" t="n"/>
    </x:row>
    <x:row r="458" s="38" customFormat="1" ht="12.75" customHeight="1">
      <x:c r="Z458" s="37" t="n"/>
    </x:row>
    <x:row r="459" s="38" customFormat="1" ht="12.75" customHeight="1">
      <x:c r="Z459" s="37" t="n"/>
    </x:row>
    <x:row r="460" s="38" customFormat="1" ht="12.75" customHeight="1">
      <x:c r="Z460" s="37" t="n"/>
    </x:row>
    <x:row r="461" s="38" customFormat="1" ht="12.75" customHeight="1">
      <x:c r="Z461" s="37" t="n"/>
    </x:row>
    <x:row r="462" s="38" customFormat="1" ht="12.75" customHeight="1">
      <x:c r="Z462" s="37" t="n"/>
    </x:row>
    <x:row r="463" s="38" customFormat="1" ht="12.75" customHeight="1">
      <x:c r="Z463" s="37" t="n"/>
    </x:row>
    <x:row r="464" s="38" customFormat="1" ht="12.75" customHeight="1">
      <x:c r="Z464" s="37" t="n"/>
    </x:row>
    <x:row r="465" s="38" customFormat="1" ht="12.75" customHeight="1">
      <x:c r="Z465" s="37" t="n"/>
    </x:row>
    <x:row r="466" s="38" customFormat="1" ht="12.75" customHeight="1">
      <x:c r="Z466" s="37" t="n"/>
    </x:row>
    <x:row r="467" s="38" customFormat="1" ht="12.75" customHeight="1">
      <x:c r="Z467" s="37" t="n"/>
    </x:row>
    <x:row r="468" s="38" customFormat="1" ht="12.75" customHeight="1">
      <x:c r="Z468" s="37" t="n"/>
    </x:row>
    <x:row r="469" s="38" customFormat="1" ht="12.75" customHeight="1">
      <x:c r="Z469" s="37" t="n"/>
    </x:row>
    <x:row r="470" s="38" customFormat="1" ht="12.75" customHeight="1">
      <x:c r="Z470" s="37" t="n"/>
    </x:row>
    <x:row r="471" s="38" customFormat="1" ht="12.75" customHeight="1">
      <x:c r="Z471" s="37" t="n"/>
    </x:row>
    <x:row r="472" s="38" customFormat="1" ht="12.75" customHeight="1">
      <x:c r="Z472" s="37" t="n"/>
    </x:row>
    <x:row r="473" s="38" customFormat="1" ht="12.75" customHeight="1">
      <x:c r="Z473" s="37" t="n"/>
    </x:row>
    <x:row r="474" s="38" customFormat="1" ht="12.75" customHeight="1">
      <x:c r="Z474" s="37" t="n"/>
    </x:row>
    <x:row r="475" s="38" customFormat="1" ht="12.75" customHeight="1">
      <x:c r="Z475" s="37" t="n"/>
    </x:row>
    <x:row r="476" s="38" customFormat="1" ht="12.75" customHeight="1">
      <x:c r="Z476" s="37" t="n"/>
    </x:row>
    <x:row r="477" s="38" customFormat="1" ht="12.75" customHeight="1">
      <x:c r="Z477" s="37" t="n"/>
    </x:row>
    <x:row r="478" s="38" customFormat="1" ht="12.75" customHeight="1">
      <x:c r="Z478" s="37" t="n"/>
    </x:row>
    <x:row r="479" s="38" customFormat="1" ht="12.75" customHeight="1">
      <x:c r="Z479" s="37" t="n"/>
    </x:row>
    <x:row r="480" s="38" customFormat="1" ht="12.75" customHeight="1">
      <x:c r="Z480" s="37" t="n"/>
    </x:row>
    <x:row r="481" s="38" customFormat="1" ht="12.75" customHeight="1">
      <x:c r="Z481" s="37" t="n"/>
    </x:row>
    <x:row r="482" s="38" customFormat="1" ht="12.75" customHeight="1">
      <x:c r="Z482" s="37" t="n"/>
    </x:row>
    <x:row r="483" s="38" customFormat="1" ht="12.75" customHeight="1">
      <x:c r="Z483" s="37" t="n"/>
    </x:row>
    <x:row r="484" s="38" customFormat="1" ht="12.75" customHeight="1">
      <x:c r="Z484" s="37" t="n"/>
    </x:row>
    <x:row r="485" s="38" customFormat="1" ht="12.75" customHeight="1">
      <x:c r="Z485" s="37" t="n"/>
    </x:row>
    <x:row r="486" s="38" customFormat="1" ht="12.75" customHeight="1">
      <x:c r="Z486" s="37" t="n"/>
    </x:row>
    <x:row r="487" s="38" customFormat="1" ht="12.75" customHeight="1">
      <x:c r="Z487" s="37" t="n"/>
    </x:row>
    <x:row r="488" s="38" customFormat="1" ht="12.75" customHeight="1">
      <x:c r="Z488" s="37" t="n"/>
    </x:row>
    <x:row r="489" s="38" customFormat="1" ht="12.75" customHeight="1">
      <x:c r="Z489" s="37" t="n"/>
    </x:row>
    <x:row r="490" s="38" customFormat="1" ht="12.75" customHeight="1">
      <x:c r="Z490" s="37" t="n"/>
    </x:row>
    <x:row r="491" s="38" customFormat="1" ht="12.75" customHeight="1">
      <x:c r="Z491" s="37" t="n"/>
    </x:row>
    <x:row r="492" s="38" customFormat="1" ht="12.75" customHeight="1">
      <x:c r="Z492" s="37" t="n"/>
    </x:row>
    <x:row r="493" s="38" customFormat="1" ht="12.75" customHeight="1">
      <x:c r="Z493" s="37" t="n"/>
    </x:row>
    <x:row r="494" s="38" customFormat="1" ht="12.75" customHeight="1">
      <x:c r="Z494" s="37" t="n"/>
    </x:row>
    <x:row r="495" s="38" customFormat="1" ht="12.75" customHeight="1">
      <x:c r="Z495" s="37" t="n"/>
    </x:row>
    <x:row r="496" s="38" customFormat="1" ht="12.75" customHeight="1">
      <x:c r="Z496" s="37" t="n"/>
    </x:row>
    <x:row r="497" s="38" customFormat="1" ht="12.75" customHeight="1">
      <x:c r="Z497" s="37" t="n"/>
    </x:row>
    <x:row r="498" s="38" customFormat="1" ht="12.75" customHeight="1">
      <x:c r="Z498" s="37" t="n"/>
    </x:row>
    <x:row r="499" s="38" customFormat="1" ht="12.75" customHeight="1">
      <x:c r="Z499" s="37" t="n"/>
    </x:row>
    <x:row r="500" s="38" customFormat="1" ht="12.75" customHeight="1">
      <x:c r="Z500" s="37" t="n"/>
    </x:row>
  </x:sheetData>
  <x:conditionalFormatting sqref="N2:N49">
    <x:cfRule type="colorScale" priority="2">
      <x:colorScale>
        <x:cfvo type="min" val="0"/>
        <x:cfvo type="percentile" val="50"/>
        <x:cfvo type="max" val="0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 val="0"/>
        <x:cfvo type="percentile" val="50"/>
        <x:cfvo type="max" val="0"/>
        <x:color rgb="FFFEE2E2"/>
        <x:color rgb="FFFEF3C7"/>
        <x:color rgb="FFDCFCE7"/>
      </x:colorScale>
    </x:cfRule>
  </x:conditionalFormatting>
  <x:dataValidations count="9">
    <x:dataValidation type="list" errorStyle="stop" allowBlank="0" showDropDown="0" showInputMessage="0" showErrorMessage="0" sqref="C2:C500">
      <x:formula1>'06_Lists'!$A$2:$A$6</x:formula1>
    </x:dataValidation>
    <x:dataValidation type="list" errorStyle="stop" allowBlank="0" showDropDown="0" showInputMessage="0" showErrorMessage="0" sqref="M2:M500">
      <x:formula1>'06_Lists'!$B$2:$B$10</x:formula1>
    </x:dataValidation>
    <x:dataValidation type="list" errorStyle="stop" allowBlank="0" showDropDown="0" showInputMessage="0" showErrorMessage="0" sqref="N2:N500">
      <x:formula1>'06_Lists'!$E$2:$E$6</x:formula1>
    </x:dataValidation>
    <x:dataValidation type="list" errorStyle="stop" allowBlank="0" showDropDown="0" showInputMessage="0" showErrorMessage="0" sqref="O2:O500">
      <x:formula1>'06_Lists'!$C$2:$C$12</x:formula1>
    </x:dataValidation>
    <x:dataValidation type="list" errorStyle="stop" allowBlank="0" showDropDown="0" showInputMessage="0" showErrorMessage="0" sqref="S2:S500">
      <x:formula1>'06_Lists'!$F$2:$F$6</x:formula1>
    </x:dataValidation>
    <x:dataValidation type="list" errorStyle="stop" allowBlank="0" showDropDown="0" showInputMessage="0" showErrorMessage="0" sqref="H2:H500">
      <x:formula1>'06_Lists'!$D$2:$D$14</x:formula1>
    </x:dataValidation>
    <x:dataValidation type="list" errorStyle="stop" allowBlank="0" showDropDown="0" showInputMessage="0" showErrorMessage="0" sqref="Y2:Y500">
      <x:formula1>'06_Lists'!$H$2:$H$56</x:formula1>
    </x:dataValidation>
    <x:dataValidation type="list" errorStyle="stop" allowBlank="0" showDropDown="0" showInputMessage="0" showErrorMessage="0" sqref="Z2:Z500">
      <x:formula1>'06_Lists'!$G$2:$G$12</x:formula1>
    </x:dataValidation>
    <x:dataValidation type="list" sqref="AA2:AA500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a825f3c69b4faf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28" style="37" customWidth="1"/>
    <x:col min="2" max="2" width="44" style="37" customWidth="1"/>
    <x:col min="3" max="3" width="22" style="37" customWidth="1"/>
    <x:col min="4" max="4" width="20" style="37" customWidth="1"/>
    <x:col min="5" max="5" width="42" style="37" customWidth="1"/>
  </x:cols>
  <x:sheetData>
    <x:row r="1" s="38" customFormat="1" ht="27.75" customHeight="1">
      <x:c r="A1" s="50" t="inlineStr">
        <x:is>
          <x:t xml:space="preserve">Ветка</x:t>
        </x:is>
      </x:c>
      <x:c r="B1" s="50" t="inlineStr">
        <x:is>
          <x:t xml:space="preserve">Что включает</x:t>
        </x:is>
      </x:c>
      <x:c r="C1" s="50" t="inlineStr">
        <x:is>
          <x:t xml:space="preserve">Для каких уроков</x:t>
        </x:is>
      </x:c>
      <x:c r="D1" s="50" t="inlineStr">
        <x:is>
          <x:t xml:space="preserve">Визуальный цвет/код</x:t>
        </x:is>
      </x:c>
      <x:c r="E1" s="50" t="inlineStr">
        <x:is>
          <x:t xml:space="preserve">Комментарий</x:t>
        </x:is>
      </x:c>
    </x:row>
    <x:row r="2" s="38" customFormat="1" ht="31.5" customHeight="1">
      <x:c r="A2" s="46" t="inlineStr">
        <x:is>
          <x:t xml:space="preserve">Оптика / камера-обскура</x:t>
        </x:is>
      </x:c>
      <x:c r="B2" s="46" t="inlineStr">
        <x:is>
          <x:t xml:space="preserve">свет, тёмная комната, pinhole, линзы</x:t>
        </x:is>
      </x:c>
      <x:c r="C2" s="46" t="inlineStr">
        <x:is>
          <x:t xml:space="preserve">PL-001</x:t>
        </x:is>
      </x:c>
      <x:c r="D2" s="46" t="inlineStr">
        <x:is>
          <x:t xml:space="preserve">синий</x:t>
        </x:is>
      </x:c>
      <x:c r="E2" s="46" t="inlineStr">
        <x:is>
          <x:t xml:space="preserve">Это предпосылка фотографии, не сама фотография.</x:t>
        </x:is>
      </x:c>
    </x:row>
    <x:row r="3" s="38" customFormat="1" ht="31.5" customHeight="1">
      <x:c r="A3" s="46" t="inlineStr">
        <x:is>
          <x:t xml:space="preserve">Оптические инструменты</x:t>
        </x:is>
      </x:c>
      <x:c r="B3" s="46" t="inlineStr">
        <x:is>
          <x:t xml:space="preserve">camera lucida, stereoscope, portable camera obscura</x:t>
        </x:is>
      </x:c>
      <x:c r="C3" s="46" t="inlineStr">
        <x:is>
          <x:t xml:space="preserve">PL-001 / будущие PL</x:t>
        </x:is>
      </x:c>
      <x:c r="D3" s="46" t="inlineStr">
        <x:is>
          <x:t xml:space="preserve">голубой</x:t>
        </x:is>
      </x:c>
      <x:c r="E3" s="46" t="inlineStr">
        <x:is>
          <x:t xml:space="preserve">Помогает объяснить, что люди стремились к точному изображению до химии.</x:t>
        </x:is>
      </x:c>
    </x:row>
    <x:row r="4" s="38" customFormat="1" ht="15.75" customHeight="1">
      <x:c r="A4" s="46" t="inlineStr">
        <x:is>
          <x:t xml:space="preserve">Фотохимия</x:t>
        </x:is>
      </x:c>
      <x:c r="B4" s="46" t="inlineStr">
        <x:is>
          <x:t xml:space="preserve">серебряные соли, потемнение от света, фиксация, желатиновые эмульсии</x:t>
        </x:is>
      </x:c>
      <x:c r="C4" s="46" t="inlineStr">
        <x:is>
          <x:t xml:space="preserve">PL-002 / PL-006</x:t>
        </x:is>
      </x:c>
      <x:c r="D4" s="46" t="inlineStr">
        <x:is>
          <x:t xml:space="preserve">жёлтый</x:t>
        </x:is>
      </x:c>
      <x:c r="E4" s="46" t="inlineStr">
        <x:is>
          <x:t xml:space="preserve">Химическая половина рождения фотографии.</x:t>
        </x:is>
      </x:c>
    </x:row>
    <x:row r="5" s="38" customFormat="1" ht="15.75" customHeight="1">
      <x:c r="A5" s="46" t="inlineStr">
        <x:is>
          <x:t xml:space="preserve">Гелиография</x:t>
        </x:is>
      </x:c>
      <x:c r="B5" s="46" t="inlineStr">
        <x:is>
          <x:t xml:space="preserve">Ньепс, битум, первое сохранившееся изображение</x:t>
        </x:is>
      </x:c>
      <x:c r="C5" s="46" t="inlineStr">
        <x:is>
          <x:t xml:space="preserve">PL-002</x:t>
        </x:is>
      </x:c>
      <x:c r="D5" s="46" t="inlineStr">
        <x:is>
          <x:t xml:space="preserve">золотой</x:t>
        </x:is>
      </x:c>
      <x:c r="E5" s="46" t="inlineStr">
        <x:is>
          <x:t xml:space="preserve">Путь к постоянному изображению.</x:t>
        </x:is>
      </x:c>
    </x:row>
    <x:row r="6" s="38" customFormat="1" ht="31.5" customHeight="1">
      <x:c r="A6" s="46" t="inlineStr">
        <x:is>
          <x:t xml:space="preserve">Дагеротип</x:t>
        </x:is>
      </x:c>
      <x:c r="B6" s="46" t="inlineStr">
        <x:is>
          <x:t xml:space="preserve">прямой позитив на серебряной пластине</x:t>
        </x:is>
      </x:c>
      <x:c r="C6" s="46" t="inlineStr">
        <x:is>
          <x:t xml:space="preserve">PL-003</x:t>
        </x:is>
      </x:c>
      <x:c r="D6" s="46" t="inlineStr">
        <x:is>
          <x:t xml:space="preserve">серебряный</x:t>
        </x:is>
      </x:c>
      <x:c r="E6" s="46" t="inlineStr">
        <x:is>
          <x:t xml:space="preserve">Резкость и публичный эффект, но уникальный экземпляр.</x:t>
        </x:is>
      </x:c>
    </x:row>
    <x:row r="7" s="38" customFormat="1" ht="31.5" customHeight="1">
      <x:c r="A7" s="46" t="inlineStr">
        <x:is>
          <x:t xml:space="preserve">Фотогенный рисунок / фотограмма</x:t>
        </x:is>
      </x:c>
      <x:c r="B7" s="46" t="inlineStr">
        <x:is>
          <x:t xml:space="preserve">контактные изображения объектов на бумаге</x:t>
        </x:is>
      </x:c>
      <x:c r="C7" s="46" t="inlineStr">
        <x:is>
          <x:t xml:space="preserve">PL-004</x:t>
        </x:is>
      </x:c>
      <x:c r="D7" s="46" t="inlineStr">
        <x:is>
          <x:t xml:space="preserve">зелёный</x:t>
        </x:is>
      </x:c>
      <x:c r="E7" s="46" t="inlineStr">
        <x:is>
          <x:t xml:space="preserve">Британская линия Тальбота.</x:t>
        </x:is>
      </x:c>
    </x:row>
    <x:row r="8" s="38" customFormat="1" ht="15.75" customHeight="1">
      <x:c r="A8" s="46" t="inlineStr">
        <x:is>
          <x:t xml:space="preserve">Негатив-позитив</x:t>
        </x:is>
      </x:c>
      <x:c r="B8" s="46" t="str">
        <x:v>бумажный негатив, калотип, стеклянный негатив, сухая желатиновая пластина, рулонная плёнка, Brownie, 120 film, копирование</x:v>
      </x:c>
      <x:c r="C8" s="46" t="str">
        <x:v>PL-004 / PL-006 / PL-007 / PL-008</x:v>
      </x:c>
      <x:c r="D8" s="46" t="inlineStr">
        <x:is>
          <x:t xml:space="preserve">зелёный тёмный</x:t>
        </x:is>
      </x:c>
      <x:c r="E8" s="46" t="inlineStr">
        <x:is>
          <x:t xml:space="preserve">Главная идея, которая победила исторически.</x:t>
        </x:is>
      </x:c>
    </x:row>
    <x:row r="9" s="38" customFormat="1" ht="15.75" customHeight="1">
      <x:c r="A9" s="46" t="inlineStr">
        <x:is>
          <x:t xml:space="preserve">Фиксаж / терминология</x:t>
        </x:is>
      </x:c>
      <x:c r="B9" s="46" t="inlineStr">
        <x:is>
          <x:t xml:space="preserve">Herschel, hypo, terms photography/negative/positive</x:t>
        </x:is>
      </x:c>
      <x:c r="C9" s="46" t="inlineStr">
        <x:is>
          <x:t xml:space="preserve">PL-004</x:t>
        </x:is>
      </x:c>
      <x:c r="D9" s="46" t="inlineStr">
        <x:is>
          <x:t xml:space="preserve">фиолетовый</x:t>
        </x:is>
      </x:c>
      <x:c r="E9" s="46" t="inlineStr">
        <x:is>
          <x:t xml:space="preserve">Фотография нуждается в языке и стабильности.</x:t>
        </x:is>
      </x:c>
    </x:row>
    <x:row r="10" s="38" customFormat="1" ht="15.75" customHeight="1">
      <x:c r="A10" s="46" t="inlineStr">
        <x:is>
          <x:t xml:space="preserve">Печать / тиражирование</x:t>
        </x:is>
      </x:c>
      <x:c r="B10" s="46" t="str">
        <x:v>salted paper, albumen print, фотокнига, массовая печать, семейные альбомы, snapshot-архивы</x:v>
      </x:c>
      <x:c r="C10" s="46" t="str">
        <x:v>PL-004 / PL-008 / будущие PL</x:v>
      </x:c>
      <x:c r="D10" s="46" t="inlineStr">
        <x:is>
          <x:t xml:space="preserve">оранжевый</x:t>
        </x:is>
      </x:c>
      <x:c r="E10" s="46" t="inlineStr">
        <x:is>
          <x:t xml:space="preserve">Ветка распространения изображений.</x:t>
        </x:is>
      </x:c>
    </x:row>
    <x:row r="11" s="38" customFormat="1" ht="15.75" customHeight="1">
      <x:c r="A11" s="46" t="inlineStr">
        <x:is>
          <x:t xml:space="preserve">Мокрый коллодий</x:t>
        </x:is>
      </x:c>
      <x:c r="B11" s="46" t="inlineStr">
        <x:is>
          <x:t xml:space="preserve">стеклянный негатив, коллодий, нитрат серебра</x:t>
        </x:is>
      </x:c>
      <x:c r="C11" s="46" t="inlineStr">
        <x:is>
          <x:t xml:space="preserve">PL-005</x:t>
        </x:is>
      </x:c>
      <x:c r="D11" s="46" t="inlineStr">
        <x:is>
          <x:t xml:space="preserve">красный</x:t>
        </x:is>
      </x:c>
      <x:c r="E11" s="46" t="inlineStr">
        <x:is>
          <x:t xml:space="preserve">Мост между резкостью и тиражом.</x:t>
        </x:is>
      </x:c>
    </x:row>
    <x:row r="12" s="38" customFormat="1" ht="15.75" customHeight="1">
      <x:c r="A12" s="46" t="inlineStr">
        <x:is>
          <x:t xml:space="preserve">Уникальный позитив</x:t>
        </x:is>
      </x:c>
      <x:c r="B12" s="46" t="inlineStr">
        <x:is>
          <x:t xml:space="preserve">Bayard, ambrotype, tintype, direct positive</x:t>
        </x:is>
      </x:c>
      <x:c r="C12" s="46" t="inlineStr">
        <x:is>
          <x:t xml:space="preserve">PL-003 / PL-005</x:t>
        </x:is>
      </x:c>
      <x:c r="D12" s="46" t="inlineStr">
        <x:is>
          <x:t xml:space="preserve">серый</x:t>
        </x:is>
      </x:c>
      <x:c r="E12" s="46" t="inlineStr">
        <x:is>
          <x:t xml:space="preserve">Важные, но технологически ограниченные ветки.</x:t>
        </x:is>
      </x:c>
    </x:row>
    <x:row r="13" s="38" customFormat="1" ht="15.75" customHeight="1">
      <x:c r="A13" s="46" t="inlineStr">
        <x:is>
          <x:t xml:space="preserve">Цвет</x:t>
        </x:is>
      </x:c>
      <x:c r="B13" s="46" t="inlineStr">
        <x:is>
          <x:t xml:space="preserve">ранние опыты, Becquerel, будущий Autochrome</x:t>
        </x:is>
      </x:c>
      <x:c r="C13" s="46" t="inlineStr">
        <x:is>
          <x:t xml:space="preserve">будущие PL</x:t>
        </x:is>
      </x:c>
      <x:c r="D13" s="46" t="inlineStr">
        <x:is>
          <x:t xml:space="preserve">радужный</x:t>
        </x:is>
      </x:c>
      <x:c r="E13" s="46" t="inlineStr">
        <x:is>
          <x:t xml:space="preserve">В v0.1 только ранний ориентир.</x:t>
        </x:is>
      </x:c>
    </x:row>
    <x:row r="14" s="38" customFormat="1" ht="15.75" customHeight="1">
      <x:c r="A14" s="46" t="inlineStr">
        <x:is>
          <x:t xml:space="preserve">Проекция / распространение</x:t>
        </x:is>
      </x:c>
      <x:c r="B14" s="46" t="inlineStr">
        <x:is>
          <x:t xml:space="preserve">lantern slides, публичный показ</x:t>
        </x:is>
      </x:c>
      <x:c r="C14" s="46" t="inlineStr">
        <x:is>
          <x:t xml:space="preserve">будущие PL</x:t>
        </x:is>
      </x:c>
      <x:c r="D14" s="46" t="inlineStr">
        <x:is>
          <x:t xml:space="preserve">бирюзовый</x:t>
        </x:is>
      </x:c>
      <x:c r="E14" s="46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7c397307f7a54bc0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9.670000076293945" style="37" customWidth="1"/>
    <x:col min="2" max="2" width="27.34000015258789" style="37" customWidth="1"/>
    <x:col min="3" max="3" width="42" style="37" customWidth="1"/>
    <x:col min="4" max="4" width="76.16000366210938" style="37" customWidth="1"/>
    <x:col min="5" max="5" width="11.329999923706055" style="37" customWidth="1"/>
    <x:col min="6" max="6" width="28" style="38" customWidth="1"/>
  </x:cols>
  <x:sheetData>
    <x:row r="1" s="38" customFormat="1" ht="27.75" customHeight="1">
      <x:c r="A1" s="55" t="str">
        <x:v>Урок</x:v>
      </x:c>
      <x:c r="B1" s="55" t="str">
        <x:v>Главная тема</x:v>
      </x:c>
      <x:c r="C1" s="55" t="str">
        <x:v>Исторические узлы</x:v>
      </x:c>
      <x:c r="D1" s="55" t="str">
        <x:v>Что должен понять новичок</x:v>
      </x:c>
      <x:c r="E1" s="55" t="str">
        <x:v>Статус</x:v>
      </x:c>
      <x:c r="F1" s="59" t="str">
        <x:v>Ссылка на урок (Telegram)</x:v>
      </x:c>
    </x:row>
    <x:row r="2" s="38" customFormat="1" ht="31.5" customHeight="1">
      <x:c r="A2" s="60" t="str">
        <x:v>PL-001</x:v>
      </x:c>
      <x:c r="B2" s="60" t="str">
        <x:v>Камера-обскура и оптика</x:v>
      </x:c>
      <x:c r="C2" s="60" t="str">
        <x:v>PL-HIST-0001…0008, 0013, 0028</x:v>
      </x:c>
      <x:c r="D2" s="60" t="str">
        <x:v>Свет умеет строить изображение, но ещё не сохраняет его.</x:v>
      </x:c>
      <x:c r="E2" s="60" t="str">
        <x:v>основа готова</x:v>
      </x:c>
      <x:c r="F2" s="59" t="str">
        <x:v>https://t.me/photolab_vf/39</x:v>
      </x:c>
    </x:row>
    <x:row r="3" s="38" customFormat="1" ht="31.5" customHeight="1">
      <x:c r="A3" s="60" t="str">
        <x:v>PL-002</x:v>
      </x:c>
      <x:c r="B3" s="60" t="str">
        <x:v>Ньепс и первая фиксация</x:v>
      </x:c>
      <x:c r="C3" s="60" t="str">
        <x:v>PL-HIST-0009…0016</x:v>
      </x:c>
      <x:c r="D3" s="60" t="str">
        <x:v>Недостаточно увидеть изображение — его нужно зафиксировать.</x:v>
      </x:c>
      <x:c r="E3" s="60" t="str">
        <x:v>основа готова</x:v>
      </x:c>
      <x:c r="F3" s="59" t="str">
        <x:v>https://t.me/photolab_vf/45</x:v>
      </x:c>
    </x:row>
    <x:row r="4" s="38" customFormat="1" ht="31.5" customHeight="1">
      <x:c r="A4" s="60" t="str">
        <x:v>PL-003</x:v>
      </x:c>
      <x:c r="B4" s="60" t="str">
        <x:v>Дагеротип</x:v>
      </x:c>
      <x:c r="C4" s="60" t="str">
        <x:v>PL-HIST-0017…0023, 0027</x:v>
      </x:c>
      <x:c r="D4" s="60" t="str">
        <x:v>Фотография стала публичной, резкой и убедительной, но изображение было уникальным.</x:v>
      </x:c>
      <x:c r="E4" s="60" t="str">
        <x:v>основа готова</x:v>
      </x:c>
      <x:c r="F4" s="59" t="str">
        <x:v>https://t.me/photolab_vf/50</x:v>
      </x:c>
    </x:row>
    <x:row r="5" s="38" customFormat="1" ht="31.5" customHeight="1">
      <x:c r="A5" s="60" t="str">
        <x:v>PL-004</x:v>
      </x:c>
      <x:c r="B5" s="60" t="str">
        <x:v>Тальбот, калотип, негатив-позитив</x:v>
      </x:c>
      <x:c r="C5" s="60" t="str">
        <x:v>PL-HIST-0019…0026, 0029…0035</x:v>
      </x:c>
      <x:c r="D5" s="60" t="str">
        <x:v>Идея копирования победила: один негатив может дать много отпечатков.</x:v>
      </x:c>
      <x:c r="E5" s="60" t="str">
        <x:v>основа готова</x:v>
      </x:c>
      <x:c r="F5" s="59" t="str">
        <x:v>https://t.me/photolab_vf/55</x:v>
      </x:c>
    </x:row>
    <x:row r="6" s="38" customFormat="1" ht="31.5" customHeight="1">
      <x:c r="A6" s="60" t="str">
        <x:v>PL-005</x:v>
      </x:c>
      <x:c r="B6" s="60" t="str">
        <x:v>Мокрый коллодий</x:v>
      </x:c>
      <x:c r="C6" s="60" t="str">
        <x:v>PL-HIST-0041…0048</x:v>
      </x:c>
      <x:c r="D6" s="60" t="str">
        <x:v>Резкость дагеротипа и тираж калотипа встретились на стеклянной влажной пластине.</x:v>
      </x:c>
      <x:c r="E6" s="60" t="str">
        <x:v>основа готова</x:v>
      </x:c>
      <x:c r="F6" s="59" t="str">
        <x:v>https://t.me/photolab_vf/60</x:v>
      </x:c>
    </x:row>
    <x:row r="7" s="38" customFormat="1" ht="31.5" customHeight="1">
      <x:c r="A7" s="60" t="str">
        <x:v>PL-006</x:v>
      </x:c>
      <x:c r="B7" s="60" t="str">
        <x:v>Сухие желатиновые пластины</x:v>
      </x:c>
      <x:c r="C7" s="60" t="str">
        <x:v>PL-HIST-0049…0058</x:v>
      </x:c>
      <x:c r="D7" s="60" t="str">
        <x:v>Фотография освобождается от немедленной полевой химии: пластину можно купить, хранить, экспонировать и проявлять позже.</x:v>
      </x:c>
      <x:c r="E7" s="60" t="str">
        <x:v>основа заполнена</x:v>
      </x:c>
      <x:c r="F7" s="59" t="str">
        <x:v>https://t.me/photolab_vf</x:v>
      </x:c>
    </x:row>
    <x:row r="8" s="38" customFormat="1" ht="12.75" customHeight="1">
      <x:c r="A8" s="59" t="str">
        <x:v>PL-007</x:v>
      </x:c>
      <x:c r="B8" s="59" t="str">
        <x:v>Рулонная плёнка и Kodak</x:v>
      </x:c>
      <x:c r="C8" s="59" t="str">
        <x:v>PL-HIST-0059…0068</x:v>
      </x:c>
      <x:c r="D8" s="59" t="str">
        <x:v>Фотография освобождается от стеклянной пластины: рулонный носитель, Kodak и сервис обработки делают съёмку проще и ближе к массовому пользователю.</x:v>
      </x:c>
      <x:c r="E8" s="59" t="str">
        <x:v>основа заполнена</x:v>
      </x:c>
      <x:c r="F8" s="59" t="str">
        <x:v>https://t.me/photolab_vf</x:v>
      </x:c>
    </x:row>
    <x:row r="9">
      <x:c r="A9" s="59" t="str">
        <x:v>PL-008</x:v>
      </x:c>
      <x:c r="B9" s="59" t="str">
        <x:v>Brownie и snapshot-культура</x:v>
      </x:c>
      <x:c r="C9" s="59" t="str">
        <x:v>PL-HIST-0069…0078</x:v>
      </x:c>
      <x:c r="D9" s="59" t="str">
        <x:v>Фотография становится дешёвой и повседневной: обычные люди начинают снимать семью, поездки, детей и частную жизнь.</x:v>
      </x:c>
      <x:c r="E9" s="59" t="str">
        <x:v>основа заполнена</x:v>
      </x:c>
      <x:c r="F9" s="59" t="str">
        <x:v>https://t.me/photolab_vf</x:v>
      </x:c>
    </x:row>
    <x:row r="10">
      <x:c r="A10" s="59" t="str">
        <x:v>будущие PL</x:v>
      </x:c>
      <x:c r="B10" s="59" t="str">
        <x:v>Расширение после PL-008</x:v>
      </x:c>
      <x:c r="C10" s="59" t="str">
        <x:v>35 мм, Leica, цвет, вспышка, автофокус, цифровая фотография, смартфоны, AI</x:v>
      </x:c>
      <x:c r="D10" s="59" t="str">
        <x:v>Фотография станет компактной, цветной, автоматической, цифровой и вычислительной.</x:v>
      </x:c>
      <x:c r="E10" s="59" t="str">
        <x:v>планируется</x:v>
      </x:c>
      <x:c r="F10" s="59"/>
    </x:row>
  </x:sheetData>
  <x:pageMargins left="0.7" right="0.7" top="0.75" bottom="0.75" header="0.3" footer="0.3"/>
  <x:tableParts count="1">
    <x:tablePart xmlns:r="http://schemas.openxmlformats.org/officeDocument/2006/relationships" r:id="R18e8b1cb842e409d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14" style="37" customWidth="1"/>
    <x:col min="2" max="2" width="42" style="37" customWidth="1"/>
    <x:col min="3" max="3" width="70" style="37" customWidth="1"/>
    <x:col min="4" max="4" width="42" style="37" customWidth="1"/>
    <x:col min="5" max="5" width="30" style="37" customWidth="1"/>
  </x:cols>
  <x:sheetData>
    <x:row r="1" s="38" customFormat="1" ht="27.75" customHeight="1">
      <x:c r="A1" s="50" t="inlineStr">
        <x:is>
          <x:t xml:space="preserve">Источник ID</x:t>
        </x:is>
      </x:c>
      <x:c r="B1" s="50" t="inlineStr">
        <x:is>
          <x:t xml:space="preserve">Название</x:t>
        </x:is>
      </x:c>
      <x:c r="C1" s="50" t="inlineStr">
        <x:is>
          <x:t xml:space="preserve">URL</x:t>
        </x:is>
      </x:c>
      <x:c r="D1" s="50" t="inlineStr">
        <x:is>
          <x:t xml:space="preserve">Используется для</x:t>
        </x:is>
      </x:c>
      <x:c r="E1" s="50" t="inlineStr">
        <x:is>
          <x:t xml:space="preserve">Примечание</x:t>
        </x:is>
      </x:c>
    </x:row>
    <x:row r="2" s="38" customFormat="1" ht="31.5" customHeight="1">
      <x:c r="A2" s="46" t="inlineStr">
        <x:is>
          <x:t xml:space="preserve">SRC-001</x:t>
        </x:is>
      </x:c>
      <x:c r="B2" s="46" t="inlineStr">
        <x:is>
          <x:t xml:space="preserve">AramcoWorld — Ibn al-Haytham: Testing is Believing</x:t>
        </x:is>
      </x:c>
      <x:c r="C2" s="46" t="inlineStr">
        <x:is>
          <x:t xml:space="preserve">https://www.aramcoworld.com/en/articles/2023/ibn-al-haytham-testing-is-believing</x:t>
        </x:is>
      </x:c>
      <x:c r="D2" s="46" t="inlineStr">
        <x:is>
          <x:t xml:space="preserve">Ибн аль-Хайсам, камера-обскура, прямолинейное распространение света</x:t>
        </x:is>
      </x:c>
      <x:c r="E2" s="46" t="inlineStr">
        <x:is>
          <x:t xml:space="preserve">вводный источник</x:t>
        </x:is>
      </x:c>
    </x:row>
    <x:row r="3" s="38" customFormat="1" ht="31.5" customHeight="1">
      <x:c r="A3" s="46" t="inlineStr">
        <x:is>
          <x:t xml:space="preserve">SRC-002</x:t>
        </x:is>
      </x:c>
      <x:c r="B3" s="46" t="inlineStr">
        <x:is>
          <x:t xml:space="preserve">IMSS / Museo Galileo — Camera Obscura</x:t>
        </x:is>
      </x:c>
      <x:c r="C3" s="46" t="inlineStr">
        <x:is>
          <x:t xml:space="preserve">https://redi.imss.fi.it/inventions/index.php/Camera_Obscura</x:t>
        </x:is>
      </x:c>
      <x:c r="D3" s="46" t="inlineStr">
        <x:is>
          <x:t xml:space="preserve">Cardano, Della Porta, линза в камере-обскуре</x:t>
        </x:is>
      </x:c>
      <x:c r="E3" s="46" t="inlineStr">
        <x:is>
          <x:t xml:space="preserve">музейный образовательный источник</x:t>
        </x:is>
      </x:c>
    </x:row>
    <x:row r="4" s="38" customFormat="1" ht="31.5" customHeight="1">
      <x:c r="A4" s="46" t="inlineStr">
        <x:is>
          <x:t xml:space="preserve">SRC-003</x:t>
        </x:is>
      </x:c>
      <x:c r="B4" s="46" t="inlineStr">
        <x:is>
          <x:t xml:space="preserve">Max Planck Institute — Camera Obscura PDF</x:t>
        </x:is>
      </x:c>
      <x:c r="C4" s="46" t="inlineStr">
        <x:is>
          <x:t xml:space="preserve">https://www.mpiwg-berlin.mpg.de/sites/default/files/Preprints/P307.pdf</x:t>
        </x:is>
      </x:c>
      <x:c r="D4" s="46" t="inlineStr">
        <x:is>
          <x:t xml:space="preserve">Kepler, термин camera obscura, развитие оптических приборов</x:t>
        </x:is>
      </x:c>
      <x:c r="E4" s="46" t="inlineStr">
        <x:is>
          <x:t xml:space="preserve">академический PDF</x:t>
        </x:is>
      </x:c>
    </x:row>
    <x:row r="5" s="38" customFormat="1" ht="31.5" customHeight="1">
      <x:c r="A5" s="46" t="inlineStr">
        <x:is>
          <x:t xml:space="preserve">SRC-004</x:t>
        </x:is>
      </x:c>
      <x:c r="B5" s="46" t="inlineStr">
        <x:is>
          <x:t xml:space="preserve">Public Domain Review — Johann Zahn's Oculus Artificialis</x:t>
        </x:is>
      </x:c>
      <x:c r="C5" s="46" t="inlineStr">
        <x:is>
          <x:t xml:space="preserve">https://publicdomainreview.org/collection/images-from-johann-zahn-s-oculus-artificialis-1685</x:t>
        </x:is>
      </x:c>
      <x:c r="D5" s="46" t="inlineStr">
        <x:is>
          <x:t xml:space="preserve">Johann Zahn, portable camera obscura</x:t>
        </x:is>
      </x:c>
      <x:c r="E5" s="46" t="inlineStr">
        <x:is>
          <x:t xml:space="preserve">источник по историческим изображениям</x:t>
        </x:is>
      </x:c>
    </x:row>
    <x:row r="6" s="38" customFormat="1" ht="31.5" customHeight="1">
      <x:c r="A6" s="46" t="inlineStr">
        <x:is>
          <x:t xml:space="preserve">SRC-005</x:t>
        </x:is>
      </x:c>
      <x:c r="B6" s="46" t="inlineStr">
        <x:is>
          <x:t xml:space="preserve">Swiss Camera Museum — Johann Heinrich Schulze</x:t>
        </x:is>
      </x:c>
      <x:c r="C6" s="46" t="inlineStr">
        <x:is>
          <x:t xml:space="preserve">https://www.cameramuseum.ch/en/discover/permanent-exhibition/the-origins-of-photography/the-precursors-johann-heinrich-schulze/</x:t>
        </x:is>
      </x:c>
      <x:c r="D6" s="46" t="inlineStr">
        <x:is>
          <x:t xml:space="preserve">Schulze, светочувствительность серебряных солей</x:t>
        </x:is>
      </x:c>
      <x:c r="E6" s="46" t="inlineStr">
        <x:is>
          <x:t xml:space="preserve">музейный источник</x:t>
        </x:is>
      </x:c>
    </x:row>
    <x:row r="7" s="38" customFormat="1" ht="15.75" customHeight="1">
      <x:c r="A7" s="46" t="inlineStr">
        <x:is>
          <x:t xml:space="preserve">SRC-006</x:t>
        </x:is>
      </x:c>
      <x:c r="B7" s="46" t="inlineStr">
        <x:is>
          <x:t xml:space="preserve">Science History Institute — Silver and Sunlight</x:t>
        </x:is>
      </x:c>
      <x:c r="C7" s="46" t="inlineStr">
        <x:is>
          <x:t xml:space="preserve">https://www.sciencehistory.org/stories/magazine/silver-and-sunlight/</x:t>
        </x:is>
      </x:c>
      <x:c r="D7" s="46" t="inlineStr">
        <x:is>
          <x:t xml:space="preserve">Scheele, silver chloride, ammonia</x:t>
        </x:is>
      </x:c>
      <x:c r="E7" s="46" t="inlineStr">
        <x:is>
          <x:t xml:space="preserve">научно-исторический источник</x:t>
        </x:is>
      </x:c>
    </x:row>
    <x:row r="8" s="38" customFormat="1" ht="31.5" customHeight="1">
      <x:c r="A8" s="46" t="inlineStr">
        <x:is>
          <x:t xml:space="preserve">SRC-007</x:t>
        </x:is>
      </x:c>
      <x:c r="B8" s="46" t="inlineStr">
        <x:is>
          <x:t xml:space="preserve">Swiss Camera Museum — Thomas Wedgwood</x:t>
        </x:is>
      </x:c>
      <x:c r="C8" s="46" t="inlineStr">
        <x:is>
          <x:t xml:space="preserve">https://www.cameramuseum.ch/en/discover/permanent-exhibition/the-origins-of-photography/the-precursors-thomas-wedgwood/</x:t>
        </x:is>
      </x:c>
      <x:c r="D8" s="46" t="inlineStr">
        <x:is>
          <x:t xml:space="preserve">Wedgwood, silver nitrate, early camera obscura attempts</x:t>
        </x:is>
      </x:c>
      <x:c r="E8" s="46" t="inlineStr">
        <x:is>
          <x:t xml:space="preserve">музейный источник</x:t>
        </x:is>
      </x:c>
    </x:row>
    <x:row r="9" s="38" customFormat="1" ht="31.5" customHeight="1">
      <x:c r="A9" s="46" t="inlineStr">
        <x:is>
          <x:t xml:space="preserve">SRC-008</x:t>
        </x:is>
      </x:c>
      <x:c r="B9" s="46" t="inlineStr">
        <x:is>
          <x:t xml:space="preserve">Bodleian — Talbot Catalogue: Photogenic Drawing</x:t>
        </x:is>
      </x:c>
      <x:c r="C9" s="46" t="inlineStr">
        <x:is>
          <x:t xml:space="preserve">https://talbot.bodleian.ox.ac.uk/2017/02/17/an-account-of-the-processes-employed-in-photogenic-drawing/</x:t>
        </x:is>
      </x:c>
      <x:c r="D9" s="46" t="inlineStr">
        <x:is>
          <x:t xml:space="preserve">Talbot, Wedgwood/Davy, photogenic drawing</x:t>
        </x:is>
      </x:c>
      <x:c r="E9" s="46" t="inlineStr">
        <x:is>
          <x:t xml:space="preserve">архивный/исследовательский источник</x:t>
        </x:is>
      </x:c>
    </x:row>
    <x:row r="10" s="38" customFormat="1" ht="15.75" customHeight="1">
      <x:c r="A10" s="46" t="inlineStr">
        <x:is>
          <x:t xml:space="preserve">SRC-009</x:t>
        </x:is>
      </x:c>
      <x:c r="B10" s="46" t="inlineStr">
        <x:is>
          <x:t xml:space="preserve">Smithsonian NMAH — Camera Lucida</x:t>
        </x:is>
      </x:c>
      <x:c r="C10" s="46" t="inlineStr">
        <x:is>
          <x:t xml:space="preserve">https://americanhistory.si.edu/collections/object/nmah_1184286</x:t>
        </x:is>
      </x:c>
      <x:c r="D10" s="46" t="inlineStr">
        <x:is>
          <x:t xml:space="preserve">Wollaston, Camera Lucida, 1806/1807</x:t>
        </x:is>
      </x:c>
      <x:c r="E10" s="46" t="inlineStr">
        <x:is>
          <x:t xml:space="preserve">музейная карточка предмета</x:t>
        </x:is>
      </x:c>
    </x:row>
    <x:row r="11" s="38" customFormat="1" ht="31.5" customHeight="1">
      <x:c r="A11" s="46" t="inlineStr">
        <x:is>
          <x:t xml:space="preserve">SRC-010</x:t>
        </x:is>
      </x:c>
      <x:c r="B11" s="46" t="inlineStr">
        <x:is>
          <x:t xml:space="preserve">Harry Ransom Center — The Niépce Heliograph</x:t>
        </x:is>
      </x:c>
      <x:c r="C11" s="46" t="inlineStr">
        <x:is>
          <x:t xml:space="preserve">https://www.hrc.utexas.edu/niepce-heliograph/</x:t>
        </x:is>
      </x:c>
      <x:c r="D11" s="46" t="inlineStr">
        <x:is>
          <x:t xml:space="preserve">Niépce, View from the Window at Le Gras, heliography</x:t>
        </x:is>
      </x:c>
      <x:c r="E11" s="46" t="inlineStr">
        <x:is>
          <x:t xml:space="preserve">ключевой источник</x:t>
        </x:is>
      </x:c>
    </x:row>
    <x:row r="12" s="38" customFormat="1" ht="31.5" customHeight="1">
      <x:c r="A12" s="46" t="inlineStr">
        <x:is>
          <x:t xml:space="preserve">SRC-011</x:t>
        </x:is>
      </x:c>
      <x:c r="B12" s="46" t="inlineStr">
        <x:is>
          <x:t xml:space="preserve">Maison Nicéphore Niépce — First experiments</x:t>
        </x:is>
      </x:c>
      <x:c r="C12" s="46" t="inlineStr">
        <x:is>
          <x:t xml:space="preserve">https://bicentennial-of-photography.org/niepce-and-the-invention-of-photography-niepce-s-first-experiments/</x:t>
        </x:is>
      </x:c>
      <x:c r="D12" s="46" t="inlineStr">
        <x:is>
          <x:t xml:space="preserve">Niépce 1816, исчезающие negative images</x:t>
        </x:is>
      </x:c>
      <x:c r="E12" s="46" t="inlineStr">
        <x:is>
          <x:t xml:space="preserve">музей/юбилейный проект</x:t>
        </x:is>
      </x:c>
    </x:row>
    <x:row r="13" s="38" customFormat="1" ht="31.5" customHeight="1">
      <x:c r="A13" s="46" t="inlineStr">
        <x:is>
          <x:t xml:space="preserve">SRC-012</x:t>
        </x:is>
      </x:c>
      <x:c r="B13" s="46" t="inlineStr">
        <x:is>
          <x:t xml:space="preserve">Harvard Library — History of Photography Timeline</x:t>
        </x:is>
      </x:c>
      <x:c r="C13" s="46" t="inlineStr">
        <x:is>
          <x:t xml:space="preserve">https://photographpreservationprogram.hsites.harvard.edu/harvards-history-photography-timeline-text-only</x:t>
        </x:is>
      </x:c>
      <x:c r="D13" s="46" t="inlineStr">
        <x:is>
          <x:t xml:space="preserve">1826, 1839, Talbot, calotype, cyanotype, early medical photography, lantern slides</x:t>
        </x:is>
      </x:c>
      <x:c r="E13" s="46" t="inlineStr">
        <x:is>
          <x:t xml:space="preserve">университетская таймлайн-опора</x:t>
        </x:is>
      </x:c>
    </x:row>
    <x:row r="14" s="38" customFormat="1" ht="31.5" customHeight="1">
      <x:c r="A14" s="46" t="inlineStr">
        <x:is>
          <x:t xml:space="preserve">SRC-013</x:t>
        </x:is>
      </x:c>
      <x:c r="B14" s="46" t="inlineStr">
        <x:is>
          <x:t xml:space="preserve">The Met — Daguerre and the Invention of Photography</x:t>
        </x:is>
      </x:c>
      <x:c r="C14" s="46" t="inlineStr">
        <x:is>
          <x:t xml:space="preserve">https://www.metmuseum.org/essays/daguerre-1787-1851-and-the-invention-of-photography</x:t>
        </x:is>
      </x:c>
      <x:c r="D14" s="46" t="inlineStr">
        <x:is>
          <x:t xml:space="preserve">Daguerre, Académie des Sciences, 1839</x:t>
        </x:is>
      </x:c>
      <x:c r="E14" s="46" t="inlineStr">
        <x:is>
          <x:t xml:space="preserve">музейный эссе-источник</x:t>
        </x:is>
      </x:c>
    </x:row>
    <x:row r="15" s="38" customFormat="1" ht="31.5" customHeight="1">
      <x:c r="A15" s="46" t="inlineStr">
        <x:is>
          <x:t xml:space="preserve">SRC-014</x:t>
        </x:is>
      </x:c>
      <x:c r="B15" s="46" t="inlineStr">
        <x:is>
          <x:t xml:space="preserve">Library of Congress — Daguerreotype Medium</x:t>
        </x:is>
      </x:c>
      <x:c r="C15" s="46" t="inlineStr">
        <x:is>
          <x:t xml:space="preserve">https://www.loc.gov/collections/daguerreotypes/articles-and-essays/the-daguerreotype-medium</x:t>
        </x:is>
      </x:c>
      <x:c r="D15" s="46" t="inlineStr">
        <x:is>
          <x:t xml:space="preserve">daguerreotype as direct-positive process</x:t>
        </x:is>
      </x:c>
      <x:c r="E15" s="46" t="inlineStr">
        <x:is>
          <x:t xml:space="preserve">архивный источник</x:t>
        </x:is>
      </x:c>
    </x:row>
    <x:row r="16" s="38" customFormat="1" ht="31.5" customHeight="1">
      <x:c r="A16" s="46" t="inlineStr">
        <x:is>
          <x:t xml:space="preserve">SRC-015</x:t>
        </x:is>
      </x:c>
      <x:c r="B16" s="46" t="inlineStr">
        <x:is>
          <x:t xml:space="preserve">Library of Congress — Calotype and Daguerreotype</x:t>
        </x:is>
      </x:c>
      <x:c r="C16" s="46" t="inlineStr">
        <x:is>
          <x:t xml:space="preserve">https://blogs.loc.gov/teachers/2018/09/pre-civil-war-photographic-technologies-the-calotype-and-daguerreotype/</x:t>
        </x:is>
      </x:c>
      <x:c r="D16" s="46" t="inlineStr">
        <x:is>
          <x:t xml:space="preserve">calotype as first negative-positive process</x:t>
        </x:is>
      </x:c>
      <x:c r="E16" s="46" t="inlineStr">
        <x:is>
          <x:t xml:space="preserve">архивный образовательный источник</x:t>
        </x:is>
      </x:c>
    </x:row>
    <x:row r="17" s="38" customFormat="1" ht="31.5" customHeight="1">
      <x:c r="A17" s="46" t="inlineStr">
        <x:is>
          <x:t xml:space="preserve">SRC-016</x:t>
        </x:is>
      </x:c>
      <x:c r="B17" s="46" t="inlineStr">
        <x:is>
          <x:t xml:space="preserve">The Met — William Henry Fox Talbot</x:t>
        </x:is>
      </x:c>
      <x:c r="C17" s="46" t="inlineStr">
        <x:is>
          <x:t xml:space="preserve">https://www.metmuseum.org/essays/william-henry-fox-talbot-1800-1877-and-the-invention-of-photography</x:t>
        </x:is>
      </x:c>
      <x:c r="D17" s="46" t="inlineStr">
        <x:is>
          <x:t xml:space="preserve">Talbot, latent image, calotype, hypo, Pencil of Nature</x:t>
        </x:is>
      </x:c>
      <x:c r="E17" s="46" t="inlineStr">
        <x:is>
          <x:t xml:space="preserve">музейный эссе-источник</x:t>
        </x:is>
      </x:c>
    </x:row>
    <x:row r="18" s="38" customFormat="1" ht="15.75" customHeight="1">
      <x:c r="A18" s="46" t="inlineStr">
        <x:is>
          <x:t xml:space="preserve">SRC-017</x:t>
        </x:is>
      </x:c>
      <x:c r="B18" s="46" t="inlineStr">
        <x:is>
          <x:t xml:space="preserve">Getty — Sir John F. W. Herschel</x:t>
        </x:is>
      </x:c>
      <x:c r="C18" s="46" t="inlineStr">
        <x:is>
          <x:t xml:space="preserve">https://www.getty.edu/art/collection/person/103KHK</x:t>
        </x:is>
      </x:c>
      <x:c r="D18" s="46" t="inlineStr">
        <x:is>
          <x:t xml:space="preserve">Herschel, terminology, cyanotype context</x:t>
        </x:is>
      </x:c>
      <x:c r="E18" s="46" t="inlineStr">
        <x:is>
          <x:t xml:space="preserve">музейная биография</x:t>
        </x:is>
      </x:c>
    </x:row>
    <x:row r="19" s="38" customFormat="1" ht="31.5" customHeight="1">
      <x:c r="A19" s="46" t="inlineStr">
        <x:is>
          <x:t xml:space="preserve">SRC-018</x:t>
        </x:is>
      </x:c>
      <x:c r="B19" s="46" t="inlineStr">
        <x:is>
          <x:t xml:space="preserve">HNOC — Cyanotype Process</x:t>
        </x:is>
      </x:c>
      <x:c r="C19" s="46" t="inlineStr">
        <x:is>
          <x:t xml:space="preserve">https://hnoc.org/virtual-exhibitions/from_daguerreotype_to_digital/cyanotype-process</x:t>
        </x:is>
      </x:c>
      <x:c r="D19" s="46" t="inlineStr">
        <x:is>
          <x:t xml:space="preserve">Herschel, cyanotype 1842</x:t>
        </x:is>
      </x:c>
      <x:c r="E19" s="46" t="inlineStr">
        <x:is>
          <x:t xml:space="preserve">музейный образовательный источник</x:t>
        </x:is>
      </x:c>
    </x:row>
    <x:row r="20" s="38" customFormat="1" ht="31.5" customHeight="1">
      <x:c r="A20" s="46" t="inlineStr">
        <x:is>
          <x:t xml:space="preserve">SRC-019</x:t>
        </x:is>
      </x:c>
      <x:c r="B20" s="46" t="inlineStr">
        <x:is>
          <x:t xml:space="preserve">Natural History Museum — Anna Atkins's cyanotypes</x:t>
        </x:is>
      </x:c>
      <x:c r="C20" s="46" t="inlineStr">
        <x:is>
          <x:t xml:space="preserve">https://www.nhm.ac.uk/discover/anna-atkins-cyanotypes-the-first-book-of-photographs.html</x:t>
        </x:is>
      </x:c>
      <x:c r="D20" s="46" t="inlineStr">
        <x:is>
          <x:t xml:space="preserve">Anna Atkins, Photographs of British Algae</x:t>
        </x:is>
      </x:c>
      <x:c r="E20" s="46" t="inlineStr">
        <x:is>
          <x:t xml:space="preserve">музейный источник</x:t>
        </x:is>
      </x:c>
    </x:row>
    <x:row r="21" s="38" customFormat="1" ht="31.5" customHeight="1">
      <x:c r="A21" s="46" t="inlineStr">
        <x:is>
          <x:t xml:space="preserve">SRC-020</x:t>
        </x:is>
      </x:c>
      <x:c r="B21" s="46" t="inlineStr">
        <x:is>
          <x:t xml:space="preserve">V&amp;A — Photography Processes and Techniques</x:t>
        </x:is>
      </x:c>
      <x:c r="C21" s="46" t="inlineStr">
        <x:is>
          <x:t xml:space="preserve">https://www.vam.ac.uk/info/collection-selection-boxes-photography-processes-and-techniques</x:t>
        </x:is>
      </x:c>
      <x:c r="D21" s="46" t="inlineStr">
        <x:is>
          <x:t xml:space="preserve">salt print, albumen print, wet collodion process</x:t>
        </x:is>
      </x:c>
      <x:c r="E21" s="46" t="inlineStr">
        <x:is>
          <x:t xml:space="preserve">музейный источник</x:t>
        </x:is>
      </x:c>
    </x:row>
    <x:row r="22" s="38" customFormat="1" ht="31.5" customHeight="1">
      <x:c r="A22" s="46" t="inlineStr">
        <x:is>
          <x:t xml:space="preserve">SRC-021</x:t>
        </x:is>
      </x:c>
      <x:c r="B22" s="46" t="inlineStr">
        <x:is>
          <x:t xml:space="preserve">National Science and Media Museum — Frederick Scott Archer</x:t>
        </x:is>
      </x:c>
      <x:c r="C22" s="46" t="inlineStr">
        <x:is>
          <x:t xml:space="preserve">https://blog.scienceandmediamuseum.org.uk/photography-a-z-frederick-scott-archer-wet-collodion-process/</x:t>
        </x:is>
      </x:c>
      <x:c r="D22" s="46" t="inlineStr">
        <x:is>
          <x:t xml:space="preserve">Archer, wet collodion, 1851, process details</x:t>
        </x:is>
      </x:c>
      <x:c r="E22" s="46" t="inlineStr">
        <x:is>
          <x:t xml:space="preserve">музейный блог</x:t>
        </x:is>
      </x:c>
    </x:row>
    <x:row r="23" s="38" customFormat="1" ht="31.5" customHeight="1">
      <x:c r="A23" s="46" t="inlineStr">
        <x:is>
          <x:t xml:space="preserve">SRC-022</x:t>
        </x:is>
      </x:c>
      <x:c r="B23" s="46" t="inlineStr">
        <x:is>
          <x:t xml:space="preserve">Library of Congress — Ambrotypes and Tintypes</x:t>
        </x:is>
      </x:c>
      <x:c r="C23" s="46" t="inlineStr">
        <x:is>
          <x:t xml:space="preserve">https://www.loc.gov/collections/liljenquist-civil-war-photographs/articles-and-essays/ambrotypes-and-tintypes/</x:t>
        </x:is>
      </x:c>
      <x:c r="D23" s="46" t="inlineStr">
        <x:is>
          <x:t xml:space="preserve">ambrotype, tintype, Cutting patent, 1854</x:t>
        </x:is>
      </x:c>
      <x:c r="E23" s="46" t="inlineStr">
        <x:is>
          <x:t xml:space="preserve">архивный источник</x:t>
        </x:is>
      </x:c>
    </x:row>
    <x:row r="24" s="38" customFormat="1" ht="15.75" customHeight="1">
      <x:c r="A24" s="46" t="inlineStr">
        <x:is>
          <x:t xml:space="preserve">SRC-023</x:t>
        </x:is>
      </x:c>
      <x:c r="B24" s="46" t="inlineStr">
        <x:is>
          <x:t xml:space="preserve">National Gallery of Canada — The Calotype Process</x:t>
        </x:is>
      </x:c>
      <x:c r="C24" s="46" t="inlineStr">
        <x:is>
          <x:t xml:space="preserve">https://www.gallery.ca/photo-blog/the-calotype-process</x:t>
        </x:is>
      </x:c>
      <x:c r="D24" s="46" t="inlineStr">
        <x:is>
          <x:t xml:space="preserve">photogenic drawing 1834, calotype context</x:t>
        </x:is>
      </x:c>
      <x:c r="E24" s="46" t="inlineStr">
        <x:is>
          <x:t xml:space="preserve">музейный источник</x:t>
        </x:is>
      </x:c>
    </x:row>
    <x:row r="25" s="38" customFormat="1" ht="31.5" customHeight="1">
      <x:c r="A25" s="46" t="inlineStr">
        <x:is>
          <x:t xml:space="preserve">SRC-024</x:t>
        </x:is>
      </x:c>
      <x:c r="B25" s="46" t="inlineStr">
        <x:is>
          <x:t xml:space="preserve">Royal Society / Google Arts &amp; Culture — Stereoscopy</x:t>
        </x:is>
      </x:c>
      <x:c r="C25" s="46" t="inlineStr">
        <x:is>
          <x:t xml:space="preserve">https://artsandculture.google.com/story/stereoscopy-the-birth-of-3d-technology-the-royal-society/pwWRTNS-hqDN5g</x:t>
        </x:is>
      </x:c>
      <x:c r="D25" s="46" t="inlineStr">
        <x:is>
          <x:t xml:space="preserve">Wheatstone, stereoscopy 1838</x:t>
        </x:is>
      </x:c>
      <x:c r="E25" s="46" t="inlineStr">
        <x:is>
          <x:t xml:space="preserve">общественно-научный источник</x:t>
        </x:is>
      </x:c>
    </x:row>
    <x:row r="26" s="38" customFormat="1" ht="31.5" customHeight="1">
      <x:c r="A26" s="46" t="inlineStr">
        <x:is>
          <x:t xml:space="preserve">SRC-025</x:t>
        </x:is>
      </x:c>
      <x:c r="B26" s="46" t="inlineStr">
        <x:is>
          <x:t xml:space="preserve">Getty Conservation Institute — Atlas: Salt Print PDF</x:t>
        </x:is>
      </x:c>
      <x:c r="C26" s="46" t="inlineStr">
        <x:is>
          <x:t xml:space="preserve">https://www.getty.edu/conservation/publications_resources/pdf_publications/pdf/atlas_saltprint.pdf</x:t>
        </x:is>
      </x:c>
      <x:c r="D26" s="46" t="inlineStr">
        <x:is>
          <x:t xml:space="preserve">salt print chemistry, Scheele, Wedgwood context</x:t>
        </x:is>
      </x:c>
      <x:c r="E26" s="46" t="inlineStr">
        <x:is>
          <x:t xml:space="preserve">технический PDF</x:t>
        </x:is>
      </x:c>
    </x:row>
    <x:row r="27" s="38" customFormat="1" ht="31.5" customHeight="1">
      <x:c r="A27" s="46" t="inlineStr">
        <x:is>
          <x:t xml:space="preserve">SRC-026</x:t>
        </x:is>
      </x:c>
      <x:c r="B27" s="46" t="inlineStr">
        <x:is>
          <x:t xml:space="preserve">V&amp;A — A to Z of photographic processes</x:t>
        </x:is>
      </x:c>
      <x:c r="C27" s="46" t="inlineStr">
        <x:is>
          <x:t xml:space="preserve">https://www.vam.ac.uk/articles/photographic-processes</x:t>
        </x:is>
      </x:c>
      <x:c r="D27" s="46" t="inlineStr">
        <x:is>
          <x:t xml:space="preserve">общий перечень процессов для последующих версий</x:t>
        </x:is>
      </x:c>
      <x:c r="E27" s="46" t="inlineStr">
        <x:is>
          <x:t xml:space="preserve">дополнительный справочник</x:t>
        </x:is>
      </x:c>
    </x:row>
    <x:row r="28" s="38" customFormat="1" ht="23.25" customHeight="1">
      <x:c r="A28" s="49" t="inlineStr">
        <x:is>
          <x:t xml:space="preserve">SRC-027</x:t>
        </x:is>
      </x:c>
      <x:c r="B28" s="49" t="inlineStr">
        <x:is>
          <x:t xml:space="preserve">National Science and Media Museum — Kodak and Ilford camera factories</x:t>
        </x:is>
      </x:c>
      <x:c r="C28" s="49" t="inlineStr">
        <x:is>
          <x:t xml:space="preserve">https://www.scienceandmediamuseum.org.uk/objects-and-stories/kodak-ilford-camera-factories-1930s</x:t>
        </x:is>
      </x:c>
      <x:c r="D28" s="49" t="inlineStr">
        <x:is>
          <x:t xml:space="preserve">Maddox 1871, Burgess/Kennett/Bennett improvements, Liverpool Dry Plate Company 1874</x:t>
        </x:is>
      </x:c>
      <x:c r="E28" s="49" t="inlineStr">
        <x:is>
          <x:t xml:space="preserve">музейный источник</x:t>
        </x:is>
      </x:c>
    </x:row>
    <x:row r="29" s="38" customFormat="1" ht="23.25" customHeight="1">
      <x:c r="A29" s="49" t="inlineStr">
        <x:is>
          <x:t xml:space="preserve">SRC-028</x:t>
        </x:is>
      </x:c>
      <x:c r="B29" s="49" t="inlineStr">
        <x:is>
          <x:t xml:space="preserve">National Science and Media Museum — A brief guide to photographs on glass</x:t>
        </x:is>
      </x:c>
      <x:c r="C29" s="49" t="inlineStr">
        <x:is>
          <x:t xml:space="preserve">https://blog.scienceandmediamuseum.org.uk/a-brief-guide-to-photographs-on-glass/</x:t>
        </x:is>
      </x:c>
      <x:c r="D29" s="49" t="inlineStr">
        <x:is>
          <x:t xml:space="preserve">dry plate 1871, manufacture 1878, replacement of wet collodion, storage benefits</x:t>
        </x:is>
      </x:c>
      <x:c r="E29" s="49" t="inlineStr">
        <x:is>
          <x:t xml:space="preserve">музейный блог</x:t>
        </x:is>
      </x:c>
    </x:row>
    <x:row r="30" s="38" customFormat="1" ht="23.25" customHeight="1">
      <x:c r="A30" s="49" t="inlineStr">
        <x:is>
          <x:t xml:space="preserve">SRC-029</x:t>
        </x:is>
      </x:c>
      <x:c r="B30" s="49" t="inlineStr">
        <x:is>
          <x:t xml:space="preserve">Swiss Camera Museum — Gelatine bromide plates</x:t>
        </x:is>
      </x:c>
      <x:c r="C30" s="49" t="inlineStr">
        <x:is>
          <x:t xml:space="preserve">https://www.cameramuseum.ch/en/discover/permanent-exhibition/the-plate-era/gelatine-bromide-plates/</x:t>
        </x:is>
      </x:c>
      <x:c r="D30" s="49" t="inlineStr">
        <x:is>
          <x:t xml:space="preserve">Maddox 1871, Bennett 1878, heating emulsion, 1/25 second exposure</x:t>
        </x:is>
      </x:c>
      <x:c r="E30" s="49" t="inlineStr">
        <x:is>
          <x:t xml:space="preserve">музейный источник</x:t>
        </x:is>
      </x:c>
    </x:row>
    <x:row r="31" s="38" customFormat="1" ht="23.25" customHeight="1">
      <x:c r="A31" s="49" t="inlineStr">
        <x:is>
          <x:t xml:space="preserve">SRC-030</x:t>
        </x:is>
      </x:c>
      <x:c r="B31" s="49" t="inlineStr">
        <x:is>
          <x:t xml:space="preserve">Cornell Library — Dawn's Early Light: Towards Modern Photography</x:t>
        </x:is>
      </x:c>
      <x:c r="C31" s="49" t="inlineStr">
        <x:is>
          <x:t xml:space="preserve">https://rmc.library.cornell.edu/DawnsEarlyLight/exhibition/modernphotography/index.html</x:t>
        </x:is>
      </x:c>
      <x:c r="D31" s="49" t="inlineStr">
        <x:is>
          <x:t xml:space="preserve">dry plate 1871/1878, faster exposure, motion, norm by late 1880s</x:t>
        </x:is>
      </x:c>
      <x:c r="E31" s="49" t="inlineStr">
        <x:is>
          <x:t xml:space="preserve">университетская выставка</x:t>
        </x:is>
      </x:c>
    </x:row>
    <x:row r="32" s="38" customFormat="1" ht="23.25" customHeight="1">
      <x:c r="A32" s="49" t="inlineStr">
        <x:is>
          <x:t xml:space="preserve">SRC-031</x:t>
        </x:is>
      </x:c>
      <x:c r="B32" s="49" t="inlineStr">
        <x:is>
          <x:t xml:space="preserve">Kodak — History</x:t>
        </x:is>
      </x:c>
      <x:c r="C32" s="49" t="inlineStr">
        <x:is>
          <x:t xml:space="preserve">https://www.kodak.com/en/company/page/history/</x:t>
        </x:is>
      </x:c>
      <x:c r="D32" s="49" t="inlineStr">
        <x:is>
          <x:t xml:space="preserve">Eastman commercial dry plates in 1880, Eastman Dry Plate Company 1881</x:t>
        </x:is>
      </x:c>
      <x:c r="E32" s="49" t="inlineStr">
        <x:is>
          <x:t xml:space="preserve">официальная история компании</x:t>
        </x:is>
      </x:c>
    </x:row>
    <x:row r="33" s="38" customFormat="1" ht="23.25" customHeight="1">
      <x:c r="A33" s="49" t="inlineStr">
        <x:is>
          <x:t xml:space="preserve">SRC-032</x:t>
        </x:is>
      </x:c>
      <x:c r="B33" s="49" t="inlineStr">
        <x:is>
          <x:t xml:space="preserve">Kodak — George Eastman History</x:t>
        </x:is>
      </x:c>
      <x:c r="C33" s="49" t="inlineStr">
        <x:is>
          <x:t xml:space="preserve">https://www.kodak.com/en/company/page/george-eastman-history/</x:t>
        </x:is>
      </x:c>
      <x:c r="D33" s="49" t="inlineStr">
        <x:is>
          <x:t xml:space="preserve">Eastman and Strong, Eastman Dry Plate Company on January 1, 1881</x:t>
        </x:is>
      </x:c>
      <x:c r="E33" s="49" t="inlineStr">
        <x:is>
          <x:t xml:space="preserve">официальная история компании</x:t>
        </x:is>
      </x:c>
    </x:row>
    <x:row r="34" s="38" customFormat="1" ht="23.25" customHeight="1">
      <x:c r="A34" s="49" t="inlineStr">
        <x:is>
          <x:t xml:space="preserve">SRC-033</x:t>
        </x:is>
      </x:c>
      <x:c r="B34" s="49" t="inlineStr">
        <x:is>
          <x:t xml:space="preserve">Smithsonian Institution Archives — Gelatin Dry Plate Negatives</x:t>
        </x:is>
      </x:c>
      <x:c r="C34" s="49" t="inlineStr">
        <x:is>
          <x:t xml:space="preserve">https://siarchives.si.edu/blog/highlight-photo-cold-vault-gelatin-dry-plate-negatives</x:t>
        </x:is>
      </x:c>
      <x:c r="D34" s="49" t="inlineStr">
        <x:is>
          <x:t xml:space="preserve">dry plates as popular negative from 1880 to 1900, benefits versus wet collodion</x:t>
        </x:is>
      </x:c>
      <x:c r="E34" s="49" t="inlineStr">
        <x:is>
          <x:t xml:space="preserve">архивный музейный источник</x:t>
        </x:is>
      </x:c>
    </x:row>
    <x:row r="35" s="38" customFormat="1" ht="23.25" customHeight="1">
      <x:c r="A35" s="49" t="inlineStr">
        <x:is>
          <x:t xml:space="preserve">SRC-034</x:t>
        </x:is>
      </x:c>
      <x:c r="B35" s="49" t="inlineStr">
        <x:is>
          <x:t xml:space="preserve">George Eastman Museum — Dry Plates in the Woods</x:t>
        </x:is>
      </x:c>
      <x:c r="C35" s="49" t="inlineStr">
        <x:is>
          <x:t xml:space="preserve">https://www.eastman.org/blog/dry-plates-woods-using-19th-century-photographic-processes-capture-letchworth-state-park</x:t>
        </x:is>
      </x:c>
      <x:c r="D35" s="49" t="inlineStr">
        <x:is>
          <x:t xml:space="preserve">dry plates coated with gelatin emulsion, practical freedom, Eastman's role</x:t>
        </x:is>
      </x:c>
      <x:c r="E35" s="49" t="inlineStr">
        <x:is>
          <x:t xml:space="preserve">музейный источник</x:t>
        </x:is>
      </x:c>
    </x:row>
    <x:row r="36">
      <x:c r="A36" s="45" t="inlineStr">
        <x:is>
          <x:t xml:space="preserve">SRC-035</x:t>
        </x:is>
      </x:c>
      <x:c r="B36" s="45" t="inlineStr">
        <x:is>
          <x:t xml:space="preserve">Science Museum Group — Eastman-Walker roll holder</x:t>
        </x:is>
      </x:c>
      <x:c r="C36" s="45" t="inlineStr">
        <x:is>
          <x:t xml:space="preserve">https://collection.sciencemuseumgroup.org.uk/objects/co15879/eastman-walker-roll-holder</x:t>
        </x:is>
      </x:c>
      <x:c r="D36" s="45" t="inlineStr">
        <x:is>
          <x:t xml:space="preserve">Eastman-Walker roll holder, 1885, made by Eastman Dry Plate and Film Company</x:t>
        </x:is>
      </x:c>
      <x:c r="E36" s="45" t="inlineStr">
        <x:is>
          <x:t xml:space="preserve">музейная карточка предмета</x:t>
        </x:is>
      </x:c>
    </x:row>
    <x:row r="37">
      <x:c r="A37" s="45" t="inlineStr">
        <x:is>
          <x:t xml:space="preserve">SRC-036</x:t>
        </x:is>
      </x:c>
      <x:c r="B37" s="45" t="inlineStr">
        <x:is>
          <x:t xml:space="preserve">George Eastman Museum — Two rare rolls of early Kodak film</x:t>
        </x:is>
      </x:c>
      <x:c r="C37" s="45" t="inlineStr">
        <x:is>
          <x:t xml:space="preserve">https://www.eastman.org/two-rare-rolls-early-kodak-film-acquired-george-eastman-museum</x:t>
        </x:is>
      </x:c>
      <x:c r="D37" s="45" t="inlineStr">
        <x:is>
          <x:t xml:space="preserve">American Film 1885 with Eastman-Walker roll holder; Kodak film 1888; Kodak transparent film 1889</x:t>
        </x:is>
      </x:c>
      <x:c r="E37" s="45" t="inlineStr">
        <x:is>
          <x:t xml:space="preserve">музейный источник</x:t>
        </x:is>
      </x:c>
    </x:row>
    <x:row r="38">
      <x:c r="A38" s="45" t="inlineStr">
        <x:is>
          <x:t xml:space="preserve">SRC-037</x:t>
        </x:is>
      </x:c>
      <x:c r="B38" s="45" t="inlineStr">
        <x:is>
          <x:t xml:space="preserve">National Inventors Hall of Fame — Hannibal Goodwin</x:t>
        </x:is>
      </x:c>
      <x:c r="C38" s="45" t="inlineStr">
        <x:is>
          <x:t xml:space="preserve">https://www.invent.org/inductees/hannibal-goodwin</x:t>
        </x:is>
      </x:c>
      <x:c r="D38" s="45" t="inlineStr">
        <x:is>
          <x:t xml:space="preserve">Goodwin and transparent flexible roll film on nitrocellulose base</x:t>
        </x:is>
      </x:c>
      <x:c r="E38" s="45" t="inlineStr">
        <x:is>
          <x:t xml:space="preserve">биографический/изобретательский источник</x:t>
        </x:is>
      </x:c>
    </x:row>
    <x:row r="39">
      <x:c r="A39" s="45" t="inlineStr">
        <x:is>
          <x:t xml:space="preserve">SRC-038</x:t>
        </x:is>
      </x:c>
      <x:c r="B39" s="45" t="inlineStr">
        <x:is>
          <x:t xml:space="preserve">Smithsonian NMAH — Original Kodak Camera, Serial No. 540</x:t>
        </x:is>
      </x:c>
      <x:c r="C39" s="45" t="inlineStr">
        <x:is>
          <x:t xml:space="preserve">https://americanhistory.si.edu/collections/object/nmah_760118</x:t>
        </x:is>
      </x:c>
      <x:c r="D39" s="45" t="inlineStr">
        <x:is>
          <x:t xml:space="preserve">Original Kodak camera 1888, flexible roll film, 100 exposures, price/context</x:t>
        </x:is>
      </x:c>
      <x:c r="E39" s="45" t="inlineStr">
        <x:is>
          <x:t xml:space="preserve">музейная карточка предмета</x:t>
        </x:is>
      </x:c>
    </x:row>
    <x:row r="40">
      <x:c r="A40" s="45" t="inlineStr">
        <x:is>
          <x:t xml:space="preserve">SRC-039</x:t>
        </x:is>
      </x:c>
      <x:c r="B40" s="45" t="inlineStr">
        <x:is>
          <x:t xml:space="preserve">The Met — Kodak and the Rise of Amateur Photography</x:t>
        </x:is>
      </x:c>
      <x:c r="C40" s="45" t="inlineStr">
        <x:is>
          <x:t xml:space="preserve">https://www.metmuseum.org/essays/kodak-and-the-rise-of-amateur-photography</x:t>
        </x:is>
      </x:c>
      <x:c r="D40" s="45" t="inlineStr">
        <x:is>
          <x:t xml:space="preserve">Kodak No. 1 camera, 100-exposure roll, factory processing/reloading, amateur photography</x:t>
        </x:is>
      </x:c>
      <x:c r="E40" s="45" t="inlineStr">
        <x:is>
          <x:t xml:space="preserve">музейный эссе-источник</x:t>
        </x:is>
      </x:c>
    </x:row>
    <x:row r="41">
      <x:c r="A41" s="45" t="inlineStr">
        <x:is>
          <x:t xml:space="preserve">SRC-040</x:t>
        </x:is>
      </x:c>
      <x:c r="B41" s="45" t="inlineStr">
        <x:is>
          <x:t xml:space="preserve">George Eastman Museum — From the Camera Obscura to the Revolutionary Kodak</x:t>
        </x:is>
      </x:c>
      <x:c r="C41" s="45" t="inlineStr">
        <x:is>
          <x:t xml:space="preserve">https://www.eastman.org/camera-obscura-revolutionary-kodak</x:t>
        </x:is>
      </x:c>
      <x:c r="D41" s="45" t="inlineStr">
        <x:is>
          <x:t xml:space="preserve">Kodak launch 1888, camera patent and Kodak trademark on September 4, 1888</x:t>
        </x:is>
      </x:c>
      <x:c r="E41" s="45" t="inlineStr">
        <x:is>
          <x:t xml:space="preserve">музейный источник</x:t>
        </x:is>
      </x:c>
    </x:row>
    <x:row r="42">
      <x:c r="A42" s="45" t="inlineStr">
        <x:is>
          <x:t xml:space="preserve">SRC-041</x:t>
        </x:is>
      </x:c>
      <x:c r="B42" s="45" t="inlineStr">
        <x:is>
          <x:t xml:space="preserve">Kodak — Chronology of Film</x:t>
        </x:is>
      </x:c>
      <x:c r="C42" s="45" t="inlineStr">
        <x:is>
          <x:t xml:space="preserve">https://www.kodak.com/en/motion/page/chronology-of-film/</x:t>
        </x:is>
      </x:c>
      <x:c r="D42" s="45" t="inlineStr">
        <x:is>
          <x:t xml:space="preserve">1889 first commercial transparent roll film, Eastman and research chemist, impact on motion picture camera</x:t>
        </x:is>
      </x:c>
      <x:c r="E42" s="45" t="inlineStr">
        <x:is>
          <x:t xml:space="preserve">официальная хронология компании</x:t>
        </x:is>
      </x:c>
    </x:row>
    <x:row r="43">
      <x:c r="A43" s="45" t="inlineStr">
        <x:is>
          <x:t xml:space="preserve">SRC-042</x:t>
        </x:is>
      </x:c>
      <x:c r="B43" s="45" t="inlineStr">
        <x:is>
          <x:t xml:space="preserve">Kodak — Milestones</x:t>
        </x:is>
      </x:c>
      <x:c r="C43" s="45" t="inlineStr">
        <x:is>
          <x:t xml:space="preserve">https://www.kodak.com/en/company/page/milestones/</x:t>
        </x:is>
      </x:c>
      <x:c r="D43" s="45" t="inlineStr">
        <x:is>
          <x:t xml:space="preserve">1891 first daylight-loading camera; Kodak Park and film/paper manufacturing context</x:t>
        </x:is>
      </x:c>
      <x:c r="E43" s="45" t="inlineStr">
        <x:is>
          <x:t xml:space="preserve">официальная хронология компании</x:t>
        </x:is>
      </x:c>
    </x:row>
    <x:row r="44">
      <x:c r="A44" s="45" t="inlineStr">
        <x:is>
          <x:t xml:space="preserve">SRC-043</x:t>
        </x:is>
      </x:c>
      <x:c r="B44" s="45" t="inlineStr">
        <x:is>
          <x:t xml:space="preserve">National Science and Media Museum — Kodak Gallery</x:t>
        </x:is>
      </x:c>
      <x:c r="C44" s="45" t="inlineStr">
        <x:is>
          <x:t xml:space="preserve">https://www.scienceandmediamuseum.org.uk/whats-on/kodak-gallery</x:t>
        </x:is>
      </x:c>
      <x:c r="D44" s="45" t="inlineStr">
        <x:is>
          <x:t xml:space="preserve">Kodak camera 1888 and Brownie 1900 as birth of popular photography</x:t>
        </x:is>
      </x:c>
      <x:c r="E44" s="45" t="inlineStr">
        <x:is>
          <x:t xml:space="preserve">музейный источник</x:t>
        </x:is>
      </x:c>
    </x:row>
    <x:row r="45">
      <x:c r="A45" s="59" t="str">
        <x:v>SRC-044</x:v>
      </x:c>
      <x:c r="B45" s="59" t="str">
        <x:v>Science Museum Group — No. 1 Brownie Box Camera</x:v>
      </x:c>
      <x:c r="C45" s="59" t="str">
        <x:v>https://collection.sciencemuseumgroup.org.uk/objects/co8406729/no-1-brownie-box-camera</x:v>
      </x:c>
      <x:c r="D45" s="59" t="str">
        <x:v>No. 1 Brownie box roll-film camera; affordable and easy to use camera context</x:v>
      </x:c>
      <x:c r="E45" s="59" t="str">
        <x:v>музейная карточка предмета</x:v>
      </x:c>
    </x:row>
    <x:row r="46">
      <x:c r="A46" s="59" t="str">
        <x:v>SRC-045</x:v>
      </x:c>
      <x:c r="B46" s="59" t="str">
        <x:v>The Strong National Museum of Play — Brownies: From Folklore to Kodak Cameras</x:v>
      </x:c>
      <x:c r="C46" s="59" t="str">
        <x:v>https://www.museumofplay.org/blog/brownies-from-folklore-to-kodak-cameras/</x:v>
      </x:c>
      <x:c r="D46" s="59" t="str">
        <x:v>Brownie name, Frank A. Brownell, Eastman Kodak and cultural naming context</x:v>
      </x:c>
      <x:c r="E46" s="59" t="str">
        <x:v>музейный блог</x:v>
      </x:c>
    </x:row>
    <x:row r="47">
      <x:c r="A47" s="59" t="str">
        <x:v>SRC-046</x:v>
      </x:c>
      <x:c r="B47" s="59" t="str">
        <x:v>ACS — George Eastman, Kodak, and the Birth of Consumer Photography</x:v>
      </x:c>
      <x:c r="C47" s="59" t="str">
        <x:v>https://www.acs.org/education/whatischemistry/landmarks/eastman-kodak.html</x:v>
      </x:c>
      <x:c r="D47" s="59" t="str">
        <x:v>Brownie 1900, $1 price, children/consumer photography context</x:v>
      </x:c>
      <x:c r="E47" s="59" t="str">
        <x:v>научно-образовательный источник</x:v>
      </x:c>
    </x:row>
    <x:row r="48">
      <x:c r="A48" s="59" t="str">
        <x:v>SRC-047</x:v>
      </x:c>
      <x:c r="B48" s="59" t="str">
        <x:v>National Science and Media Museum — B is for Brownie</x:v>
      </x:c>
      <x:c r="C48" s="59" t="str">
        <x:v>https://blog.scienceandmediamuseum.org.uk/a-z-photography-collection-b-is-for-brownie/</x:v>
      </x:c>
      <x:c r="D48" s="59" t="str">
        <x:v>Brownie democratized photography, aimed at people with no previous experience, advertising and Palmer Cox context</x:v>
      </x:c>
      <x:c r="E48" s="59" t="str">
        <x:v>музейный блог</x:v>
      </x:c>
    </x:row>
    <x:row r="49">
      <x:c r="A49" s="59" t="str">
        <x:v>SRC-048</x:v>
      </x:c>
      <x:c r="B49" s="59" t="str">
        <x:v>NEH — How Kodak Created a Fashion Accessory</x:v>
      </x:c>
      <x:c r="C49" s="59" t="str">
        <x:v>https://www.neh.gov/article/how-kodak-created-fashion-accessory</x:v>
      </x:c>
      <x:c r="D49" s="59" t="str">
        <x:v>Brownie 1900, $1 camera, mass-market amateur camera, middle/working-class and children context</x:v>
      </x:c>
      <x:c r="E49" s="59" t="str">
        <x:v>культурно-исторический источник</x:v>
      </x:c>
    </x:row>
    <x:row r="50">
      <x:c r="A50" s="59" t="str">
        <x:v>SRC-049</x:v>
      </x:c>
      <x:c r="B50" s="59" t="str">
        <x:v>National Gallery of Art — The Art of the American Snapshot, 1888–1978</x:v>
      </x:c>
      <x:c r="C50" s="59" t="str">
        <x:v>https://www.nga.gov/exhibitions/art-american-snapshot-1888-1978-collection-robert-e-jackson</x:v>
      </x:c>
      <x:c r="D50" s="59" t="str">
        <x:v>snapshot photography as vernacular/cultural archive from Kodak roll-film era onward</x:v>
      </x:c>
      <x:c r="E50" s="59" t="str">
        <x:v>музейный источник</x:v>
      </x:c>
    </x:row>
    <x:row r="51">
      <x:c r="A51" s="59" t="str">
        <x:v>SRC-050</x:v>
      </x:c>
      <x:c r="B51" s="59" t="str">
        <x:v>Science Museum Group — No 2 Brownie Camera</x:v>
      </x:c>
      <x:c r="C51" s="59" t="str">
        <x:v>https://collection.sciencemuseumgroup.org.uk/objects/co8207799/no-2-brownie-camera</x:v>
      </x:c>
      <x:c r="D51" s="59" t="str">
        <x:v>No. 2 Brownie camera, 120 rollfilm, simple box-form camera details</x:v>
      </x:c>
      <x:c r="E51" s="59" t="str">
        <x:v>музейная карточка предмета</x:v>
      </x:c>
    </x:row>
    <x:row r="52">
      <x:c r="A52" s="59" t="str">
        <x:v>SRC-051</x:v>
      </x:c>
      <x:c r="B52" s="59" t="str">
        <x:v>Smithsonian NMAH — Leica 35 mm 1(A) Camera</x:v>
      </x:c>
      <x:c r="C52" s="59" t="str">
        <x:v>https://americanhistory.si.edu/collections/object/nmah_834692</x:v>
      </x:c>
      <x:c r="D52" s="59" t="str">
        <x:v>Leica 1(A), commercial 35mm camera, Barnack, 1924/1925 and popularization of 35mm film photography</x:v>
      </x:c>
      <x:c r="E52" s="59" t="str">
        <x:v>музейная карточка предмета</x:v>
      </x:c>
    </x:row>
  </x:sheetData>
  <x:pageMargins left="0.7" right="0.7" top="0.75" bottom="0.75" header="0.3" footer="0.3"/>
  <x:tableParts count="1">
    <x:tablePart xmlns:r="http://schemas.openxmlformats.org/officeDocument/2006/relationships" r:id="Ra7594e6364034613"/>
  </x:tableParts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13.670000076293945" style="37" customWidth="1"/>
    <x:col min="2" max="2" width="57.83000183105469" style="37" customWidth="1"/>
    <x:col min="3" max="3" width="14.670000076293945" style="37" customWidth="1"/>
    <x:col min="4" max="4" width="28" style="37" customWidth="1"/>
    <x:col min="5" max="5" width="8.15999984741211" style="37" customWidth="1"/>
    <x:col min="6" max="6" width="10.65999984741211" style="37" customWidth="1"/>
    <x:col min="7" max="7" width="30.670000076293945" style="37" customWidth="1"/>
    <x:col min="8" max="8" width="40.15999984741211" style="37" customWidth="1"/>
  </x:cols>
  <x:sheetData>
    <x:row r="1" s="38" customFormat="1" ht="27.75" customHeight="1">
      <x:c r="A1" s="41" t="inlineStr">
        <x:is>
          <x:t xml:space="preserve">Точность даты</x:t>
        </x:is>
      </x:c>
      <x:c r="B1" s="41" t="inlineStr">
        <x:is>
          <x:t xml:space="preserve">Статус ветки</x:t>
        </x:is>
      </x:c>
      <x:c r="C1" s="41" t="inlineStr">
        <x:is>
          <x:t xml:space="preserve">Урок</x:t>
        </x:is>
      </x:c>
      <x:c r="D1" s="41" t="inlineStr">
        <x:is>
          <x:t xml:space="preserve">Ветка</x:t>
        </x:is>
      </x:c>
      <x:c r="E1" s="41" t="inlineStr">
        <x:is>
          <x:t xml:space="preserve">Важность</x:t>
        </x:is>
      </x:c>
      <x:c r="F1" s="41" t="inlineStr">
        <x:is>
          <x:t xml:space="preserve">Уверенность</x:t>
        </x:is>
      </x:c>
      <x:c r="G1" s="42" t="inlineStr">
        <x:is>
          <x:t xml:space="preserve">Тип узла</x:t>
        </x:is>
      </x:c>
      <x:c r="H1" s="42" t="inlineStr">
        <x:is>
          <x:t xml:space="preserve">Подветка (детали)</x:t>
        </x:is>
      </x:c>
    </x:row>
    <x:row r="2" s="38" customFormat="1" ht="15.75" customHeight="1">
      <x:c r="A2" s="46" t="inlineStr">
        <x:is>
          <x:t xml:space="preserve">точная дата</x:t>
        </x:is>
      </x:c>
      <x:c r="B2" s="46" t="inlineStr">
        <x:is>
          <x:t xml:space="preserve">Временная доминирующая линия</x:t>
        </x:is>
      </x:c>
      <x:c r="C2" s="60" t="str">
        <x:v>PL-001</x:v>
      </x:c>
      <x:c r="D2" s="46" t="inlineStr">
        <x:is>
          <x:t xml:space="preserve">Оптика / камера-обскура</x:t>
        </x:is>
      </x:c>
      <x:c r="E2" s="46" t="n">
        <x:v>1</x:v>
      </x:c>
      <x:c r="F2" s="46" t="n">
        <x:v>1</x:v>
      </x:c>
      <x:c r="G2" s="45" t="inlineStr">
        <x:is>
          <x:t xml:space="preserve">Фундаментальная предпосылка</x:t>
        </x:is>
      </x:c>
      <x:c r="H2" s="45" t="inlineStr">
        <x:is>
          <x:t xml:space="preserve">Оптика / терминология</x:t>
        </x:is>
      </x:c>
    </x:row>
    <x:row r="3" s="38" customFormat="1" ht="15.75" customHeight="1">
      <x:c r="A3" s="46" t="inlineStr">
        <x:is>
          <x:t xml:space="preserve">год</x:t>
        </x:is>
      </x:c>
      <x:c r="B3" s="46" t="inlineStr">
        <x:is>
          <x:t xml:space="preserve">Главная линия</x:t>
        </x:is>
      </x:c>
      <x:c r="C3" s="60" t="str">
        <x:v>PL-002</x:v>
      </x:c>
      <x:c r="D3" s="46" t="inlineStr">
        <x:is>
          <x:t xml:space="preserve">Оптические инструменты</x:t>
        </x:is>
      </x:c>
      <x:c r="E3" s="46" t="n">
        <x:v>2</x:v>
      </x:c>
      <x:c r="F3" s="46" t="n">
        <x:v>2</x:v>
      </x:c>
      <x:c r="G3" s="45" t="inlineStr">
        <x:is>
          <x:t xml:space="preserve">Технология / процесс</x:t>
        </x:is>
      </x:c>
      <x:c r="H3" s="45" t="inlineStr">
        <x:is>
          <x:t xml:space="preserve">Оптика / камера</x:t>
        </x:is>
      </x:c>
    </x:row>
    <x:row r="4" s="38" customFormat="1" ht="15.75" customHeight="1">
      <x:c r="A4" s="46" t="inlineStr">
        <x:is>
          <x:t xml:space="preserve">примерно</x:t>
        </x:is>
      </x:c>
      <x:c r="B4" s="46" t="inlineStr">
        <x:is>
          <x:t xml:space="preserve">Главная линия / временная доминирующая линия</x:t>
        </x:is>
      </x:c>
      <x:c r="C4" s="60" t="str">
        <x:v>PL-003</x:v>
      </x:c>
      <x:c r="D4" s="46" t="inlineStr">
        <x:is>
          <x:t xml:space="preserve">Фотохимия</x:t>
        </x:is>
      </x:c>
      <x:c r="E4" s="46" t="n">
        <x:v>3</x:v>
      </x:c>
      <x:c r="F4" s="46" t="n">
        <x:v>3</x:v>
      </x:c>
      <x:c r="G4" s="45" t="inlineStr">
        <x:is>
          <x:t xml:space="preserve">Инструмент / устройство</x:t>
        </x:is>
      </x:c>
      <x:c r="H4" s="45" t="inlineStr">
        <x:is>
          <x:t xml:space="preserve">Оптические инструменты / 3D</x:t>
        </x:is>
      </x:c>
    </x:row>
    <x:row r="5" s="38" customFormat="1" ht="15.75" customHeight="1">
      <x:c r="A5" s="46" t="inlineStr">
        <x:is>
          <x:t xml:space="preserve">диапазон</x:t>
        </x:is>
      </x:c>
      <x:c r="B5" s="46" t="inlineStr">
        <x:is>
          <x:t xml:space="preserve">Исторически важная ограниченная ветка</x:t>
        </x:is>
      </x:c>
      <x:c r="C5" s="60" t="str">
        <x:v>PL-004</x:v>
      </x:c>
      <x:c r="D5" s="46" t="inlineStr">
        <x:is>
          <x:t xml:space="preserve">Гелиография</x:t>
        </x:is>
      </x:c>
      <x:c r="E5" s="46" t="n">
        <x:v>4</x:v>
      </x:c>
      <x:c r="F5" s="46" t="n">
        <x:v>4</x:v>
      </x:c>
      <x:c r="G5" s="45" t="inlineStr">
        <x:is>
          <x:t xml:space="preserve">Публикация / объявление</x:t>
        </x:is>
      </x:c>
      <x:c r="H5" s="45" t="inlineStr">
        <x:is>
          <x:t xml:space="preserve">Фотохимия / фиксация</x:t>
        </x:is>
      </x:c>
    </x:row>
    <x:row r="6" s="38" customFormat="1" ht="31.5" customHeight="1">
      <x:c r="A6" s="46" t="inlineStr">
        <x:is>
          <x:t xml:space="preserve">спорно/уточнить</x:t>
        </x:is>
      </x:c>
      <x:c r="B6" s="46" t="inlineStr">
        <x:is>
          <x:t xml:space="preserve">Исторически важная ограниченная ветка / художественное возрождение</x:t>
        </x:is>
      </x:c>
      <x:c r="C6" s="60" t="str">
        <x:v>PL-005</x:v>
      </x:c>
      <x:c r="D6" s="46" t="inlineStr">
        <x:is>
          <x:t xml:space="preserve">Дагеротип</x:t>
        </x:is>
      </x:c>
      <x:c r="E6" s="46" t="n">
        <x:v>5</x:v>
      </x:c>
      <x:c r="F6" s="46" t="n">
        <x:v>5</x:v>
      </x:c>
      <x:c r="G6" s="45" t="inlineStr">
        <x:is>
          <x:t xml:space="preserve">Терминология / язык</x:t>
        </x:is>
      </x:c>
      <x:c r="H6" s="45" t="inlineStr">
        <x:is>
          <x:t xml:space="preserve">Фотохимия / первая фиксация</x:t>
        </x:is>
      </x:c>
    </x:row>
    <x:row r="7" s="38" customFormat="1" ht="31.5" customHeight="1">
      <x:c r="A7" s="46" t="n"/>
      <x:c r="B7" s="46" t="inlineStr">
        <x:is>
          <x:t xml:space="preserve">Оптическая предпосылка</x:t>
        </x:is>
      </x:c>
      <x:c r="C7" s="60" t="str">
        <x:v>PL-006</x:v>
      </x:c>
      <x:c r="D7" s="46" t="inlineStr">
        <x:is>
          <x:t xml:space="preserve">Фотогенный рисунок / фотограмма</x:t>
        </x:is>
      </x:c>
      <x:c r="E7" s="46" t="n"/>
      <x:c r="F7" s="46" t="n"/>
      <x:c r="G7" s="45" t="inlineStr">
        <x:is>
          <x:t xml:space="preserve">Связь / переход</x:t>
        </x:is>
      </x:c>
      <x:c r="H7" s="45" t="inlineStr">
        <x:is>
          <x:t xml:space="preserve">Фотохимия / публикация</x:t>
        </x:is>
      </x:c>
    </x:row>
    <x:row r="8" s="38" customFormat="1" ht="15.75" customHeight="1">
      <x:c r="A8" s="46" t="n"/>
      <x:c r="B8" s="46" t="inlineStr">
        <x:is>
          <x:t xml:space="preserve">Переходная технология</x:t>
        </x:is>
      </x:c>
      <x:c r="C8" s="60" t="str">
        <x:v>PL-007</x:v>
      </x:c>
      <x:c r="D8" s="46" t="inlineStr">
        <x:is>
          <x:t xml:space="preserve">Негатив-позитив</x:t>
        </x:is>
      </x:c>
      <x:c r="E8" s="46" t="n"/>
      <x:c r="F8" s="46" t="n"/>
      <x:c r="G8" s="45" t="inlineStr">
        <x:is>
          <x:t xml:space="preserve">Тиражирование / публикация</x:t>
        </x:is>
      </x:c>
      <x:c r="H8" s="45" t="inlineStr">
        <x:is>
          <x:t xml:space="preserve">Фотохимия / первая фиксация</x:t>
        </x:is>
      </x:c>
    </x:row>
    <x:row r="9" s="38" customFormat="1" ht="31.5" customHeight="1">
      <x:c r="A9" s="46" t="n"/>
      <x:c r="B9" s="46" t="inlineStr">
        <x:is>
          <x:t xml:space="preserve">Переходная технология / художественное возрождение</x:t>
        </x:is>
      </x:c>
      <x:c r="C9" s="60" t="str">
        <x:v>PL-008</x:v>
      </x:c>
      <x:c r="D9" s="46" t="inlineStr">
        <x:is>
          <x:t xml:space="preserve">Фиксаж / терминология</x:t>
        </x:is>
      </x:c>
      <x:c r="E9" s="46" t="n"/>
      <x:c r="F9" s="46" t="n"/>
      <x:c r="G9" s="45" t="inlineStr">
        <x:is>
          <x:t xml:space="preserve">Распространение / коммерциализация</x:t>
        </x:is>
      </x:c>
      <x:c r="H9" s="45" t="inlineStr">
        <x:is>
          <x:t xml:space="preserve">Первая фиксация / проблема постоянства</x:t>
        </x:is>
      </x:c>
    </x:row>
    <x:row r="10" s="38" customFormat="1" ht="15.75" customHeight="1">
      <x:c r="A10" s="46" t="n"/>
      <x:c r="B10" s="46" t="inlineStr">
        <x:is>
          <x:t xml:space="preserve">Тупиковая / не получила развития</x:t>
        </x:is>
      </x:c>
      <x:c r="C10" s="60" t="str">
        <x:v>будущие PL</x:v>
      </x:c>
      <x:c r="D10" s="46" t="inlineStr">
        <x:is>
          <x:t xml:space="preserve">Печать / тиражирование</x:t>
        </x:is>
      </x:c>
      <x:c r="E10" s="46" t="n"/>
      <x:c r="F10" s="46" t="n"/>
      <x:c r="G10" s="45" t="inlineStr">
        <x:is>
          <x:t xml:space="preserve">Научное применение / пример</x:t>
        </x:is>
      </x:c>
      <x:c r="H10" s="45" t="inlineStr">
        <x:is>
          <x:t xml:space="preserve">Гелиография / первая сохранившаяся фотография</x:t>
        </x:is>
      </x:c>
    </x:row>
    <x:row r="11" s="38" customFormat="1" ht="15.75" customHeight="1">
      <x:c r="A11" s="46" t="n"/>
      <x:c r="B11" s="46" t="inlineStr">
        <x:is>
          <x:t xml:space="preserve">Химическая предпосылка</x:t>
        </x:is>
      </x:c>
      <x:c r="C11" s="60" t="str">
        <x:v>межурочный узел</x:v>
      </x:c>
      <x:c r="D11" s="46" t="inlineStr">
        <x:is>
          <x:t xml:space="preserve">Мокрый коллодий</x:t>
        </x:is>
      </x:c>
      <x:c r="E11" s="46" t="n"/>
      <x:c r="F11" s="46" t="n"/>
      <x:c r="G11" s="45" t="inlineStr">
        <x:is>
          <x:t xml:space="preserve">Применение / жанр</x:t>
        </x:is>
      </x:c>
      <x:c r="H11" s="45" t="inlineStr">
        <x:is>
          <x:t xml:space="preserve">Передача идеи / развитие процесса</x:t>
        </x:is>
      </x:c>
    </x:row>
    <x:row r="12" s="38" customFormat="1" ht="15.75" customHeight="1">
      <x:c r="A12" s="46" t="n"/>
      <x:c r="B12" s="46" t="n"/>
      <x:c r="C12" s="60" t="str">
        <x:v>проверить</x:v>
      </x:c>
      <x:c r="D12" s="46" t="inlineStr">
        <x:is>
          <x:t xml:space="preserve">Уникальный позитив</x:t>
        </x:is>
      </x:c>
      <x:c r="E12" s="46" t="n"/>
      <x:c r="F12" s="46" t="n"/>
      <x:c r="G12" s="45" t="inlineStr">
        <x:is>
          <x:t xml:space="preserve">Ключевой исторический узел</x:t>
        </x:is>
      </x:c>
      <x:c r="H12" s="45" t="inlineStr">
        <x:is>
          <x:t xml:space="preserve">Дагеротип / публичное объявление</x:t>
        </x:is>
      </x:c>
    </x:row>
    <x:row r="13" s="38" customFormat="1" ht="15.75" customHeight="1">
      <x:c r="A13" s="46" t="n"/>
      <x:c r="B13" s="46" t="n"/>
      <x:c r="C13" s="46" t="n"/>
      <x:c r="D13" s="46" t="inlineStr">
        <x:is>
          <x:t xml:space="preserve">Цвет</x:t>
        </x:is>
      </x:c>
      <x:c r="E13" s="46" t="n"/>
      <x:c r="F13" s="46" t="n"/>
      <x:c r="G13" s="45" t="n"/>
      <x:c r="H13" s="45" t="inlineStr">
        <x:is>
          <x:t xml:space="preserve">Дагеротип / распространение</x:t>
        </x:is>
      </x:c>
    </x:row>
    <x:row r="14" s="38" customFormat="1" ht="15.75" customHeight="1">
      <x:c r="A14" s="46" t="n"/>
      <x:c r="B14" s="46" t="n"/>
      <x:c r="C14" s="46" t="n"/>
      <x:c r="D14" s="46" t="inlineStr">
        <x:is>
          <x:t xml:space="preserve">Проекция / распространение</x:t>
        </x:is>
      </x:c>
      <x:c r="E14" s="46" t="n"/>
      <x:c r="F14" s="46" t="n"/>
      <x:c r="G14" s="45" t="n"/>
      <x:c r="H14" s="45" t="inlineStr">
        <x:is>
          <x:t xml:space="preserve">Фотогенный рисунок / публикация</x:t>
        </x:is>
      </x:c>
    </x:row>
    <x:row r="15" s="38" customFormat="1" ht="15" customHeight="1">
      <x:c r="A15" s="46" t="n"/>
      <x:c r="B15" s="46" t="n"/>
      <x:c r="C15" s="46" t="n"/>
      <x:c r="D15" s="46" t="n"/>
      <x:c r="E15" s="46" t="n"/>
      <x:c r="F15" s="46" t="n"/>
      <x:c r="G15" s="45" t="n"/>
      <x:c r="H15" s="45" t="inlineStr">
        <x:is>
          <x:t xml:space="preserve">Негатив-позитив / проявление</x:t>
        </x:is>
      </x:c>
    </x:row>
    <x:row r="16" s="38" customFormat="1" ht="15" customHeight="1">
      <x:c r="A16" s="46" t="n"/>
      <x:c r="B16" s="46" t="n"/>
      <x:c r="C16" s="46" t="n"/>
      <x:c r="D16" s="46" t="n"/>
      <x:c r="E16" s="46" t="n"/>
      <x:c r="F16" s="46" t="n"/>
      <x:c r="G16" s="45" t="n"/>
      <x:c r="H16" s="45" t="inlineStr">
        <x:is>
          <x:t xml:space="preserve">Научная фотография</x:t>
        </x:is>
      </x:c>
    </x:row>
    <x:row r="17" s="38" customFormat="1" ht="15" customHeight="1">
      <x:c r="A17" s="46" t="n"/>
      <x:c r="B17" s="46" t="n"/>
      <x:c r="C17" s="46" t="n"/>
      <x:c r="D17" s="46" t="n"/>
      <x:c r="E17" s="46" t="n"/>
      <x:c r="F17" s="46" t="n"/>
      <x:c r="G17" s="45" t="n"/>
      <x:c r="H17" s="45" t="inlineStr">
        <x:is>
          <x:t xml:space="preserve">Цианотипия</x:t>
        </x:is>
      </x:c>
    </x:row>
    <x:row r="18" s="38" customFormat="1" ht="15" customHeight="1">
      <x:c r="A18" s="46" t="n"/>
      <x:c r="B18" s="46" t="n"/>
      <x:c r="C18" s="46" t="n"/>
      <x:c r="D18" s="46" t="n"/>
      <x:c r="E18" s="46" t="n"/>
      <x:c r="F18" s="46" t="n"/>
      <x:c r="G18" s="45" t="n"/>
      <x:c r="H18" s="45" t="inlineStr">
        <x:is>
          <x:t xml:space="preserve">Фотокнига / научная документация</x:t>
        </x:is>
      </x:c>
    </x:row>
    <x:row r="19" s="38" customFormat="1" ht="15" customHeight="1">
      <x:c r="A19" s="46" t="n"/>
      <x:c r="B19" s="46" t="n"/>
      <x:c r="C19" s="46" t="n"/>
      <x:c r="D19" s="46" t="n"/>
      <x:c r="E19" s="46" t="n"/>
      <x:c r="F19" s="46" t="n"/>
      <x:c r="G19" s="45" t="n"/>
      <x:c r="H19" s="45" t="inlineStr">
        <x:is>
          <x:t xml:space="preserve">Фотокнига / тиражирование</x:t>
        </x:is>
      </x:c>
    </x:row>
    <x:row r="20" s="38" customFormat="1" ht="15" customHeight="1">
      <x:c r="A20" s="46" t="n"/>
      <x:c r="B20" s="46" t="n"/>
      <x:c r="C20" s="46" t="n"/>
      <x:c r="D20" s="46" t="n"/>
      <x:c r="E20" s="46" t="n"/>
      <x:c r="F20" s="46" t="n"/>
      <x:c r="G20" s="45" t="n"/>
      <x:c r="H20" s="45" t="inlineStr">
        <x:is>
          <x:t xml:space="preserve">Научная / медицинская фотография</x:t>
        </x:is>
      </x:c>
    </x:row>
    <x:row r="21" s="38" customFormat="1" ht="15" customHeight="1">
      <x:c r="A21" s="46" t="n"/>
      <x:c r="B21" s="46" t="n"/>
      <x:c r="C21" s="46" t="n"/>
      <x:c r="D21" s="46" t="n"/>
      <x:c r="E21" s="46" t="n"/>
      <x:c r="F21" s="46" t="n"/>
      <x:c r="G21" s="45" t="n"/>
      <x:c r="H21" s="45" t="inlineStr">
        <x:is>
          <x:t xml:space="preserve">Мокрый коллодий / распространение</x:t>
        </x:is>
      </x:c>
    </x:row>
    <x:row r="22" s="38" customFormat="1" ht="15" customHeight="1">
      <x:c r="A22" s="46" t="n"/>
      <x:c r="B22" s="46" t="n"/>
      <x:c r="C22" s="46" t="n"/>
      <x:c r="D22" s="46" t="n"/>
      <x:c r="E22" s="46" t="n"/>
      <x:c r="F22" s="46" t="n"/>
      <x:c r="G22" s="45" t="n"/>
      <x:c r="H22" s="45" t="inlineStr">
        <x:is>
          <x:t xml:space="preserve">Мокрый коллодий / химия</x:t>
        </x:is>
      </x:c>
    </x:row>
    <x:row r="23" s="38" customFormat="1" ht="15" customHeight="1">
      <x:c r="A23" s="46" t="n"/>
      <x:c r="B23" s="46" t="n"/>
      <x:c r="C23" s="46" t="n"/>
      <x:c r="D23" s="46" t="n"/>
      <x:c r="E23" s="46" t="n"/>
      <x:c r="F23" s="46" t="n"/>
      <x:c r="G23" s="45" t="n"/>
      <x:c r="H23" s="45" t="inlineStr">
        <x:is>
          <x:t xml:space="preserve">Мокрый коллодий / камера</x:t>
        </x:is>
      </x:c>
    </x:row>
    <x:row r="24" s="38" customFormat="1" ht="15" customHeight="1">
      <x:c r="A24" s="46" t="n"/>
      <x:c r="B24" s="46" t="n"/>
      <x:c r="C24" s="46" t="n"/>
      <x:c r="D24" s="46" t="n"/>
      <x:c r="E24" s="46" t="n"/>
      <x:c r="F24" s="46" t="n"/>
      <x:c r="G24" s="45" t="n"/>
      <x:c r="H24" s="45" t="inlineStr">
        <x:is>
          <x:t xml:space="preserve">Уникальный позитив / мокрый коллодий</x:t>
        </x:is>
      </x:c>
    </x:row>
    <x:row r="25" s="38" customFormat="1" ht="15" customHeight="1">
      <x:c r="A25" s="46" t="n"/>
      <x:c r="B25" s="46" t="n"/>
      <x:c r="C25" s="46" t="n"/>
      <x:c r="D25" s="46" t="n"/>
      <x:c r="E25" s="46" t="n"/>
      <x:c r="F25" s="46" t="n"/>
      <x:c r="G25" s="45" t="n"/>
      <x:c r="H25" s="45" t="inlineStr">
        <x:is>
          <x:t xml:space="preserve">Мокрый коллодий + печать</x:t>
        </x:is>
      </x:c>
    </x:row>
    <x:row r="26" s="38" customFormat="1" ht="15" customHeight="1">
      <x:c r="A26" s="46" t="n"/>
      <x:c r="B26" s="46" t="n"/>
      <x:c r="C26" s="46" t="n"/>
      <x:c r="D26" s="46" t="n"/>
      <x:c r="E26" s="46" t="n"/>
      <x:c r="F26" s="46" t="n"/>
      <x:c r="G26" s="45" t="n"/>
      <x:c r="H26" s="45" t="inlineStr">
        <x:is>
          <x:t xml:space="preserve">Уникальный позитив / массовый портрет</x:t>
        </x:is>
      </x:c>
    </x:row>
    <x:row r="27" s="38" customFormat="1" ht="15" customHeight="1">
      <x:c r="A27" s="46" t="n"/>
      <x:c r="B27" s="46" t="n"/>
      <x:c r="C27" s="46" t="n"/>
      <x:c r="D27" s="46" t="n"/>
      <x:c r="E27" s="46" t="n"/>
      <x:c r="F27" s="46" t="n"/>
      <x:c r="G27" s="45" t="n"/>
      <x:c r="H27" s="45" t="inlineStr">
        <x:is>
          <x:t xml:space="preserve">Сухие желатиновые пластины / химия</x:t>
        </x:is>
      </x:c>
    </x:row>
    <x:row r="28" s="38" customFormat="1" ht="15" customHeight="1">
      <x:c r="A28" s="46" t="n"/>
      <x:c r="B28" s="46" t="n"/>
      <x:c r="C28" s="46" t="n"/>
      <x:c r="D28" s="46" t="n"/>
      <x:c r="E28" s="46" t="n"/>
      <x:c r="F28" s="46" t="n"/>
      <x:c r="G28" s="45" t="n"/>
      <x:c r="H28" s="45" t="inlineStr">
        <x:is>
          <x:t xml:space="preserve">Сухие желатиновые пластины / коммерциализация</x:t>
        </x:is>
      </x:c>
    </x:row>
    <x:row r="29" s="38" customFormat="1" ht="15" customHeight="1">
      <x:c r="A29" s="46" t="n"/>
      <x:c r="B29" s="46" t="n"/>
      <x:c r="C29" s="46" t="n"/>
      <x:c r="D29" s="46" t="n"/>
      <x:c r="E29" s="46" t="n"/>
      <x:c r="F29" s="46" t="n"/>
      <x:c r="G29" s="45" t="n"/>
      <x:c r="H29" s="45" t="inlineStr">
        <x:is>
          <x:t xml:space="preserve">Сухие желатиновые пластины / повышение чувствительности</x:t>
        </x:is>
      </x:c>
    </x:row>
    <x:row r="30" s="38" customFormat="1" ht="15" customHeight="1">
      <x:c r="A30" s="46" t="n"/>
      <x:c r="B30" s="46" t="n"/>
      <x:c r="C30" s="46" t="n"/>
      <x:c r="D30" s="46" t="n"/>
      <x:c r="E30" s="46" t="n"/>
      <x:c r="F30" s="46" t="n"/>
      <x:c r="G30" s="45" t="n"/>
      <x:c r="H30" s="45" t="inlineStr">
        <x:is>
          <x:t xml:space="preserve">Сухие желатиновые пластины / переход от мокрого коллодия</x:t>
        </x:is>
      </x:c>
    </x:row>
    <x:row r="31" s="38" customFormat="1" ht="15" customHeight="1">
      <x:c r="A31" s="46" t="n"/>
      <x:c r="B31" s="46" t="n"/>
      <x:c r="C31" s="46" t="n"/>
      <x:c r="D31" s="46" t="n"/>
      <x:c r="E31" s="46" t="n"/>
      <x:c r="F31" s="46" t="n"/>
      <x:c r="G31" s="45" t="n"/>
      <x:c r="H31" s="45" t="inlineStr">
        <x:is>
          <x:t xml:space="preserve">Сухие желатиновые пластины / скорость и движение</x:t>
        </x:is>
      </x:c>
    </x:row>
    <x:row r="32" s="38" customFormat="1" ht="15" customHeight="1">
      <x:c r="A32" s="46" t="n"/>
      <x:c r="B32" s="46" t="n"/>
      <x:c r="C32" s="46" t="n"/>
      <x:c r="D32" s="46" t="n"/>
      <x:c r="E32" s="46" t="n"/>
      <x:c r="F32" s="46" t="n"/>
      <x:c r="G32" s="45" t="n"/>
      <x:c r="H32" s="45" t="inlineStr">
        <x:is>
          <x:t xml:space="preserve">Сухие желатиновые пластины / американская индустрия</x:t>
        </x:is>
      </x:c>
    </x:row>
    <x:row r="33" s="38" customFormat="1" ht="15" customHeight="1">
      <x:c r="A33" s="46" t="n"/>
      <x:c r="B33" s="46" t="n"/>
      <x:c r="C33" s="46" t="n"/>
      <x:c r="D33" s="46" t="n"/>
      <x:c r="E33" s="46" t="n"/>
      <x:c r="F33" s="46" t="n"/>
      <x:c r="G33" s="45" t="n"/>
      <x:c r="H33" s="45" t="inlineStr">
        <x:is>
          <x:t xml:space="preserve">Сухие желатиновые пластины / бизнес и масштабирование</x:t>
        </x:is>
      </x:c>
    </x:row>
    <x:row r="34" s="38" customFormat="1" ht="15" customHeight="1">
      <x:c r="A34" s="46" t="n"/>
      <x:c r="B34" s="46" t="n"/>
      <x:c r="C34" s="46" t="n"/>
      <x:c r="D34" s="46" t="n"/>
      <x:c r="E34" s="46" t="n"/>
      <x:c r="F34" s="46" t="n"/>
      <x:c r="G34" s="45" t="n"/>
      <x:c r="H34" s="45" t="inlineStr">
        <x:is>
          <x:t xml:space="preserve">Сухие желатиновые пластины / доминирующая практика</x:t>
        </x:is>
      </x:c>
    </x:row>
    <x:row r="35" s="38" customFormat="1" ht="15" customHeight="1">
      <x:c r="A35" s="46" t="n"/>
      <x:c r="B35" s="46" t="n"/>
      <x:c r="C35" s="46" t="n"/>
      <x:c r="D35" s="46" t="n"/>
      <x:c r="E35" s="46" t="n"/>
      <x:c r="F35" s="46" t="n"/>
      <x:c r="G35" s="45" t="n"/>
      <x:c r="H35" s="45" t="inlineStr">
        <x:is>
          <x:t xml:space="preserve">Сухие желатиновые пластины / мобильность</x:t>
        </x:is>
      </x:c>
    </x:row>
    <x:row r="36" s="38" customFormat="1" ht="15" customHeight="1">
      <x:c r="A36" s="46" t="n"/>
      <x:c r="B36" s="46" t="n"/>
      <x:c r="C36" s="46" t="n"/>
      <x:c r="D36" s="46" t="n"/>
      <x:c r="E36" s="46" t="n"/>
      <x:c r="F36" s="46" t="n"/>
      <x:c r="G36" s="45" t="n"/>
      <x:c r="H36" s="45" t="inlineStr">
        <x:is>
          <x:t xml:space="preserve">Сухие желатиновые пластины / мост к плёнке</x:t>
        </x:is>
      </x:c>
    </x:row>
    <x:row r="37" s="38" customFormat="1" ht="15" customHeight="1">
      <x:c r="A37" s="46" t="n"/>
      <x:c r="B37" s="46" t="n"/>
      <x:c r="C37" s="46" t="n"/>
      <x:c r="D37" s="46" t="n"/>
      <x:c r="E37" s="46" t="n"/>
      <x:c r="F37" s="46" t="n"/>
      <x:c r="G37" s="45" t="n"/>
      <x:c r="H37" s="45" t="inlineStr">
        <x:is>
          <x:t xml:space="preserve">Рулонная плёнка / бизнес-переход</x:t>
        </x:is>
      </x:c>
    </x:row>
    <x:row r="38" s="38" customFormat="1" ht="15" customHeight="1">
      <x:c r="A38" s="46" t="n"/>
      <x:c r="B38" s="46" t="n"/>
      <x:c r="C38" s="46" t="n"/>
      <x:c r="D38" s="46" t="n"/>
      <x:c r="E38" s="46" t="n"/>
      <x:c r="F38" s="46" t="n"/>
      <x:c r="G38" s="45" t="n"/>
      <x:c r="H38" s="45" t="inlineStr">
        <x:is>
          <x:t xml:space="preserve">Рулонная плёнка / держатель</x:t>
        </x:is>
      </x:c>
    </x:row>
    <x:row r="39">
      <x:c r="A39" s="45" t="n"/>
      <x:c r="B39" s="45" t="n"/>
      <x:c r="C39" s="45" t="n"/>
      <x:c r="D39" s="45" t="n"/>
      <x:c r="E39" s="45" t="n"/>
      <x:c r="F39" s="45" t="n"/>
      <x:c r="G39" s="45" t="n"/>
      <x:c r="H39" s="45" t="inlineStr">
        <x:is>
          <x:t xml:space="preserve">Рулонная плёнка / бумажная основа</x:t>
        </x:is>
      </x:c>
    </x:row>
    <x:row r="40">
      <x:c r="A40" s="45" t="n"/>
      <x:c r="B40" s="45" t="n"/>
      <x:c r="C40" s="45" t="n"/>
      <x:c r="D40" s="45" t="n"/>
      <x:c r="E40" s="45" t="n"/>
      <x:c r="F40" s="45" t="n"/>
      <x:c r="G40" s="45" t="n"/>
      <x:c r="H40" s="45" t="inlineStr">
        <x:is>
          <x:t xml:space="preserve">Рулонная плёнка / целлулоидная основа</x:t>
        </x:is>
      </x:c>
    </x:row>
    <x:row r="41">
      <x:c r="A41" s="45" t="n"/>
      <x:c r="B41" s="45" t="n"/>
      <x:c r="C41" s="45" t="n"/>
      <x:c r="D41" s="45" t="n"/>
      <x:c r="E41" s="45" t="n"/>
      <x:c r="F41" s="45" t="n"/>
      <x:c r="G41" s="45" t="n"/>
      <x:c r="H41" s="45" t="inlineStr">
        <x:is>
          <x:t xml:space="preserve">Рулонная плёнка / Kodak camera</x:t>
        </x:is>
      </x:c>
    </x:row>
    <x:row r="42">
      <x:c r="A42" s="45" t="n"/>
      <x:c r="B42" s="45" t="n"/>
      <x:c r="C42" s="45" t="n"/>
      <x:c r="D42" s="45" t="n"/>
      <x:c r="E42" s="45" t="n"/>
      <x:c r="F42" s="45" t="n"/>
      <x:c r="G42" s="45" t="n"/>
      <x:c r="H42" s="45" t="inlineStr">
        <x:is>
          <x:t xml:space="preserve">Рулонная плёнка / сервисная модель</x:t>
        </x:is>
      </x:c>
    </x:row>
    <x:row r="43">
      <x:c r="A43" s="45" t="n"/>
      <x:c r="B43" s="45" t="n"/>
      <x:c r="C43" s="45" t="n"/>
      <x:c r="D43" s="45" t="n"/>
      <x:c r="E43" s="45" t="n"/>
      <x:c r="F43" s="45" t="n"/>
      <x:c r="G43" s="45" t="n"/>
      <x:c r="H43" s="45" t="inlineStr">
        <x:is>
          <x:t xml:space="preserve">Рулонная плёнка / патент и бренд</x:t>
        </x:is>
      </x:c>
    </x:row>
    <x:row r="44">
      <x:c r="A44" s="45" t="n"/>
      <x:c r="B44" s="45" t="n"/>
      <x:c r="C44" s="45" t="n"/>
      <x:c r="D44" s="45" t="n"/>
      <x:c r="E44" s="45" t="n"/>
      <x:c r="F44" s="45" t="n"/>
      <x:c r="G44" s="45" t="n"/>
      <x:c r="H44" s="45" t="inlineStr">
        <x:is>
          <x:t xml:space="preserve">Рулонная плёнка / прозрачная плёнка</x:t>
        </x:is>
      </x:c>
    </x:row>
    <x:row r="45">
      <x:c r="A45" s="45" t="n"/>
      <x:c r="B45" s="45" t="n"/>
      <x:c r="C45" s="45" t="n"/>
      <x:c r="D45" s="45" t="n"/>
      <x:c r="E45" s="45" t="n"/>
      <x:c r="F45" s="45" t="n"/>
      <x:c r="G45" s="45" t="n"/>
      <x:c r="H45" s="45" t="inlineStr">
        <x:is>
          <x:t xml:space="preserve">Рулонная плёнка / дневная перезарядка</x:t>
        </x:is>
      </x:c>
    </x:row>
    <x:row r="46">
      <x:c r="A46" s="45" t="n"/>
      <x:c r="B46" s="45" t="n"/>
      <x:c r="C46" s="45" t="n"/>
      <x:c r="D46" s="45" t="n"/>
      <x:c r="E46" s="45" t="n"/>
      <x:c r="F46" s="45" t="n"/>
      <x:c r="G46" s="45" t="n"/>
      <x:c r="H46" s="45" t="inlineStr">
        <x:is>
          <x:t xml:space="preserve">Рулонная плёнка / массовая фотография</x:t>
        </x:is>
      </x:c>
    </x:row>
    <x:row r="47">
      <x:c r="H47" s="59" t="str">
        <x:v>Brownie / доступная камера</x:v>
      </x:c>
    </x:row>
    <x:row r="48">
      <x:c r="H48" s="59" t="str">
        <x:v>Brownie / цена и массовый рынок</x:v>
      </x:c>
    </x:row>
    <x:row r="49">
      <x:c r="H49" s="59" t="str">
        <x:v>Brownie / детская аудитория и реклама</x:v>
      </x:c>
    </x:row>
    <x:row r="50">
      <x:c r="H50" s="59" t="str">
        <x:v>Brownie / 120 roll film</x:v>
      </x:c>
    </x:row>
    <x:row r="51">
      <x:c r="H51" s="59" t="str">
        <x:v>Snapshot-культура / семейный альбом</x:v>
      </x:c>
    </x:row>
    <x:row r="52">
      <x:c r="H52" s="59" t="str">
        <x:v>Snapshot-культура / любительская практика</x:v>
      </x:c>
    </x:row>
    <x:row r="53">
      <x:c r="H53" s="59" t="str">
        <x:v>Snapshot-культура / сервисная обработка</x:v>
      </x:c>
    </x:row>
    <x:row r="54">
      <x:c r="H54" s="59" t="str">
        <x:v>Brownie / долгий жизненный цикл</x:v>
      </x:c>
    </x:row>
    <x:row r="55">
      <x:c r="H55" s="59" t="str">
        <x:v>Snapshot-культура / культурный архив</x:v>
      </x:c>
    </x:row>
    <x:row r="56">
      <x:c r="H56" s="59" t="str">
        <x:v>Brownie / мост к 35 мм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6796875" defaultRowHeight="12.75"/>
  <x:cols>
    <x:col min="1" max="1" width="40.66999816894531" style="37" customWidth="1"/>
    <x:col min="2" max="2" width="165" style="37" customWidth="1"/>
  </x:cols>
  <x:sheetData>
    <x:row r="1" s="38" customFormat="1" ht="30" customHeight="1">
      <x:c r="A1" s="64" t="str">
        <x:v>PHOTO LAB — History Map Master v0.5</x:v>
      </x:c>
      <x:c r="B1" s="67"/>
    </x:row>
    <x:row r="2" s="38" customFormat="1" ht="15.75" customHeight="1">
      <x:c r="A2" s="65" t="str">
        <x:v>Назначение</x:v>
      </x:c>
      <x:c r="B2" s="57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s="38" customFormat="1" ht="15.75" customHeight="1">
      <x:c r="A3" s="65" t="str">
        <x:v>Охват v0.5</x:v>
      </x:c>
      <x:c r="B3" s="57" t="str">
        <x:v>От оптических предпосылок камеры-обскуры до мокрого коллодия, сухих желатиновых пластин, рулонной плёнки, Kodak, Brownie и snapshot-культуры; основа для PL-001–PL-008.</x:v>
      </x:c>
    </x:row>
    <x:row r="4" s="38" customFormat="1" ht="15.75" customHeight="1">
      <x:c r="A4" s="65" t="str">
        <x:v>Принцип</x:v>
      </x:c>
      <x:c r="B4" s="57" t="str">
        <x:v>Каждый факт должен отвечать на 5 вопросов: что произошло, где, кто связан, почему важно, чем подтверждено.</x:v>
      </x:c>
    </x:row>
    <x:row r="5" s="38" customFormat="1" ht="15.75" customHeight="1">
      <x:c r="A5" s="65" t="str">
        <x:v>Как пользоваться</x:v>
      </x:c>
      <x:c r="B5" s="57" t="str">
        <x:v>Фильтровать лист 01_Master_Facts по уроку, ветке развития, статусу ветки, типу узла, стране или уровню уверенности.</x:v>
      </x:c>
    </x:row>
    <x:row r="6" s="38" customFormat="1" ht="15.75" customHeight="1">
      <x:c r="A6" s="65" t="str">
        <x:v>Важно</x:v>
      </x:c>
      <x:c r="B6" s="57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s="38" customFormat="1" ht="15.75" customHeight="1">
      <x:c r="A7" s="65" t="str">
        <x:v>Правило веток</x:v>
      </x:c>
      <x:c r="B7" s="57" t="str">
        <x:v>Ветка развития = одна из 13 крупных линий из 02_Branches. Для PL-006, PL-007 и PL-008 сухие пластины, рулонная плёнка, Brownie и snapshot-культура пока идут внутри крупных веток «Негатив-позитив» и «Печать / тиражирование», а детали фиксируются в подветках.</x:v>
      </x:c>
    </x:row>
    <x:row r="8" s="38" customFormat="1" ht="15.75" customHeight="1">
      <x:c r="A8" s="65" t="str">
        <x:v>Правило подветок</x:v>
      </x:c>
      <x:c r="B8" s="57" t="str">
        <x:v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плёнка, Brownie, snapshot-культура и т.п.</x:v>
      </x:c>
    </x:row>
    <x:row r="9" s="38" customFormat="1" ht="12.75" customHeight="1">
      <x:c r="A9" s="59" t="str">
        <x:v>Правило типа узла</x:v>
      </x:c>
      <x:c r="B9" s="59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s="38" customFormat="1" ht="23.25" customHeight="1">
      <x:c r="A10" s="59" t="str">
        <x:v>Единственный источник истины по урокам</x:v>
      </x:c>
      <x:c r="B10" s="59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s="38" customFormat="1" ht="23.25" customHeight="1">
      <x:c r="A11" s="59" t="str">
        <x:v>Что изменено в v0.2.1</x:v>
      </x:c>
      <x:c r="B11" s="59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s="38" customFormat="1" ht="23.25" customHeight="1">
      <x:c r="A12" s="59" t="str">
        <x:v>Что изменено в v0.3</x:v>
      </x:c>
      <x:c r="B12" s="59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s="38" customFormat="1" ht="12.75" customHeight="1">
      <x:c r="A13" s="59" t="str">
        <x:v>Что изменено в v0.3.1</x:v>
      </x:c>
      <x:c r="B13" s="59" t="str">
        <x:v>Добавлена колонка «Флагман урока (да/нет)» в 01_Master_Facts: по одному флагманскому узлу на каждый из PL-001–PL-006.</x:v>
      </x:c>
    </x:row>
    <x:row r="14" s="38" customFormat="1" ht="12.75" customHeight="1">
      <x:c r="A14" s="59" t="str">
        <x:v>Что изменено в v0.4</x:v>
      </x:c>
      <x:c r="B14" s="59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x:v>
      </x:c>
    </x:row>
    <x:row r="15" s="38" customFormat="1" ht="12.75" customHeight="1">
      <x:c r="A15" s="59" t="str">
        <x:v>Что изменено в v0.5</x:v>
      </x:c>
      <x:c r="B15" s="59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 Добавлены источники SRC-044…SRC-051 и флагманский узел PL-HIST-0069.</x:v>
      </x:c>
    </x:row>
    <x:row r="16" s="38" customFormat="1" ht="12.75" customHeight="1">
      <x:c r="A16" s="59" t="str">
        <x:v>Правило флагманских узлов</x:v>
      </x:c>
      <x:c r="B16" s="59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17">
      <x:c r="A17" s="59" t="str">
        <x:v>Ссылка на урок в Telegram</x:v>
      </x:c>
      <x:c r="B17" s="59" t="str">
        <x:v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18">
      <x:c r="A18" s="59" t="str">
        <x:v>Следующий шаг</x:v>
      </x:c>
      <x:c r="B18" s="59" t="str">
        <x:v>PL-009 логично строить вокруг 35 мм, Leica, компактной камеры и новой мобильности фотографа.</x:v>
      </x:c>
    </x:row>
    <x:row r="19">
      <x:c r="A19" s="37" t="n"/>
      <x:c r="B19" s="37" t="n"/>
    </x:row>
    <x:row r="20">
      <x:c r="A20" s="37" t="n"/>
      <x:c r="B20" s="37" t="n"/>
    </x:row>
  </x:sheetData>
  <x:mergeCells>
    <x:mergeCell ref="A1:B1"/>
  </x:mergeCells>
  <x:pageMargins left="0.7" right="0.7" top="0.75" bottom="0.75" header="0.3" footer="0.3"/>
</x:worksheet>
</file>