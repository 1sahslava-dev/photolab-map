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9ac6a42dd44a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9a0e8693d9f6405d"/>
    <x:sheet xmlns:r="http://schemas.openxmlformats.org/officeDocument/2006/relationships" name="01_Master_Facts" sheetId="2" r:id="R2936216b6db14e3b"/>
    <x:sheet xmlns:r="http://schemas.openxmlformats.org/officeDocument/2006/relationships" name="02_Branches" sheetId="3" r:id="R286b1315446b430f"/>
    <x:sheet xmlns:r="http://schemas.openxmlformats.org/officeDocument/2006/relationships" name="03_Lessons_Map" sheetId="4" r:id="R0183470f252d48e2"/>
    <x:sheet xmlns:r="http://schemas.openxmlformats.org/officeDocument/2006/relationships" name="04_Sources" sheetId="5" r:id="R22514c491eeb45c5"/>
    <x:sheet xmlns:r="http://schemas.openxmlformats.org/officeDocument/2006/relationships" name="06_Lists" sheetId="6" r:id="R4aeb5fc7a7904547"/>
    <x:sheet xmlns:r="http://schemas.openxmlformats.org/officeDocument/2006/relationships" name="00_README" sheetId="7" r:id="Rb8117ce622e04100"/>
  </x:sheets>
</x:workbook>
</file>

<file path=xl/sharedStrings.xml><?xml version="1.0" encoding="utf-8"?>
<x:sst xmlns:x="http://schemas.openxmlformats.org/spreadsheetml/2006/main">
  <x:si>
    <x:t xml:space="preserve">KPI</x:t>
  </x:si>
  <x:si>
    <x:t xml:space="preserve">Значение</x:t>
  </x:si>
  <x:si>
    <x:t xml:space="preserve">Комментарий</x:t>
  </x:si>
  <x:si>
    <x:t xml:space="preserve">Всего исторических узлов</x:t>
  </x:si>
  <x:si>
    <x:t xml:space="preserve">Количество строк в 01_Master_Facts</x:t>
  </x:si>
  <x:si>
    <x:t xml:space="preserve">Узлов с важностью 5</x:t>
  </x:si>
  <x:si>
    <x:t xml:space="preserve">Критические для карты и уроков</x:t>
  </x:si>
  <x:si>
    <x:t xml:space="preserve">Строк с пометкой «проверить позже»</x:t>
  </x:si>
  <x:si>
    <x:t xml:space="preserve">Живая формула: считает непустые ячейки в «Проверить позже»</x:t>
  </x:si>
  <x:si>
    <x:t xml:space="preserve">Ветка развития</x:t>
  </x:si>
  <x:si>
    <x:t xml:space="preserve">Количество узлов</x:t>
  </x:si>
  <x:si>
    <x:t xml:space="preserve">Урок</x:t>
  </x:si>
  <x:si>
    <x:t xml:space="preserve">Оптика / камера-обскура</x:t>
  </x:si>
  <x:si>
    <x:t xml:space="preserve">PL-001</x:t>
  </x:si>
  <x:si>
    <x:t xml:space="preserve">Оптические инструменты</x:t>
  </x:si>
  <x:si>
    <x:t xml:space="preserve">PL-002</x:t>
  </x:si>
  <x:si>
    <x:t xml:space="preserve">Фотохимия</x:t>
  </x:si>
  <x:si>
    <x:t xml:space="preserve">PL-003</x:t>
  </x:si>
  <x:si>
    <x:t xml:space="preserve">Гелиография</x:t>
  </x:si>
  <x:si>
    <x:t xml:space="preserve">PL-004</x:t>
  </x:si>
  <x:si>
    <x:t xml:space="preserve">Дагеротип</x:t>
  </x:si>
  <x:si>
    <x:t xml:space="preserve">PL-005</x:t>
  </x:si>
  <x:si>
    <x:t xml:space="preserve">Фотогенный рисунок / фотограмма</x:t>
  </x:si>
  <x:si>
    <x:t xml:space="preserve">PL-006</x:t>
  </x:si>
  <x:si>
    <x:t xml:space="preserve">Негатив-позитив</x:t>
  </x:si>
  <x:si>
    <x:t xml:space="preserve">будущие PL</x:t>
  </x:si>
  <x:si>
    <x:t xml:space="preserve">Фиксаж / терминология</x:t>
  </x:si>
  <x:si>
    <x:t xml:space="preserve">межурочный узел</x:t>
  </x:si>
  <x:si>
    <x:t xml:space="preserve">Печать / тиражирование</x:t>
  </x:si>
  <x:si>
    <x:t xml:space="preserve">проверить</x:t>
  </x:si>
  <x:si>
    <x:t xml:space="preserve">Мокрый коллодий</x:t>
  </x:si>
  <x:si>
    <x:t xml:space="preserve">Уникальный позитив</x:t>
  </x:si>
  <x:si>
    <x:t xml:space="preserve">Цвет</x:t>
  </x:si>
  <x:si>
    <x:t xml:space="preserve">Проекция / распространение</x:t>
  </x:si>
  <x:si>
    <x:t xml:space="preserve">Тип узла</x:t>
  </x:si>
  <x:si>
    <x:t xml:space="preserve">Фундаментальная предпосылка</x:t>
  </x:si>
  <x:si>
    <x:t xml:space="preserve">Технология / процесс</x:t>
  </x:si>
  <x:si>
    <x:t xml:space="preserve">Инструмент / устройство</x:t>
  </x:si>
  <x:si>
    <x:t xml:space="preserve">Публикация / объявление</x:t>
  </x:si>
  <x:si>
    <x:t xml:space="preserve">Терминология / язык</x:t>
  </x:si>
  <x:si>
    <x:t xml:space="preserve">Связь / переход</x:t>
  </x:si>
  <x:si>
    <x:t xml:space="preserve">Тиражирование / публикация</x:t>
  </x:si>
  <x:si>
    <x:t xml:space="preserve">Распространение / коммерциализация</x:t>
  </x:si>
  <x:si>
    <x:t xml:space="preserve">Научное применение / пример</x:t>
  </x:si>
  <x:si>
    <x:t xml:space="preserve">Применение / жанр</x:t>
  </x:si>
  <x:si>
    <x:t xml:space="preserve">Ключевой исторический узел</x:t>
  </x:si>
  <x:si>
    <x:t xml:space="preserve">ID</x:t>
  </x:si>
  <x:si>
    <x:t xml:space="preserve">Период / дата</x:t>
  </x:si>
  <x:si>
    <x:t xml:space="preserve">Точность даты</x:t>
  </x:si>
  <x:si>
    <x:t xml:space="preserve">Страна</x:t>
  </x:si>
  <x:si>
    <x:t xml:space="preserve">Город / регион</x:t>
  </x:si>
  <x:si>
    <x:t xml:space="preserve">Персона / группа</x:t>
  </x:si>
  <x:si>
    <x:t xml:space="preserve">Событие</x:t>
  </x:si>
  <x:si>
    <x:t xml:space="preserve">Что изменилось</x:t>
  </x:si>
  <x:si>
    <x:t xml:space="preserve">Предыдущая связь</x:t>
  </x:si>
  <x:si>
    <x:t xml:space="preserve">Следующая связь</x:t>
  </x:si>
  <x:si>
    <x:t xml:space="preserve">Статус ветки</x:t>
  </x:si>
  <x:si>
    <x:t xml:space="preserve">Важность 1–5</x:t>
  </x:si>
  <x:si>
    <x:t xml:space="preserve">Привязка к уроку</x:t>
  </x:si>
  <x:si>
    <x:t xml:space="preserve">Источник ID</x:t>
  </x:si>
  <x:si>
    <x:t xml:space="preserve">Название источника</x:t>
  </x:si>
  <x:si>
    <x:t xml:space="preserve">URL источника</x:t>
  </x:si>
  <x:si>
    <x:t xml:space="preserve">Уверенность 1–5</x:t>
  </x:si>
  <x:si>
    <x:t xml:space="preserve">Комментарий для лекции</x:t>
  </x:si>
  <x:si>
    <x:t xml:space="preserve">Визуальная идея для карты</x:t>
  </x:si>
  <x:si>
    <x:t xml:space="preserve">Теги</x:t>
  </x:si>
  <x:si>
    <x:t xml:space="preserve">Проверить позже</x:t>
  </x:si>
  <x:si>
    <x:t xml:space="preserve">Координаты (lat, lon)</x:t>
  </x:si>
  <x:si>
    <x:t xml:space="preserve">Подветка (детали)</x:t>
  </x:si>
  <x:si>
    <x:t xml:space="preserve">PL-HIST-0001</x:t>
  </x:si>
  <x:si>
    <x:t xml:space="preserve">ок. 1011–1021</x:t>
  </x:si>
  <x:si>
    <x:t xml:space="preserve">диапазон</x:t>
  </x:si>
  <x:si>
    <x:t xml:space="preserve">Египет / исламский научный мир</x:t>
  </x:si>
  <x:si>
    <x:t xml:space="preserve">Каир / Басра (контекст учёного)</x:t>
  </x:si>
  <x:si>
    <x:t xml:space="preserve">Ибн аль-Хайсам (Альхазен)</x:t>
  </x:si>
  <x:si>
    <x:t xml:space="preserve">В «Книге оптики» системно исследует свет, зрение и опыт тёмной комнаты с малым отверстием.</x:t>
  </x:si>
  <x:si>
    <x:t xml:space="preserve">Камера-обскура / pinhole image</x:t>
  </x:si>
  <x:si>
    <x:t xml:space="preserve">Фотографии ещё нет, но появляется научная база: свет распространяется прямыми линиями и может строить изображение.</x:t>
  </x:si>
  <x:si>
    <x:t xml:space="preserve">Античная оптика и астрономические наблюдения</x:t>
  </x:si>
  <x:si>
    <x:t xml:space="preserve">Европейская оптика, камера-обскура как инструмент наблюдения</x:t>
  </x:si>
  <x:si>
    <x:t xml:space="preserve">Оптическая предпосылка</x:t>
  </x:si>
  <x:si>
    <x:t xml:space="preserve">SRC-001</x:t>
  </x:si>
  <x:si>
    <x:t xml:space="preserve">AramcoWorld — Ibn al-Haytham: Testing is Believing</x:t>
  </x:si>
  <x:si>
    <x:t xml:space="preserve">https://www.aramcoworld.com/en/articles/2023/ibn-al-haytham-testing-is-believing</x:t>
  </x:si>
  <x:si>
    <x:t xml:space="preserve">Важно сказать аккуратно: он не изобрёл фотографию, а дал фундамент для понимания изображения светом.</x:t>
  </x:si>
  <x:si>
    <x:t xml:space="preserve">Стартовая точка карты: луч света входит в тёмную комнату и строит перевёрнутое изображение.</x:t>
  </x:si>
  <x:si>
    <x:t xml:space="preserve">#оптика #камера-обскура #ИбнАльХайсам #PL001</x:t>
  </x:si>
  <x:si>
    <x:t xml:space="preserve">Уточнить формулировку места: не привязывать к современной стране слишком жёстко.</x:t>
  </x:si>
  <x:si>
    <x:t xml:space="preserve">30.0444, 31.2357</x:t>
  </x:si>
  <x:si>
    <x:t xml:space="preserve">PL-HIST-0002</x:t>
  </x:si>
  <x:si>
    <x:t xml:space="preserve">1545</x:t>
  </x:si>
  <x:si>
    <x:t xml:space="preserve">год</x:t>
  </x:si>
  <x:si>
    <x:t xml:space="preserve">Нидерланды / Священная Римская империя</x:t>
  </x:si>
  <x:si>
    <x:t xml:space="preserve">Лёвен / Фрисландия (контекст публикации)</x:t>
  </x:si>
  <x:si>
    <x:t xml:space="preserve">Гемма Фризиус</x:t>
  </x:si>
  <x:si>
    <x:t xml:space="preserve">Публикует один из ранних известных рисунков камеры-обскуры, использованной для наблюдения солнечного затмения.</x:t>
  </x:si>
  <x:si>
    <x:t xml:space="preserve">Камера-обскура как астрономический инструмент</x:t>
  </x:si>
  <x:si>
    <x:t xml:space="preserve">Принцип тёмной комнаты становится не только философским описанием, но и изображаемым инструментом наблюдения.</x:t>
  </x:si>
  <x:si>
    <x:t xml:space="preserve">Ибн аль-Хайсам и средневековая оптика</x:t>
  </x:si>
  <x:si>
    <x:t xml:space="preserve">Линза и художественное применение камеры-обскуры</x:t>
  </x:si>
  <x:si>
    <x:t xml:space="preserve">SRC-003</x:t>
  </x:si>
  <x:si>
    <x:t xml:space="preserve">Max Planck Institute — Camera Obscura PDF</x:t>
  </x:si>
  <x:si>
    <x:t xml:space="preserve">https://www.mpiwg-berlin.mpg.de/sites/default/files/Preprints/P307.pdf</x:t>
  </x:si>
  <x:si>
    <x:t xml:space="preserve">Можно использовать как промежуточный узел: камера-обскура служит не фотографии, а безопасному наблюдению солнца.</x:t>
  </x:si>
  <x:si>
    <x:t xml:space="preserve">Иконка солнечного затмения + тёмная комната.</x:t>
  </x:si>
  <x:si>
    <x:t xml:space="preserve">#оптика #астрономия #камера-обскура</x:t>
  </x:si>
  <x:si>
    <x:t xml:space="preserve">Нужен первичный источник/точная ссылка на публикацию Frisius.</x:t>
  </x:si>
  <x:si>
    <x:t xml:space="preserve">50.8798, 4.7005</x:t>
  </x:si>
  <x:si>
    <x:t xml:space="preserve">PL-HIST-0003</x:t>
  </x:si>
  <x:si>
    <x:t xml:space="preserve">1550</x:t>
  </x:si>
  <x:si>
    <x:t xml:space="preserve">Италия</x:t>
  </x:si>
  <x:si>
    <x:t xml:space="preserve">Павия / Италия</x:t>
  </x:si>
  <x:si>
    <x:t xml:space="preserve">Джероламо Кардано</x:t>
  </x:si>
  <x:si>
    <x:t xml:space="preserve">Описывает использование стеклянной линзы в камере-обскуре для улучшения изображения.</x:t>
  </x:si>
  <x:si>
    <x:t xml:space="preserve">Линза в камере-обскуре</x:t>
  </x:si>
  <x:si>
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</x:si>
  <x:si>
    <x:t xml:space="preserve">Пинхол / тёмная комната</x:t>
  </x:si>
  <x:si>
    <x:t xml:space="preserve">Della Porta и популяризация камеры-обскуры</x:t>
  </x:si>
  <x:si>
    <x:t xml:space="preserve">SRC-002</x:t>
  </x:si>
  <x:si>
    <x:t xml:space="preserve">IMSS / Museo Galileo — Camera Obscura</x:t>
  </x:si>
  <x:si>
    <x:t xml:space="preserve">https://redi.imss.fi.it/inventions/index.php/Camera_Obscura</x:t>
  </x:si>
  <x:si>
    <x:t xml:space="preserve">Для новичка: отверстие даёт картинку, линза делает её ярче и удобнее.</x:t>
  </x:si>
  <x:si>
    <x:t xml:space="preserve">На линии добавить маленькую линзу перед тёмной комнатой.</x:t>
  </x:si>
  <x:si>
    <x:t xml:space="preserve">#оптика #линза #камера</x:t>
  </x:si>
  <x:si>
    <x:t xml:space="preserve">45.1847, 9.1582</x:t>
  </x:si>
  <x:si>
    <x:t xml:space="preserve">PL-HIST-0004</x:t>
  </x:si>
  <x:si>
    <x:t xml:space="preserve">1558</x:t>
  </x:si>
  <x:si>
    <x:t xml:space="preserve">Неаполь</x:t>
  </x:si>
  <x:si>
    <x:t xml:space="preserve">Джамбаттиста делла Порта</x:t>
  </x:si>
  <x:si>
    <x:t xml:space="preserve">В «Magia Naturalis» описывает камеру-обскуру как зрелищный и практический инструмент наблюдения/рисования.</x:t>
  </x:si>
  <x:si>
    <x:t xml:space="preserve">Камера-обскура как инструмент художника</x:t>
  </x:si>
  <x:si>
    <x:t xml:space="preserve">Камера-обскура входит в европейскую культуру изображения: становится помощником перспективы и точного рисунка.</x:t>
  </x:si>
  <x:si>
    <x:t xml:space="preserve">Кардано и линза</x:t>
  </x:si>
  <x:si>
    <x:t xml:space="preserve">Kepler, портативные камеры-обскуры</x:t>
  </x:si>
  <x:si>
    <x:t xml:space="preserve">Здесь можно показать мост от науки к искусству: камера ещё не фотографирует, но уже помогает изображать реальность.</x:t>
  </x:si>
  <x:si>
    <x:t xml:space="preserve">Иконка художника, который обводит проекцию.</x:t>
  </x:si>
  <x:si>
    <x:t xml:space="preserve">#оптика #искусство #DellaPorta</x:t>
  </x:si>
  <x:si>
    <x:t xml:space="preserve">40.8518, 14.2681</x:t>
  </x:si>
  <x:si>
    <x:t xml:space="preserve">PL-HIST-0005</x:t>
  </x:si>
  <x:si>
    <x:t xml:space="preserve">1604</x:t>
  </x:si>
  <x:si>
    <x:t xml:space="preserve">Германия</x:t>
  </x:si>
  <x:si>
    <x:t xml:space="preserve">Прага / Линц (контекст Kepler)</x:t>
  </x:si>
  <x:si>
    <x:t xml:space="preserve">Иоганн Кеплер</x:t>
  </x:si>
  <x:si>
    <x:t xml:space="preserve">Использует/закрепляет термин «camera obscura» и анализирует формирование оптического изображения.</x:t>
  </x:si>
  <x:si>
    <x:t xml:space="preserve">Camera obscura</x:t>
  </x:si>
  <x:si>
    <x:t xml:space="preserve">Понятие получает устойчивое научное имя и входит в язык оптики.</x:t>
  </x:si>
  <x:si>
    <x:t xml:space="preserve">Renaissance descriptions of camera obscura</x:t>
  </x:si>
  <x:si>
    <x:t xml:space="preserve">Kepler's Dioptrice and portable camera obscura</x:t>
  </x:si>
  <x:si>
    <x:t xml:space="preserve">На карте можно показать, что слова тоже важны: когда явление получает имя, его проще передавать и развивать.</x:t>
  </x:si>
  <x:si>
    <x:t xml:space="preserve">Плашка-термин: CAMERA OBSCURA.</x:t>
  </x:si>
  <x:si>
    <x:t xml:space="preserve">#оптика #Kepler #термин</x:t>
  </x:si>
  <x:si>
    <x:t xml:space="preserve">50.0755, 14.4378</x:t>
  </x:si>
  <x:si>
    <x:t xml:space="preserve">Оптика / терминология</x:t>
  </x:si>
  <x:si>
    <x:t xml:space="preserve">PL-HIST-0006</x:t>
  </x:si>
  <x:si>
    <x:t xml:space="preserve">1611</x:t>
  </x:si>
  <x:si>
    <x:t xml:space="preserve">Линц / Прага</x:t>
  </x:si>
  <x:si>
    <x:t xml:space="preserve">В «Dioptrice» развивает понимание линз, проекции и улучшения изображения в оптических системах.</x:t>
  </x:si>
  <x:si>
    <x:t xml:space="preserve">Линзовая камера-обскура</x:t>
  </x:si>
  <x:si>
    <x:t xml:space="preserve">Будущая камера всё больше зависит от оптики: линзы дают контроль над изображением.</x:t>
  </x:si>
  <x:si>
    <x:t xml:space="preserve">Термин camera obscura</x:t>
  </x:si>
  <x:si>
    <x:t xml:space="preserve">Портативные камеры-обскуры и объективы</x:t>
  </x:si>
  <x:si>
    <x:t xml:space="preserve">Не перегружать урок формулами; объяснить как «переход от дырочки к оптической системе».</x:t>
  </x:si>
  <x:si>
    <x:t xml:space="preserve">Схема: отверстие → линза → более яркая проекция.</x:t>
  </x:si>
  <x:si>
    <x:t xml:space="preserve">#оптика #линзы #Kepler</x:t>
  </x:si>
  <x:si>
    <x:t xml:space="preserve">Подтвердить конкретные формулировки по первичному тексту Dioptrice.</x:t>
  </x:si>
  <x:si>
    <x:t xml:space="preserve">48.3069, 14.2858</x:t>
  </x:si>
  <x:si>
    <x:t xml:space="preserve">Оптика / камера</x:t>
  </x:si>
  <x:si>
    <x:t xml:space="preserve">PL-HIST-0007</x:t>
  </x:si>
  <x:si>
    <x:t xml:space="preserve">ок. 1620</x:t>
  </x:si>
  <x:si>
    <x:t xml:space="preserve">примерно</x:t>
  </x:si>
  <x:si>
    <x:t xml:space="preserve">Австрия / Германия</x:t>
  </x:si>
  <x:si>
    <x:t xml:space="preserve">Верхняя Австрия</x:t>
  </x:si>
  <x:si>
    <x:t xml:space="preserve">Использует переносную камеру-обскуру в виде палатки для наблюдения и зарисовок ландшафта.</x:t>
  </x:si>
  <x:si>
    <x:t xml:space="preserve">Портативная camera obscura</x:t>
  </x:si>
  <x:si>
    <x:t xml:space="preserve">Камера-обскура становится мобильной: это важный шаг к переносной камере.</x:t>
  </x:si>
  <x:si>
    <x:t xml:space="preserve">Zahn and portable camera designs</x:t>
  </x:si>
  <x:si>
    <x:t xml:space="preserve">Хороший визуальный эпизод для рилса: учёный в тёмной палатке ловит изображение мира.</x:t>
  </x:si>
  <x:si>
    <x:t xml:space="preserve">Карта: линия от комнаты к переносной палатке.</x:t>
  </x:si>
  <x:si>
    <x:t xml:space="preserve">#камера-обскура #портативность #Kepler</x:t>
  </x:si>
  <x:si>
    <x:t xml:space="preserve">Проверить год и источники письма Henry Wotton.</x:t>
  </x:si>
  <x:si>
    <x:t xml:space="preserve">PL-HIST-0008</x:t>
  </x:si>
  <x:si>
    <x:t xml:space="preserve">1685</x:t>
  </x:si>
  <x:si>
    <x:t xml:space="preserve">Вюрцбург</x:t>
  </x:si>
  <x:si>
    <x:t xml:space="preserve">Иоганн Цан</x:t>
  </x:si>
  <x:si>
    <x:t xml:space="preserve">Публикует схемы переносных камер-обскур и оптических устройств в «Oculus Artificialis».</x:t>
  </x:si>
  <x:si>
    <x:t xml:space="preserve">Портативная / зеркальная camera obscura</x:t>
  </x:si>
  <x:si>
    <x:t xml:space="preserve">Идея камеры становится почти предметной: устройство уже похоже на будущий фотоаппарат, но без химической фиксации.</x:t>
  </x:si>
  <x:si>
    <x:t xml:space="preserve">Портативные камеры-обскуры XVII века</x:t>
  </x:si>
  <x:si>
    <x:t xml:space="preserve">Фотохимия XVIII века</x:t>
  </x:si>
  <x:si>
    <x:t xml:space="preserve">SRC-004</x:t>
  </x:si>
  <x:si>
    <x:t xml:space="preserve">Public Domain Review — Johann Zahn's Oculus Artificialis</x:t>
  </x:si>
  <x:si>
    <x:t xml:space="preserve">https://publicdomainreview.org/collection/images-from-johann-zahn-s-oculus-artificialis-1685</x:t>
  </x:si>
  <x:si>
    <x:t xml:space="preserve">Можно показать как «корпус камеры появился раньше фотографии».</x:t>
  </x:si>
  <x:si>
    <x:t xml:space="preserve">Иконка деревянной камеры с зеркалом.</x:t>
  </x:si>
  <x:si>
    <x:t xml:space="preserve">#камера #Zahn #оптика</x:t>
  </x:si>
  <x:si>
    <x:t xml:space="preserve">49.7913, 9.9534</x:t>
  </x:si>
  <x:si>
    <x:t xml:space="preserve">PL-HIST-0009</x:t>
  </x:si>
  <x:si>
    <x:t xml:space="preserve">1727</x:t>
  </x:si>
  <x:si>
    <x:t xml:space="preserve">Альтдорф / Галле</x:t>
  </x:si>
  <x:si>
    <x:t xml:space="preserve">Иоганн Генрих Шульце</x:t>
  </x:si>
  <x:si>
    <x:t xml:space="preserve">Публикует научное исследование: соли серебра темнеют под действием света, а не тепла.</x:t>
  </x:si>
  <x:si>
    <x:t xml:space="preserve">Серебряные соли</x:t>
  </x:si>
  <x:si>
    <x:t xml:space="preserve">Появляется химическая половина фотографии: материал может реагировать на свет.</x:t>
  </x:si>
  <x:si>
    <x:t xml:space="preserve">Алхимические наблюдения потемнения серебра</x:t>
  </x:si>
  <x:si>
    <x:t xml:space="preserve">Scheele, Wedgwood, Niépce</x:t>
  </x:si>
  <x:si>
    <x:t xml:space="preserve">Химическая предпосылка</x:t>
  </x:si>
  <x:si>
    <x:t xml:space="preserve">SRC-005</x:t>
  </x:si>
  <x:si>
    <x:t xml:space="preserve">Swiss Camera Museum — Johann Heinrich Schulze</x:t>
  </x:si>
  <x:si>
    <x:t xml:space="preserve">https://www.cameramuseum.ch/en/discover/permanent-exhibition/the-origins-of-photography/the-precursors-johann-heinrich-schulze/</x:t>
  </x:si>
  <x:si>
    <x:t xml:space="preserve">Это ключевой мост: камера уже строила изображение, но теперь появился материал, который свет может менять.</x:t>
  </x:si>
  <x:si>
    <x:t xml:space="preserve">Серебряная колба/бутылка, на которой свет оставляет след.</x:t>
  </x:si>
  <x:si>
    <x:t xml:space="preserve">#фотохимия #серебро #Schulze #PL002</x:t>
  </x:si>
  <x:si>
    <x:t xml:space="preserve">49.3833, 11.3833</x:t>
  </x:si>
  <x:si>
    <x:t xml:space="preserve">PL-HIST-0010</x:t>
  </x:si>
  <x:si>
    <x:t xml:space="preserve">1777</x:t>
  </x:si>
  <x:si>
    <x:t xml:space="preserve">Швеция</x:t>
  </x:si>
  <x:si>
    <x:t xml:space="preserve">Кёпинг / Стокгольм (контекст)</x:t>
  </x:si>
  <x:si>
    <x:t xml:space="preserve">Карл Вильгельм Шееле</x:t>
  </x:si>
  <x:si>
    <x:t xml:space="preserve">Изучает свойства хлорида серебра: потемнение на свету и роль аммиака для растворения/стабилизации соединений серебра.</x:t>
  </x:si>
  <x:si>
    <x:t xml:space="preserve">Silver chloride / ammonia</x:t>
  </x:si>
  <x:si>
    <x:t xml:space="preserve">Фиксация становится главным нерешённым вопросом: как сделать след света устойчивым.</x:t>
  </x:si>
  <x:si>
    <x:t xml:space="preserve">Schulze and silver salts</x:t>
  </x:si>
  <x:si>
    <x:t xml:space="preserve">Wedgwood and Davy, then Niépce</x:t>
  </x:si>
  <x:si>
    <x:t xml:space="preserve">SRC-006</x:t>
  </x:si>
  <x:si>
    <x:t xml:space="preserve">Science History Institute — Silver and Sunlight</x:t>
  </x:si>
  <x:si>
    <x:t xml:space="preserve">https://www.sciencehistory.org/stories/magazine/silver-and-sunlight/</x:t>
  </x:si>
  <x:si>
    <x:t xml:space="preserve">Новичку объяснить: мало получить изображение — нужно остановить дальнейшее потемнение.</x:t>
  </x:si>
  <x:si>
    <x:t xml:space="preserve">Иконка: след света + знак «зафиксировать».</x:t>
  </x:si>
  <x:si>
    <x:t xml:space="preserve">#фотохимия #фиксаж #серебро</x:t>
  </x:si>
  <x:si>
    <x:t xml:space="preserve">Уточнить связь Scheele с практическим фиксированием: не преувеличивать.</x:t>
  </x:si>
  <x:si>
    <x:t xml:space="preserve">59.5117, 15.9992</x:t>
  </x:si>
  <x:si>
    <x:t xml:space="preserve">Фотохимия / фиксация</x:t>
  </x:si>
  <x:si>
    <x:t xml:space="preserve">PL-HIST-0011</x:t>
  </x:si>
  <x:si>
    <x:t xml:space="preserve">ок. 1800</x:t>
  </x:si>
  <x:si>
    <x:t xml:space="preserve">Великобритания</x:t>
  </x:si>
  <x:si>
    <x:t xml:space="preserve">Этрурия / Стаффордшир</x:t>
  </x:si>
  <x:si>
    <x:t xml:space="preserve">Томас Веджвуд</x:t>
  </x:si>
  <x:si>
    <x:t xml:space="preserve">Проводит опыты с бумагой/кожей, обработанными нитратом серебра, пытаясь получать изображения светом.</x:t>
  </x:si>
  <x:si>
    <x:t xml:space="preserve">Серебряный нитрат на бумаге/коже</x:t>
  </x:si>
  <x:si>
    <x:t xml:space="preserve">Появляется идея фотографического изображения, но проблема сохранения ещё не решена.</x:t>
  </x:si>
  <x:si>
    <x:t xml:space="preserve">Schulze and Scheele</x:t>
  </x:si>
  <x:si>
    <x:t xml:space="preserve">Davy publication, Niépce's experiments</x:t>
  </x:si>
  <x:si>
    <x:t xml:space="preserve">Тупиковая / не получила развития</x:t>
  </x:si>
  <x:si>
    <x:t xml:space="preserve">SRC-007</x:t>
  </x:si>
  <x:si>
    <x:t xml:space="preserve">Swiss Camera Museum — Thomas Wedgwood</x:t>
  </x:si>
  <x:si>
    <x:t xml:space="preserve">https://www.cameramuseum.ch/en/discover/permanent-exhibition/the-origins-of-photography/the-precursors-thomas-wedgwood/</x:t>
  </x:si>
  <x:si>
    <x:t xml:space="preserve">Хорошо показать как честную неудачу: попытка почти фотографическая, но изображение исчезает.</x:t>
  </x:si>
  <x:si>
    <x:t xml:space="preserve">Пунктирная линия: «почти получилось, но не закрепилось».</x:t>
  </x:si>
  <x:si>
    <x:t xml:space="preserve">#Wedgwood #фотохимия #неудача</x:t>
  </x:si>
  <x:si>
    <x:t xml:space="preserve">53.0027, -2.1794</x:t>
  </x:si>
  <x:si>
    <x:t xml:space="preserve">Фотохимия / первая фиксация</x:t>
  </x:si>
  <x:si>
    <x:t xml:space="preserve">PL-HIST-0012</x:t>
  </x:si>
  <x:si>
    <x:t xml:space="preserve">1802</x:t>
  </x:si>
  <x:si>
    <x:t xml:space="preserve">Лондон / Бристоль</x:t>
  </x:si>
  <x:si>
    <x:t xml:space="preserve">Хамфри Дэви и Томас Веджвуд</x:t>
  </x:si>
  <x:si>
    <x:t xml:space="preserve">Дэви публикует отчёт о методе копирования изображений светом на нитрате серебра.</x:t>
  </x:si>
  <x:si>
    <x:t xml:space="preserve">Photogenic copying on silver nitrate</x:t>
  </x:si>
  <x:si>
    <x:t xml:space="preserve">Первые эксперименты становятся опубликованным знанием, но без полноценного фиксирования изображения.</x:t>
  </x:si>
  <x:si>
    <x:t xml:space="preserve">Wedgwood experiments</x:t>
  </x:si>
  <x:si>
    <x:t xml:space="preserve">Niépce and Talbot later address permanence</x:t>
  </x:si>
  <x:si>
    <x:t xml:space="preserve">SRC-008</x:t>
  </x:si>
  <x:si>
    <x:t xml:space="preserve">Bodleian — Talbot Catalogue: Photogenic Drawing</x:t>
  </x:si>
  <x:si>
    <x:t xml:space="preserve">https://talbot.bodleian.ox.ac.uk/2017/02/17/an-account-of-the-processes-employed-in-photogenic-drawing/</x:t>
  </x:si>
  <x:si>
    <x:t xml:space="preserve">В лекции: до Ньепса уже были люди, которые понимали направление, но не решили задачу постоянства.</x:t>
  </x:si>
  <x:si>
    <x:t xml:space="preserve">Иконка публикации/лист бумаги, который постепенно темнеет.</x:t>
  </x:si>
  <x:si>
    <x:t xml:space="preserve">#Davy #Wedgwood #публикация</x:t>
  </x:si>
  <x:si>
    <x:t xml:space="preserve">Добавить первичный PDF/текст Journal of the Royal Institution при углублении.</x:t>
  </x:si>
  <x:si>
    <x:t xml:space="preserve">51.5074, -0.1278</x:t>
  </x:si>
  <x:si>
    <x:t xml:space="preserve">Фотохимия / публикация</x:t>
  </x:si>
  <x:si>
    <x:t xml:space="preserve">PL-HIST-0013</x:t>
  </x:si>
  <x:si>
    <x:t xml:space="preserve">1806–1807</x:t>
  </x:si>
  <x:si>
    <x:t xml:space="preserve">Лондон</x:t>
  </x:si>
  <x:si>
    <x:t xml:space="preserve">Уильям Хайд Волластон</x:t>
  </x:si>
  <x:si>
    <x:t xml:space="preserve">Патентует и называет camera lucida — оптический прибор для точного рисования.</x:t>
  </x:si>
  <x:si>
    <x:t xml:space="preserve">Camera lucida</x:t>
  </x:si>
  <x:si>
    <x:t xml:space="preserve">Показывает, что до фотографии общество уже искало способы механизировать точность изображения.</x:t>
  </x:si>
  <x:si>
    <x:t xml:space="preserve">Camera obscura drawing tools</x:t>
  </x:si>
  <x:si>
    <x:t xml:space="preserve">Photography will replace drawing aids for some purposes</x:t>
  </x:si>
  <x:si>
    <x:t xml:space="preserve">SRC-009</x:t>
  </x:si>
  <x:si>
    <x:t xml:space="preserve">Smithsonian NMAH — Camera Lucida</x:t>
  </x:si>
  <x:si>
    <x:t xml:space="preserve">https://americanhistory.si.edu/collections/object/nmah_1184286</x:t>
  </x:si>
  <x:si>
    <x:t xml:space="preserve">Это не фотография, но очень полезный узел: люди хотели точного изображения до химической фотографии.</x:t>
  </x:si>
  <x:si>
    <x:t xml:space="preserve">Иконка призмы и руки художника.</x:t>
  </x:si>
  <x:si>
    <x:t xml:space="preserve">#оптика #camera-lucida #рисование</x:t>
  </x:si>
  <x:si>
    <x:t xml:space="preserve">PL-HIST-0014</x:t>
  </x:si>
  <x:si>
    <x:t xml:space="preserve">1816</x:t>
  </x:si>
  <x:si>
    <x:t xml:space="preserve">Франция</x:t>
  </x:si>
  <x:si>
    <x:t xml:space="preserve">Сен-Лу-де-Варенн / Ле-Гра</x:t>
  </x:si>
  <x:si>
    <x:t xml:space="preserve">Нисефор Ньепс</x:t>
  </x:si>
  <x:si>
    <x:t xml:space="preserve">Получает исчезающие негативные изображения в камере-обскуре на бумаге с солями серебра.</x:t>
  </x:si>
  <x:si>
    <x:t xml:space="preserve">Silver chloride paper negative</x:t>
  </x:si>
  <x:si>
    <x:t xml:space="preserve">Ньепс впервые подходит к реальной камере-фотографии, но изображение ещё не устойчиво.</x:t>
  </x:si>
  <x:si>
    <x:t xml:space="preserve">Wedgwood/Davy experiments</x:t>
  </x:si>
  <x:si>
    <x:t xml:space="preserve">Niépce switches to bitumen heliography</x:t>
  </x:si>
  <x:si>
    <x:t xml:space="preserve">Переходная технология</x:t>
  </x:si>
  <x:si>
    <x:t xml:space="preserve">SRC-011</x:t>
  </x:si>
  <x:si>
    <x:t xml:space="preserve">Maison Nicéphore Niépce — First experiments</x:t>
  </x:si>
  <x:si>
    <x:t xml:space="preserve">https://bicentennial-of-photography.org/niepce-and-the-invention-of-photography-niepce-s-first-experiments/</x:t>
  </x:si>
  <x:si>
    <x:t xml:space="preserve">Важно: это не первый сохранившийся снимок, а первая стадия Ньепса — изображение было, но исчезало.</x:t>
  </x:si>
  <x:si>
    <x:t xml:space="preserve">Светлая линия появляется на бумаге и затем исчезает.</x:t>
  </x:si>
  <x:si>
    <x:t xml:space="preserve">#Niépce #1816 #PL002 #негатив</x:t>
  </x:si>
  <x:si>
    <x:t xml:space="preserve">46.7828, 4.8892</x:t>
  </x:si>
  <x:si>
    <x:t xml:space="preserve">Первая фиксация / проблема постоянства</x:t>
  </x:si>
  <x:si>
    <x:t xml:space="preserve">PL-HIST-0015</x:t>
  </x:si>
  <x:si>
    <x:t xml:space="preserve">1822–1825</x:t>
  </x:si>
  <x:si>
    <x:t xml:space="preserve">Развивает гелиографию: использует светочувствительный битум для создания устойчивых изображений/копий гравюр.</x:t>
  </x:si>
  <x:si>
    <x:t xml:space="preserve">Bitumen of Judea on metal/stone</x:t>
  </x:si>
  <x:si>
    <x:t xml:space="preserve">Путь меняется: вместо серебряных солей Ньепс ищет материал, который свет делает не темнее, а твёрже/нерастворимее.</x:t>
  </x:si>
  <x:si>
    <x:t xml:space="preserve">1816 silver-salt negatives</x:t>
  </x:si>
  <x:si>
    <x:t xml:space="preserve">View from the Window at Le Gras</x:t>
  </x:si>
  <x:si>
    <x:t xml:space="preserve">SRC-010</x:t>
  </x:si>
  <x:si>
    <x:t xml:space="preserve">Harry Ransom Center — The Niépce Heliograph</x:t>
  </x:si>
  <x:si>
    <x:t xml:space="preserve">https://www.hrc.utexas.edu/niepce-heliograph/</x:t>
  </x:si>
  <x:si>
    <x:t xml:space="preserve">Для лекции: Ньепс думал не только о камере, но и о механическом копировании изображений.</x:t>
  </x:si>
  <x:si>
    <x:t xml:space="preserve">Узел «гелиография»: солнце превращает покрытие в устойчивый след.</x:t>
  </x:si>
  <x:si>
    <x:t xml:space="preserve">#гелиография #Niépce #битум</x:t>
  </x:si>
  <x:si>
    <x:t xml:space="preserve">Проверить дату 1822 для несохранившейся heliograph copy.</x:t>
  </x:si>
  <x:si>
    <x:t xml:space="preserve">PL-HIST-0016</x:t>
  </x:si>
  <x:si>
    <x:t xml:space="preserve">1826 / 1827</x:t>
  </x:si>
  <x:si>
    <x:t xml:space="preserve">спорно/уточнить</x:t>
  </x:si>
  <x:si>
    <x:t xml:space="preserve">Ле-Гра, Сен-Лу-де-Варенн</x:t>
  </x:si>
  <x:si>
    <x:t xml:space="preserve">Создаёт «Вид из окна в Ле-Гра» — самое раннее сохранившееся изображение, полученное с помощью камеры-обскуры.</x:t>
  </x:si>
  <x:si>
    <x:t xml:space="preserve">Heliograph on pewter plate</x:t>
  </x:si>
  <x:si>
    <x:t xml:space="preserve">Изображение впервые не просто возникло, а сохранилось до наших дней.</x:t>
  </x:si>
  <x:si>
    <x:t xml:space="preserve">Heliographic experiments</x:t>
  </x:si>
  <x:si>
    <x:t xml:space="preserve">Partnership with Daguerre</x:t>
  </x:si>
  <x:si>
    <x:t xml:space="preserve">Главная линия</x:t>
  </x:si>
  <x:si>
    <x:t xml:space="preserve">Дата встречается как 1826 или 1827; в таблице оставляем спорной/уточняемой.</x:t>
  </x:si>
  <x:si>
    <x:t xml:space="preserve">Главный узел PL-002: окно, свет, металлическая пластина.</x:t>
  </x:si>
  <x:si>
    <x:t xml:space="preserve">#Niépce #перваяфотография #гелиография #PL002</x:t>
  </x:si>
  <x:si>
    <x:t xml:space="preserve">Уточнить редакционную дату: Harvard даёт 1826, HRC — 1827.</x:t>
  </x:si>
  <x:si>
    <x:t xml:space="preserve">Гелиография / первая сохранившаяся фотография</x:t>
  </x:si>
  <x:si>
    <x:t xml:space="preserve">PL-HIST-0017</x:t>
  </x:si>
  <x:si>
    <x:t xml:space="preserve">1829</x:t>
  </x:si>
  <x:si>
    <x:t xml:space="preserve">Париж / Сен-Лу-де-Варенн</x:t>
  </x:si>
  <x:si>
    <x:t xml:space="preserve">Нисефор Ньепс и Луи Дагер</x:t>
  </x:si>
  <x:si>
    <x:t xml:space="preserve">Ньепс и Дагер вступают в формальное партнёрство для развития фотографического процесса.</x:t>
  </x:si>
  <x:si>
    <x:t xml:space="preserve">Heliography → daguerreotype lineage</x:t>
  </x:si>
  <x:si>
    <x:t xml:space="preserve">Линия Ньепса соединяется с практическими улучшениями Дагера.</x:t>
  </x:si>
  <x:si>
    <x:t xml:space="preserve">Niépce heliography</x:t>
  </x:si>
  <x:si>
    <x:t xml:space="preserve">Daguerreotype announcement</x:t>
  </x:si>
  <x:si>
    <x:t xml:space="preserve">Это не просто смена фамилии: здесь начинается связка Ньепс → Дагер.</x:t>
  </x:si>
  <x:si>
    <x:t xml:space="preserve">Линия на карте: Ле-Гра → Париж.</x:t>
  </x:si>
  <x:si>
    <x:t xml:space="preserve">#Niépce #Daguerre #Франция #PL003</x:t>
  </x:si>
  <x:si>
    <x:t xml:space="preserve">48.8566, 2.3522</x:t>
  </x:si>
  <x:si>
    <x:t xml:space="preserve">Передача идеи / развитие процесса</x:t>
  </x:si>
  <x:si>
    <x:t xml:space="preserve">PL-HIST-0018</x:t>
  </x:si>
  <x:si>
    <x:t xml:space="preserve">1833</x:t>
  </x:si>
  <x:si>
    <x:t xml:space="preserve">Сен-Лу-де-Варенн</x:t>
  </x:si>
  <x:si>
    <x:t xml:space="preserve">Нисефор Ньепс / Луи Дагер</x:t>
  </x:si>
  <x:si>
    <x:t xml:space="preserve">После смерти Ньепса Дагер продолжает работы и в итоге доводит процесс до публичного объявления.</x:t>
  </x:si>
  <x:si>
    <x:t xml:space="preserve">Daguerreotype lineage</x:t>
  </x:si>
  <x:si>
    <x:t xml:space="preserve">Фотография становится историей не одного человека, а продолжения незавершённой разработки.</x:t>
  </x:si>
  <x:si>
    <x:t xml:space="preserve">Partnership 1829</x:t>
  </x:si>
  <x:si>
    <x:t xml:space="preserve">1839 public announcement</x:t>
  </x:si>
  <x:si>
    <x:t xml:space="preserve">Для сериала: Ньепс не увидел публичного триумфа фотографии.</x:t>
  </x:si>
  <x:si>
    <x:t xml:space="preserve">Линия прерывается у Ньепса и продолжается к Дагеру.</x:t>
  </x:si>
  <x:si>
    <x:t xml:space="preserve">#Niépce #Daguerre #история</x:t>
  </x:si>
  <x:si>
    <x:t xml:space="preserve">PL-HIST-0019</x:t>
  </x:si>
  <x:si>
    <x:t xml:space="preserve">1834</x:t>
  </x:si>
  <x:si>
    <x:t xml:space="preserve">Лэкок-Эбби</x:t>
  </x:si>
  <x:si>
    <x:t xml:space="preserve">Уильям Генри Фокс Тальбот</x:t>
  </x:si>
  <x:si>
    <x:t xml:space="preserve">Создаёт фотогенные рисунки: предметы кладутся на светочувствительную бумагу и оставляют силуэт.</x:t>
  </x:si>
  <x:si>
    <x:t xml:space="preserve">Photogenic drawing</x:t>
  </x:si>
  <x:si>
    <x:t xml:space="preserve">Параллельно французской линии появляется британская ветка: изображение через негативный след на бумаге.</x:t>
  </x:si>
  <x:si>
    <x:t xml:space="preserve">Wedgwood/Davy and silver salts</x:t>
  </x:si>
  <x:si>
    <x:t xml:space="preserve">Calotype and negative-positive process</x:t>
  </x:si>
  <x:si>
    <x:t xml:space="preserve">SRC-023</x:t>
  </x:si>
  <x:si>
    <x:t xml:space="preserve">National Gallery of Canada — The Calotype Process</x:t>
  </x:si>
  <x:si>
    <x:t xml:space="preserve">https://www.gallery.ca/photo-blog/the-calotype-process</x:t>
  </x:si>
  <x:si>
    <x:t xml:space="preserve">Важно показать как параллельную работу, а не как продолжение Дагера.</x:t>
  </x:si>
  <x:si>
    <x:t xml:space="preserve">Отдельная линия Великобритания: лист растения на бумаге.</x:t>
  </x:si>
  <x:si>
    <x:t xml:space="preserve">#Talbot #photogenic-drawing #PL004</x:t>
  </x:si>
  <x:si>
    <x:t xml:space="preserve">51.4136, -2.118</x:t>
  </x:si>
  <x:si>
    <x:t xml:space="preserve">PL-HIST-0020</x:t>
  </x:si>
  <x:si>
    <x:t xml:space="preserve">1835</x:t>
  </x:si>
  <x:si>
    <x:t xml:space="preserve">Делает ранние маленькие камерные негативы, включая вид окна в Лэкок-Эбби.</x:t>
  </x:si>
  <x:si>
    <x:t xml:space="preserve">Paper negative in camera</x:t>
  </x:si>
  <x:si>
    <x:t xml:space="preserve">Тальбот переносит идею фотогенного рисунка в камеру: бумага становится негативом будущей копии.</x:t>
  </x:si>
  <x:si>
    <x:t xml:space="preserve">Photogenic drawings</x:t>
  </x:si>
  <x:si>
    <x:t xml:space="preserve">1839 publication and 1841 calotype</x:t>
  </x:si>
  <x:si>
    <x:t xml:space="preserve">SRC-016</x:t>
  </x:si>
  <x:si>
    <x:t xml:space="preserve">The Met — William Henry Fox Talbot</x:t>
  </x:si>
  <x:si>
    <x:t xml:space="preserve">https://www.metmuseum.org/essays/william-henry-fox-talbot-1800-1877-and-the-invention-of-photography</x:t>
  </x:si>
  <x:si>
    <x:t xml:space="preserve">Можно объяснить: у Тальбота фотография думает не как «одна пластинка», а как система копирования.</x:t>
  </x:si>
  <x:si>
    <x:t xml:space="preserve">Окно Лэкок-Эбби как британская пара к окну Ньепса.</x:t>
  </x:si>
  <x:si>
    <x:t xml:space="preserve">#Talbot #окно #негатив #PL004</x:t>
  </x:si>
  <x:si>
    <x:t xml:space="preserve">Проверить источник для конкретной даты и объекта Oriel Window.</x:t>
  </x:si>
  <x:si>
    <x:t xml:space="preserve">PL-HIST-0021</x:t>
  </x:si>
  <x:si>
    <x:t xml:space="preserve">1837</x:t>
  </x:si>
  <x:si>
    <x:t xml:space="preserve">Париж</x:t>
  </x:si>
  <x:si>
    <x:t xml:space="preserve">Луи Дагер</x:t>
  </x:si>
  <x:si>
    <x:t xml:space="preserve">Дагер получает более практичный прямой позитив на серебряной пластине и сокращает экспозицию по сравнению с Ньепсом.</x:t>
  </x:si>
  <x:si>
    <x:t xml:space="preserve">Silver-plated copper plate / direct positive</x:t>
  </x:si>
  <x:si>
    <x:t xml:space="preserve">Фотография становится резче, быстрее и технически убедительнее, но остаётся уникальным изображением.</x:t>
  </x:si>
  <x:si>
    <x:t xml:space="preserve">Niépce-Daguerre partnership</x:t>
  </x:si>
  <x:si>
    <x:t xml:space="preserve">1839 Académie announcement</x:t>
  </x:si>
  <x:si>
    <x:t xml:space="preserve">Исторически важная ограниченная ветка</x:t>
  </x:si>
  <x:si>
    <x:t xml:space="preserve">SRC-013</x:t>
  </x:si>
  <x:si>
    <x:t xml:space="preserve">The Met — Daguerre and the Invention of Photography</x:t>
  </x:si>
  <x:si>
    <x:t xml:space="preserve">https://www.metmuseum.org/essays/daguerre-1787-1851-and-the-invention-of-photography</x:t>
  </x:si>
  <x:si>
    <x:t xml:space="preserve">В таблице фиксируем как техническую подготовку к публичному объявлению, но дату/детали уточнить.</x:t>
  </x:si>
  <x:si>
    <x:t xml:space="preserve">Металлическая пластина + резкое изображение.</x:t>
  </x:si>
  <x:si>
    <x:t xml:space="preserve">#Daguerre #дагеротип #PL003</x:t>
  </x:si>
  <x:si>
    <x:t xml:space="preserve">Уточнить первичный источник и дату 1837.</x:t>
  </x:si>
  <x:si>
    <x:t xml:space="preserve">PL-HIST-0022</x:t>
  </x:si>
  <x:si>
    <x:t xml:space="preserve">7 января 1839</x:t>
  </x:si>
  <x:si>
    <x:t xml:space="preserve">точная дата</x:t>
  </x:si>
  <x:si>
    <x:t xml:space="preserve">Франсуа Араго / Луи Дагер</x:t>
  </x:si>
  <x:si>
    <x:t xml:space="preserve">Французская Академия наук видит результаты процесса Дагера; фотография выходит в публичное научное поле.</x:t>
  </x:si>
  <x:si>
    <x:t xml:space="preserve">Daguerreotype</x:t>
  </x:si>
  <x:si>
    <x:t xml:space="preserve">Фотография перестаёт быть частной лабораторной тайной и становится событием культуры и науки.</x:t>
  </x:si>
  <x:si>
    <x:t xml:space="preserve">Daguerre's experiments</x:t>
  </x:si>
  <x:si>
    <x:t xml:space="preserve">19 August 1839 public disclosure</x:t>
  </x:si>
  <x:si>
    <x:t xml:space="preserve">Временная доминирующая линия</x:t>
  </x:si>
  <x:si>
    <x:t xml:space="preserve">Это сильная сцена: не просто изобретение, а момент публичного признания.</x:t>
  </x:si>
  <x:si>
    <x:t xml:space="preserve">Париж, Академия наук, световая демонстрация.</x:t>
  </x:si>
  <x:si>
    <x:t xml:space="preserve">#Daguerre #Arago #Париж #PL003</x:t>
  </x:si>
  <x:si>
    <x:t xml:space="preserve">Дагеротип / публичное объявление</x:t>
  </x:si>
  <x:si>
    <x:t xml:space="preserve">PL-HIST-0023</x:t>
  </x:si>
  <x:si>
    <x:t xml:space="preserve">19 августа 1839</x:t>
  </x:si>
  <x:si>
    <x:t xml:space="preserve">Луи Дагер / французское государство</x:t>
  </x:si>
  <x:si>
    <x:t xml:space="preserve">Процесс дагеротипии официально раскрывается публично; Франция фактически дарит процесс миру.</x:t>
  </x:si>
  <x:si>
    <x:t xml:space="preserve">Дагеротип быстро распространяется по Европе и Америке как первый публично объявленный фотографический процесс.</x:t>
  </x:si>
  <x:si>
    <x:t xml:space="preserve">Academy announcement</x:t>
  </x:si>
  <x:si>
    <x:t xml:space="preserve">Daguerreotypomania and portrait studios</x:t>
  </x:si>
  <x:si>
    <x:t xml:space="preserve">SRC-012</x:t>
  </x:si>
  <x:si>
    <x:t xml:space="preserve">Harvard Library — History of Photography Timeline</x:t>
  </x:si>
  <x:si>
    <x:t xml:space="preserve">https://photographpreservationprogram.hsites.harvard.edu/harvards-history-photography-timeline-text-only</x:t>
  </x:si>
  <x:si>
    <x:t xml:space="preserve">В уроке: 1839 — год, когда фотография стала общественным событием.</x:t>
  </x:si>
  <x:si>
    <x:t xml:space="preserve">Большая точка на Париже и расходящиеся линии по миру.</x:t>
  </x:si>
  <x:si>
    <x:t xml:space="preserve">#1839 #Daguerre #Франция #распространение</x:t>
  </x:si>
  <x:si>
    <x:t xml:space="preserve">Дагеротип / распространение</x:t>
  </x:si>
  <x:si>
    <x:t xml:space="preserve">PL-HIST-0024</x:t>
  </x:si>
  <x:si>
    <x:t xml:space="preserve">1839</x:t>
  </x:si>
  <x:si>
    <x:t xml:space="preserve">Публикует «Some Account of the Art of Photogenic Drawing», представляя свой процесс.</x:t>
  </x:si>
  <x:si>
    <x:t xml:space="preserve">Британская линия заявляет о себе почти одновременно с французской, показывая параллельность изобретения фотографии.</x:t>
  </x:si>
  <x:si>
    <x:t xml:space="preserve">1834–1835 experiments</x:t>
  </x:si>
  <x:si>
    <x:t xml:space="preserve">Calotype patent 1841</x:t>
  </x:si>
  <x:si>
    <x:t xml:space="preserve">Идеально для объяснения: Франция дала резкость и публичный эффект, Британия — логику копии.</x:t>
  </x:si>
  <x:si>
    <x:t xml:space="preserve">Две линии на карте: Париж и Лондон одновременно загораются в 1839.</x:t>
  </x:si>
  <x:si>
    <x:t xml:space="preserve">#Talbot #1839 #PL004</x:t>
  </x:si>
  <x:si>
    <x:t xml:space="preserve">Фотогенный рисунок / публикация</x:t>
  </x:si>
  <x:si>
    <x:t xml:space="preserve">PL-HIST-0025</x:t>
  </x:si>
  <x:si>
    <x:t xml:space="preserve">Лондон / Slough</x:t>
  </x:si>
  <x:si>
    <x:t xml:space="preserve">Джон Фредерик Уильям Гершель</x:t>
  </x:si>
  <x:si>
    <x:t xml:space="preserve">Предлагает использовать hyposulphite of soda как фиксирующее средство для серебряных фотографий.</x:t>
  </x:si>
  <x:si>
    <x:t xml:space="preserve">Hypo / sodium thiosulfate fixer</x:t>
  </x:si>
  <x:si>
    <x:t xml:space="preserve">Фотография становится практически долговечной: изображение можно остановить от дальнейшего действия света.</x:t>
  </x:si>
  <x:si>
    <x:t xml:space="preserve">Silver-salt image instability</x:t>
  </x:si>
  <x:si>
    <x:t xml:space="preserve">Stable calotypes and later silver processes</x:t>
  </x:si>
  <x:si>
    <x:t xml:space="preserve">Сильный смысл: фотография — это не только камера, но и умение остановить свет.</x:t>
  </x:si>
  <x:si>
    <x:t xml:space="preserve">Иконка замка/стоп-символа на изображении.</x:t>
  </x:si>
  <x:si>
    <x:t xml:space="preserve">#Herschel #фиксаж #hypo</x:t>
  </x:si>
  <x:si>
    <x:t xml:space="preserve">PL-HIST-0026</x:t>
  </x:si>
  <x:si>
    <x:t xml:space="preserve">Вводит/закрепляет термины «photography», «negative» и «positive» в ранней фотографической культуре.</x:t>
  </x:si>
  <x:si>
    <x:t xml:space="preserve">Photographic terminology</x:t>
  </x:si>
  <x:si>
    <x:t xml:space="preserve">Язык фотографии формируется: появляются термины, без которых невозможно объяснить негативно-позитивный процесс.</x:t>
  </x:si>
  <x:si>
    <x:t xml:space="preserve">Talbot's paper negatives and photogenic drawings</x:t>
  </x:si>
  <x:si>
    <x:t xml:space="preserve">Calotype and photographic vocabulary</x:t>
  </x:si>
  <x:si>
    <x:t xml:space="preserve">SRC-017</x:t>
  </x:si>
  <x:si>
    <x:t xml:space="preserve">Getty — Sir John F. W. Herschel</x:t>
  </x:si>
  <x:si>
    <x:t xml:space="preserve">https://www.getty.edu/art/collection/person/103KHK</x:t>
  </x:si>
  <x:si>
    <x:t xml:space="preserve">Можно сделать мини-вставку: терминология — это тоже технология понимания.</x:t>
  </x:si>
  <x:si>
    <x:t xml:space="preserve">Карточка слов: PHOTOGRAPHY / NEGATIVE / POSITIVE.</x:t>
  </x:si>
  <x:si>
    <x:t xml:space="preserve">#Herschel #термины #negative #positive</x:t>
  </x:si>
  <x:si>
    <x:t xml:space="preserve">Уточнить первичные даты употребления терминов в письмах/докладах.</x:t>
  </x:si>
  <x:si>
    <x:t xml:space="preserve">PL-HIST-0027</x:t>
  </x:si>
  <x:si>
    <x:t xml:space="preserve">1839–1840</x:t>
  </x:si>
  <x:si>
    <x:t xml:space="preserve">Ипполит Байяр</x:t>
  </x:si>
  <x:si>
    <x:t xml:space="preserve">Разрабатывает прямой позитивный процесс на бумаге, но оказывается в тени Дагера и Тальбота.</x:t>
  </x:si>
  <x:si>
    <x:t xml:space="preserve">Direct positive paper process</x:t>
  </x:si>
  <x:si>
    <x:t xml:space="preserve">Показывает, что история фотографии была многоголосой: не все ветки получили признание и масштаб.</x:t>
  </x:si>
  <x:si>
    <x:t xml:space="preserve">French early photographic experiments</x:t>
  </x:si>
  <x:si>
    <x:t xml:space="preserve">Bayard's staged self-portrait and later history</x:t>
  </x:si>
  <x:si>
    <x:t xml:space="preserve">Можно использовать как сюжет о несправедливости истории и «забытых изобретателях».</x:t>
  </x:si>
  <x:si>
    <x:t xml:space="preserve">Пунктирная ветка от Парижа, уходящая в сторону.</x:t>
  </x:si>
  <x:si>
    <x:t xml:space="preserve">#Bayard #direct-positive #забытые</x:t>
  </x:si>
  <x:si>
    <x:t xml:space="preserve">Найти лучший источник именно по процессу Байяра, не только биографию Getty.</x:t>
  </x:si>
  <x:si>
    <x:t xml:space="preserve">PL-HIST-0028</x:t>
  </x:si>
  <x:si>
    <x:t xml:space="preserve">1838</x:t>
  </x:si>
  <x:si>
    <x:t xml:space="preserve">Чарльз Уитстон</x:t>
  </x:si>
  <x:si>
    <x:t xml:space="preserve">Представляет стереоскоп и демонстрирует принцип бинокулярного зрения.</x:t>
  </x:si>
  <x:si>
    <x:t xml:space="preserve">Stereoscope</x:t>
  </x:si>
  <x:si>
    <x:t xml:space="preserve">Пока ещё не фотографическая технология, но позже стереофотография станет массовой формой визуального опыта.</x:t>
  </x:si>
  <x:si>
    <x:t xml:space="preserve">Optics of vision</x:t>
  </x:si>
  <x:si>
    <x:t xml:space="preserve">Photographic stereographs in the 1850s</x:t>
  </x:si>
  <x:si>
    <x:t xml:space="preserve">SRC-024</x:t>
  </x:si>
  <x:si>
    <x:t xml:space="preserve">Royal Society / Google Arts &amp; Culture — Stereoscopy</x:t>
  </x:si>
  <x:si>
    <x:t xml:space="preserve">https://artsandculture.google.com/story/stereoscopy-the-birth-of-3d-technology-the-royal-society/pwWRTNS-hqDN5g</x:t>
  </x:si>
  <x:si>
    <x:t xml:space="preserve">Этот узел лучше оставить для будущего раздела о 3D/стереофотографии.</x:t>
  </x:si>
  <x:si>
    <x:t xml:space="preserve">Иконка двух глаз / двух изображений.</x:t>
  </x:si>
  <x:si>
    <x:t xml:space="preserve">#стереоскоп #Wheatstone #3D</x:t>
  </x:si>
  <x:si>
    <x:t xml:space="preserve">Оптические инструменты / 3D</x:t>
  </x:si>
  <x:si>
    <x:t xml:space="preserve">PL-HIST-0029</x:t>
  </x:si>
  <x:si>
    <x:t xml:space="preserve">1840</x:t>
  </x:si>
  <x:si>
    <x:t xml:space="preserve">Обнаруживает латентное изображение и проявление галловой кислотой: секунды экспозиции дают скрытый след, который можно проявить.</x:t>
  </x:si>
  <x:si>
    <x:t xml:space="preserve">Latent image development</x:t>
  </x:si>
  <x:si>
    <x:t xml:space="preserve">Это резко ускоряет бумажную фотографию: теперь не нужно ждать видимого потемнения во время экспозиции.</x:t>
  </x:si>
  <x:si>
    <x:t xml:space="preserve">Photogenic drawing and camera negatives</x:t>
  </x:si>
  <x:si>
    <x:t xml:space="preserve">Для новичка: фотография научилась работать со скрытым изображением.</x:t>
  </x:si>
  <x:si>
    <x:t xml:space="preserve">Схема: невидимый след → проявитель → появляется картинка.</x:t>
  </x:si>
  <x:si>
    <x:t xml:space="preserve">#latent-image #Talbot #PL004</x:t>
  </x:si>
  <x:si>
    <x:t xml:space="preserve">Негатив-позитив / проявление</x:t>
  </x:si>
  <x:si>
    <x:t xml:space="preserve">PL-HIST-0030</x:t>
  </x:si>
  <x:si>
    <x:t xml:space="preserve">США</x:t>
  </x:si>
  <x:si>
    <x:t xml:space="preserve">Нью-Йорк</x:t>
  </x:si>
  <x:si>
    <x:t xml:space="preserve">Джон Уильям Дрейпер</x:t>
  </x:si>
  <x:si>
    <x:t xml:space="preserve">Делает ранние научные дагеротипы, включая одну из первых фотографий Луны.</x:t>
  </x:si>
  <x:si>
    <x:t xml:space="preserve">Daguerreotype for astronomy</x:t>
  </x:si>
  <x:si>
    <x:t xml:space="preserve">Фотография быстро выходит за пределы портрета и становится научным инструментом.</x:t>
  </x:si>
  <x:si>
    <x:t xml:space="preserve">Daguerreotype public disclosure</x:t>
  </x:si>
  <x:si>
    <x:t xml:space="preserve">Astronomical and scientific photography</x:t>
  </x:si>
  <x:si>
    <x:t xml:space="preserve">Будущий узел для урока о научной фотографии.</x:t>
  </x:si>
  <x:si>
    <x:t xml:space="preserve">Линия Париж → Нью-Йорк + Луна.</x:t>
  </x:si>
  <x:si>
    <x:t xml:space="preserve">#Draper #астрономия #научнаяфотография</x:t>
  </x:si>
  <x:si>
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</x:si>
  <x:si>
    <x:t xml:space="preserve">40.7128, -74.006</x:t>
  </x:si>
  <x:si>
    <x:t xml:space="preserve">Научная фотография</x:t>
  </x:si>
  <x:si>
    <x:t xml:space="preserve">PL-HIST-0031</x:t>
  </x:si>
  <x:si>
    <x:t xml:space="preserve">1841</x:t>
  </x:si>
  <x:si>
    <x:t xml:space="preserve">Лондон / Лэкок-Эбби</x:t>
  </x:si>
  <x:si>
    <x:t xml:space="preserve">Патентует калотип: усовершенствованный негативно-позитивный процесс на бумаге.</x:t>
  </x:si>
  <x:si>
    <x:t xml:space="preserve">Calotype / Talbotype</x:t>
  </x:si>
  <x:si>
    <x:t xml:space="preserve">Появляется фундаментальная логика фотографии: один негатив может дать много позитивных отпечатков.</x:t>
  </x:si>
  <x:si>
    <x:t xml:space="preserve">Latent image development 1840</x:t>
  </x:si>
  <x:si>
    <x:t xml:space="preserve">Salted paper prints and The Pencil of Nature</x:t>
  </x:si>
  <x:si>
    <x:t xml:space="preserve">SRC-015</x:t>
  </x:si>
  <x:si>
    <x:t xml:space="preserve">Library of Congress — Calotype and Daguerreotype</x:t>
  </x:si>
  <x:si>
    <x:t xml:space="preserve">https://blogs.loc.gov/teachers/2018/09/pre-civil-war-photographic-technologies-the-calotype-and-daguerreotype/</x:t>
  </x:si>
  <x:si>
    <x:t xml:space="preserve">Ключевой тезис PL-004: калотип менее резкий, чем дагеротип, но его идея победила.</x:t>
  </x:si>
  <x:si>
    <x:t xml:space="preserve">Разветвление: один негатив → несколько отпечатков.</x:t>
  </x:si>
  <x:si>
    <x:t xml:space="preserve">#calotype #Talbot #negative-positive #PL004</x:t>
  </x:si>
  <x:si>
    <x:t xml:space="preserve">PL-HIST-0032</x:t>
  </x:si>
  <x:si>
    <x:t xml:space="preserve">Солёная бумажная печать становится практическим позитивом с бумажного негатива.</x:t>
  </x:si>
  <x:si>
    <x:t xml:space="preserve">Salted paper print</x:t>
  </x:si>
  <x:si>
    <x:t xml:space="preserve">Фотография становится печатной системой: негатив и позитив начинают работать вместе.</x:t>
  </x:si>
  <x:si>
    <x:t xml:space="preserve">Calotype negative</x:t>
  </x:si>
  <x:si>
    <x:t xml:space="preserve">Pencil of Nature and albumen print</x:t>
  </x:si>
  <x:si>
    <x:t xml:space="preserve">SRC-020</x:t>
  </x:si>
  <x:si>
    <x:t xml:space="preserve">V&amp;A — Photography Processes and Techniques</x:t>
  </x:si>
  <x:si>
    <x:t xml:space="preserve">https://www.vam.ac.uk/info/collection-selection-boxes-photography-processes-and-techniques</x:t>
  </x:si>
  <x:si>
    <x:t xml:space="preserve">Для схемы: калотип — это не только негатив, но и контактная печать.</x:t>
  </x:si>
  <x:si>
    <x:t xml:space="preserve">Контактная рамка: негатив лежит на бумаге под стеклом.</x:t>
  </x:si>
  <x:si>
    <x:t xml:space="preserve">#salted-paper #print #Talbot</x:t>
  </x:si>
  <x:si>
    <x:t xml:space="preserve">PL-HIST-0033</x:t>
  </x:si>
  <x:si>
    <x:t xml:space="preserve">1842</x:t>
  </x:si>
  <x:si>
    <x:t xml:space="preserve">Изобретает цианотипию — железо-солевой процесс, дающий синий отпечаток.</x:t>
  </x:si>
  <x:si>
    <x:t xml:space="preserve">Cyanotype</x:t>
  </x:si>
  <x:si>
    <x:t xml:space="preserve">Показывает, что фотография не обязана быть только серебряной; появляется альтернативная печать и будущие blueprint-процессы.</x:t>
  </x:si>
  <x:si>
    <x:t xml:space="preserve">Herschel's photochemistry</x:t>
  </x:si>
  <x:si>
    <x:t xml:space="preserve">Anna Atkins's photographic book</x:t>
  </x:si>
  <x:si>
    <x:t xml:space="preserve">Переходная технология / художественное возрождение</x:t>
  </x:si>
  <x:si>
    <x:t xml:space="preserve">SRC-018</x:t>
  </x:si>
  <x:si>
    <x:t xml:space="preserve">HNOC — Cyanotype Process</x:t>
  </x:si>
  <x:si>
    <x:t xml:space="preserve">https://hnoc.org/virtual-exhibitions/from_daguerreotype_to_digital/cyanotype-process</x:t>
  </x:si>
  <x:si>
    <x:t xml:space="preserve">Цианотипия идеальна для практического урока: простой, зрелищный процесс.</x:t>
  </x:si>
  <x:si>
    <x:t xml:space="preserve">Синяя ветка на карте.</x:t>
  </x:si>
  <x:si>
    <x:t xml:space="preserve">#cyanotype #Herschel #альтернативныйпроцесс</x:t>
  </x:si>
  <x:si>
    <x:t xml:space="preserve">Ветка нормализована к 13 значениям v0.2 — узел межжанровый, решение неоднозначное (см. Подветка).</x:t>
  </x:si>
  <x:si>
    <x:t xml:space="preserve">Цианотипия</x:t>
  </x:si>
  <x:si>
    <x:t xml:space="preserve">PL-HIST-0034</x:t>
  </x:si>
  <x:si>
    <x:t xml:space="preserve">1843</x:t>
  </x:si>
  <x:si>
    <x:t xml:space="preserve">Кент</x:t>
  </x:si>
  <x:si>
    <x:t xml:space="preserve">Анна Аткинс</x:t>
  </x:si>
  <x:si>
    <x:t xml:space="preserve">Начинает выпуск «Photographs of British Algae: Cyanotype Impressions» — первой книги, напечатанной и иллюстрированной фотографией.</x:t>
  </x:si>
  <x:si>
    <x:t xml:space="preserve">Cyanotype photobook</x:t>
  </x:si>
  <x:si>
    <x:t xml:space="preserve">Фотография становится способом научной публикации, а не только экспериментом или портретом.</x:t>
  </x:si>
  <x:si>
    <x:t xml:space="preserve">Cyanotype 1842</x:t>
  </x:si>
  <x:si>
    <x:t xml:space="preserve">Scientific and documentary photography</x:t>
  </x:si>
  <x:si>
    <x:t xml:space="preserve">SRC-019</x:t>
  </x:si>
  <x:si>
    <x:t xml:space="preserve">Natural History Museum — Anna Atkins's cyanotypes</x:t>
  </x:si>
  <x:si>
    <x:t xml:space="preserve">https://www.nhm.ac.uk/discover/anna-atkins-cyanotypes-the-first-book-of-photographs.html</x:t>
  </x:si>
  <x:si>
    <x:t xml:space="preserve">Очень важный узел: женщина-фотограф, наука, книга и фотография как документ.</x:t>
  </x:si>
  <x:si>
    <x:t xml:space="preserve">Иконка синей книги с водорослью.</x:t>
  </x:si>
  <x:si>
    <x:t xml:space="preserve">#AnnaAtkins #cyanotype #photobook</x:t>
  </x:si>
  <x:si>
    <x:t xml:space="preserve">51.2787, 0.5217</x:t>
  </x:si>
  <x:si>
    <x:t xml:space="preserve">Фотокнига / научная документация</x:t>
  </x:si>
  <x:si>
    <x:t xml:space="preserve">PL-HIST-0035</x:t>
  </x:si>
  <x:si>
    <x:t xml:space="preserve">1844</x:t>
  </x:si>
  <x:si>
    <x:t xml:space="preserve">Начинает публикацию «The Pencil of Nature» — первой коммерчески изданной книги с фотографическими отпечатками.</x:t>
  </x:si>
  <x:si>
    <x:t xml:space="preserve">Salted paper prints from calotype negatives</x:t>
  </x:si>
  <x:si>
    <x:t xml:space="preserve">Фотография входит в книгу как новый способ иллюстрации и доказательства.</x:t>
  </x:si>
  <x:si>
    <x:t xml:space="preserve">Calotype and salted paper print</x:t>
  </x:si>
  <x:si>
    <x:t xml:space="preserve">Photographic publishing</x:t>
  </x:si>
  <x:si>
    <x:t xml:space="preserve">Сильный мост к бренду PHOTO LAB: фотография становится не только снимком, но и системой распространения знания.</x:t>
  </x:si>
  <x:si>
    <x:t xml:space="preserve">Книга, из которой выходят маленькие отпечатки.</x:t>
  </x:si>
  <x:si>
    <x:t xml:space="preserve">#PencilOfNature #Talbot #книга #PL004</x:t>
  </x:si>
  <x:si>
    <x:t xml:space="preserve">Фотокнига / тиражирование</x:t>
  </x:si>
  <x:si>
    <x:t xml:space="preserve">PL-HIST-0036</x:t>
  </x:si>
  <x:si>
    <x:t xml:space="preserve">1847</x:t>
  </x:si>
  <x:si>
    <x:t xml:space="preserve">Бостон</x:t>
  </x:si>
  <x:si>
    <x:t xml:space="preserve">Southworth &amp; Hawes</x:t>
  </x:si>
  <x:si>
    <x:t xml:space="preserve">Создают дагеротипы медицинских операций с эфирной анестезией в Massachusetts General Hospital.</x:t>
  </x:si>
  <x:si>
    <x:t xml:space="preserve">Daguerreotype documentation</x:t>
  </x:si>
  <x:si>
    <x:t xml:space="preserve">Фотография быстро становится инструментом медицинского и научного свидетельства.</x:t>
  </x:si>
  <x:si>
    <x:t xml:space="preserve">Daguerreotype portrait/studio practice</x:t>
  </x:si>
  <x:si>
    <x:t xml:space="preserve">Documentary and medical photography</x:t>
  </x:si>
  <x:si>
    <x:t xml:space="preserve">Этот узел можно оставить для будущего урока о документальности фотографии.</x:t>
  </x:si>
  <x:si>
    <x:t xml:space="preserve">Иконка больницы/операционной + дагеротип.</x:t>
  </x:si>
  <x:si>
    <x:t xml:space="preserve">#medical-photography #daguerreotype #Boston</x:t>
  </x:si>
  <x:si>
    <x:t xml:space="preserve">42.3601, -71.0589</x:t>
  </x:si>
  <x:si>
    <x:t xml:space="preserve">Научная / медицинская фотография</x:t>
  </x:si>
  <x:si>
    <x:t xml:space="preserve">PL-HIST-0037</x:t>
  </x:si>
  <x:si>
    <x:t xml:space="preserve">Лилль / Париж</x:t>
  </x:si>
  <x:si>
    <x:t xml:space="preserve">Луи-Дезире Бланкар-Эврар</x:t>
  </x:si>
  <x:si>
    <x:t xml:space="preserve">Развивает и публикует улучшения бумажных негативно-позитивных процессов во Франции.</x:t>
  </x:si>
  <x:si>
    <x:t xml:space="preserve">Paper negative-positive process</x:t>
  </x:si>
  <x:si>
    <x:t xml:space="preserve">Французская фотография получает не только дагеротипическую, но и бумажную тиражируемую ветку.</x:t>
  </x:si>
  <x:si>
    <x:t xml:space="preserve">Talbot calotype influence</x:t>
  </x:si>
  <x:si>
    <x:t xml:space="preserve">Albumen paper 1850</x:t>
  </x:si>
  <x:si>
    <x:t xml:space="preserve">Пока источник не идеален; оставить как узел на доработку.</x:t>
  </x:si>
  <x:si>
    <x:t xml:space="preserve">Франция получает ответвление бумажной печати.</x:t>
  </x:si>
  <x:si>
    <x:t xml:space="preserve">#BlanquartEvrard #France #paper-process</x:t>
  </x:si>
  <x:si>
    <x:t xml:space="preserve">Найти лучший источник по 1847 публикации Бланкара-Эврара.</x:t>
  </x:si>
  <x:si>
    <x:t xml:space="preserve">50.6292, 3.0573</x:t>
  </x:si>
  <x:si>
    <x:t xml:space="preserve">PL-HIST-0038</x:t>
  </x:si>
  <x:si>
    <x:t xml:space="preserve">1848</x:t>
  </x:si>
  <x:si>
    <x:t xml:space="preserve">Эдмон Беккерель</x:t>
  </x:si>
  <x:si>
    <x:t xml:space="preserve">Создаёт ранний цветной фотографический процесс на основе серебряно-хлоридного слоя.</x:t>
  </x:si>
  <x:si>
    <x:t xml:space="preserve">Early colour photography / photochromatic images</x:t>
  </x:si>
  <x:si>
    <x:t xml:space="preserve">Цвет возникает очень рано, но эта ветка пока не становится практичной массовой фотографией.</x:t>
  </x:si>
  <x:si>
    <x:t xml:space="preserve">Silver-based photochemistry</x:t>
  </x:si>
  <x:si>
    <x:t xml:space="preserve">Autochrome and later colour processes</x:t>
  </x:si>
  <x:si>
    <x:t xml:space="preserve">SRC-025</x:t>
  </x:si>
  <x:si>
    <x:t xml:space="preserve">Getty Conservation Institute — Atlas: Salt Print PDF</x:t>
  </x:si>
  <x:si>
    <x:t xml:space="preserve">https://www.getty.edu/conservation/publications_resources/pdf_publications/pdf/atlas_saltprint.pdf</x:t>
  </x:si>
  <x:si>
    <x:t xml:space="preserve">На карте: цвет появился рано, но не сразу стал удобным.</x:t>
  </x:si>
  <x:si>
    <x:t xml:space="preserve">Пунктирная цветная ветка от серебряной химии.</x:t>
  </x:si>
  <x:si>
    <x:t xml:space="preserve">#color #Becquerel #раннийцвет</x:t>
  </x:si>
  <x:si>
    <x:t xml:space="preserve">Лучше заменить на специализированный музейный источник по Becquerel.</x:t>
  </x:si>
  <x:si>
    <x:t xml:space="preserve">PL-HIST-0039</x:t>
  </x:si>
  <x:si>
    <x:t xml:space="preserve">Филадельфия</x:t>
  </x:si>
  <x:si>
    <x:t xml:space="preserve">Братья Лангенхайм</x:t>
  </x:si>
  <x:si>
    <x:t xml:space="preserve">Вводят первые фотографические фонарные слайды.</x:t>
  </x:si>
  <x:si>
    <x:t xml:space="preserve">Photographic lantern slide</x:t>
  </x:si>
  <x:si>
    <x:t xml:space="preserve">Фотография становится не только отпечатком, но и изображением для публичного показа и обучения.</x:t>
  </x:si>
  <x:si>
    <x:t xml:space="preserve">Daguerreotype and glass support experimentation</x:t>
  </x:si>
  <x:si>
    <x:t xml:space="preserve">Educational projection and slide culture</x:t>
  </x:si>
  <x:si>
    <x:t xml:space="preserve">Хороший узел для темы распространения изображений до кино и презентаций.</x:t>
  </x:si>
  <x:si>
    <x:t xml:space="preserve">Фонарный проектор + экран.</x:t>
  </x:si>
  <x:si>
    <x:t xml:space="preserve">#lantern-slide #projection #Langenheim</x:t>
  </x:si>
  <x:si>
    <x:t xml:space="preserve">39.9526, -75.1652</x:t>
  </x:si>
  <x:si>
    <x:t xml:space="preserve">PL-HIST-0040</x:t>
  </x:si>
  <x:si>
    <x:t xml:space="preserve">1850</x:t>
  </x:si>
  <x:si>
    <x:t xml:space="preserve">Лилль</x:t>
  </x:si>
  <x:si>
    <x:t xml:space="preserve">Изобретает альбуминовую печать, которая станет ведущим типом фотопечати XIX века.</x:t>
  </x:si>
  <x:si>
    <x:t xml:space="preserve">Albumen print</x:t>
  </x:si>
  <x:si>
    <x:t xml:space="preserve">Печать становится более детальной, тональной и удобной для массовой фотографии XIX века.</x:t>
  </x:si>
  <x:si>
    <x:t xml:space="preserve">Wet collodion negative + albumen print dominance</x:t>
  </x:si>
  <x:si>
    <x:t xml:space="preserve">Важный мост к мокрому коллодию: резкий стеклянный негатив + альбуминовая бумага = визуальный язык XIX века.</x:t>
  </x:si>
  <x:si>
    <x:t xml:space="preserve">Яичный белок/лист бумаги + стеклянный негатив.</x:t>
  </x:si>
  <x:si>
    <x:t xml:space="preserve">#albumen #print #BlanquartEvrard</x:t>
  </x:si>
  <x:si>
    <x:t xml:space="preserve">PL-HIST-0041</x:t>
  </x:si>
  <x:si>
    <x:t xml:space="preserve">1851</x:t>
  </x:si>
  <x:si>
    <x:t xml:space="preserve">Фредерик Скотт Арчер</x:t>
  </x:si>
  <x:si>
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</x:si>
  <x:si>
    <x:t xml:space="preserve">Wet collodion glass negative</x:t>
  </x:si>
  <x:si>
    <x:t xml:space="preserve">Соединяет резкость стеклянного носителя и тиражируемость негативно-позитивной системы.</x:t>
  </x:si>
  <x:si>
    <x:t xml:space="preserve">Daguerreotype sharpness + calotype reproducibility problem</x:t>
  </x:si>
  <x:si>
    <x:t xml:space="preserve">Albumen prints, ambrotypes, tintypes, documentary photography</x:t>
  </x:si>
  <x:si>
    <x:t xml:space="preserve">Главная линия / временная доминирующая линия</x:t>
  </x:si>
  <x:si>
    <x:t xml:space="preserve">SRC-021</x:t>
  </x:si>
  <x:si>
    <x:t xml:space="preserve">National Science and Media Museum — Frederick Scott Archer</x:t>
  </x:si>
  <x:si>
    <x:t xml:space="preserve">https://blog.scienceandmediamuseum.org.uk/photography-a-z-frederick-scott-archer-wet-collodion-process/</x:t>
  </x:si>
  <x:si>
    <x:t xml:space="preserve">Ключ PL-005: резкость дагеротипа и тираж калотипа наконец встретились.</x:t>
  </x:si>
  <x:si>
    <x:t xml:space="preserve">Главный узел: стеклянная влажная пластина + таймер 15 минут.</x:t>
  </x:si>
  <x:si>
    <x:t xml:space="preserve">#wet-collodion #Archer #PL005</x:t>
  </x:si>
  <x:si>
    <x:t xml:space="preserve">PL-HIST-0042</x:t>
  </x:si>
  <x:si>
    <x:t xml:space="preserve">1851–1880-е</x:t>
  </x:si>
  <x:si>
    <x:t xml:space="preserve">Великобритания / глобально</x:t>
  </x:si>
  <x:si>
    <x:t xml:space="preserve">Лондон → Европа / Америка</x:t>
  </x:si>
  <x:si>
    <x:t xml:space="preserve">Фотографы мокрого коллодия</x:t>
  </x:si>
  <x:si>
    <x:t xml:space="preserve">Мокрый коллодий становится доминирующим процессом на несколько десятилетий.</x:t>
  </x:si>
  <x:si>
    <x:t xml:space="preserve">Wet collodion negative</x:t>
  </x:si>
  <x:si>
    <x:t xml:space="preserve">Фотография становится более резкой, воспроизводимой и пригодной для документальных задач, но требует мобильной лаборатории.</x:t>
  </x:si>
  <x:si>
    <x:t xml:space="preserve">Archer's publication</x:t>
  </x:si>
  <x:si>
    <x:t xml:space="preserve">Dry plates replace wet collodion later</x:t>
  </x:si>
  <x:si>
    <x:t xml:space="preserve">Важно: это не тупик сразу; это главный мост середины XIX века.</x:t>
  </x:si>
  <x:si>
    <x:t xml:space="preserve">Широкие линии от Лондона по Европе и Америке.</x:t>
  </x:si>
  <x:si>
    <x:t xml:space="preserve">#wet-collodion #dominant-process #PL005</x:t>
  </x:si>
  <x:si>
    <x:t xml:space="preserve">Мокрый коллодий / распространение</x:t>
  </x:si>
  <x:si>
    <x:t xml:space="preserve">PL-HIST-0043</x:t>
  </x:si>
  <x:si>
    <x:t xml:space="preserve">Показывает практическую формулу мокрого коллодия: коллодий + йодид калия + нитрат серебра + немедленное проявление/фиксаж.</x:t>
  </x:si>
  <x:si>
    <x:t xml:space="preserve">Collodion + silver nitrate</x:t>
  </x:si>
  <x:si>
    <x:t xml:space="preserve">Процесс требует скорости и дисциплины: пластину надо подготовить, снять и проявить пока она влажная.</x:t>
  </x:si>
  <x:si>
    <x:t xml:space="preserve">Photographic chemistry and glass supports</x:t>
  </x:si>
  <x:si>
    <x:t xml:space="preserve">Portable darkrooms and field photography</x:t>
  </x:si>
  <x:si>
    <x:t xml:space="preserve">Для урока: здесь появляется драматургия «15 минут, пока пластина влажная».</x:t>
  </x:si>
  <x:si>
    <x:t xml:space="preserve">Схема-алгоритм из 5 шагов вокруг стеклянной пластины.</x:t>
  </x:si>
  <x:si>
    <x:t xml:space="preserve">#химия #коллодий #стекло #PL005</x:t>
  </x:si>
  <x:si>
    <x:t xml:space="preserve">Мокрый коллодий / химия</x:t>
  </x:si>
  <x:si>
    <x:t xml:space="preserve">PL-HIST-0044</x:t>
  </x:si>
  <x:si>
    <x:t xml:space="preserve">1853</x:t>
  </x:si>
  <x:si>
    <x:t xml:space="preserve">Демонстрирует складную коллодионную камеру, совмещённую с мини-тёмной комнатой.</x:t>
  </x:si>
  <x:si>
    <x:t xml:space="preserve">Folding collodion camera / portable darkroom</x:t>
  </x:si>
  <x:si>
    <x:t xml:space="preserve">Техническая проблема процесса решается конструкцией: фотографу нужно работать с пластиной на месте.</x:t>
  </x:si>
  <x:si>
    <x:t xml:space="preserve">Wet collodion process 1851</x:t>
  </x:si>
  <x:si>
    <x:t xml:space="preserve">Field photography and mobile darkrooms</x:t>
  </x:si>
  <x:si>
    <x:t xml:space="preserve">Хороший визуальный сюжет: камера как чемодан-лаборатория.</x:t>
  </x:si>
  <x:si>
    <x:t xml:space="preserve">Иконка камеры с рукавами и стеклянной пластиной внутри.</x:t>
  </x:si>
  <x:si>
    <x:t xml:space="preserve">#Archer #collodion-camera #PL005</x:t>
  </x:si>
  <x:si>
    <x:t xml:space="preserve">Мокрый коллодий / камера</x:t>
  </x:si>
  <x:si>
    <x:t xml:space="preserve">PL-HIST-0045</x:t>
  </x:si>
  <x:si>
    <x:t xml:space="preserve">ок. 1853</x:t>
  </x:si>
  <x:si>
    <x:t xml:space="preserve">Великобритания / США</x:t>
  </x:si>
  <x:si>
    <x:t xml:space="preserve">Лондон / Бостон</x:t>
  </x:si>
  <x:si>
    <x:t xml:space="preserve">Фотографы коллодионного процесса</x:t>
  </x:si>
  <x:si>
    <x:t xml:space="preserve">Появляется коллодионный позитив на стекле, позже известный как амбротип.</x:t>
  </x:si>
  <x:si>
    <x:t xml:space="preserve">Ambrotype / collodion positive</x:t>
  </x:si>
  <x:si>
    <x:t xml:space="preserve">Мокрый коллодий даёт не только негативы для печати, но и дешёвые уникальные портреты.</x:t>
  </x:si>
  <x:si>
    <x:t xml:space="preserve">Wet collodion process</x:t>
  </x:si>
  <x:si>
    <x:t xml:space="preserve">Cutting patent 1854 and tintype</x:t>
  </x:si>
  <x:si>
    <x:t xml:space="preserve">SRC-022</x:t>
  </x:si>
  <x:si>
    <x:t xml:space="preserve">Library of Congress — Ambrotypes and Tintypes</x:t>
  </x:si>
  <x:si>
    <x:t xml:space="preserve">https://www.loc.gov/collections/liljenquist-civil-war-photographs/articles-and-essays/ambrotypes-and-tintypes/</x:t>
  </x:si>
  <x:si>
    <x:t xml:space="preserve">В PL-005 можно сказать: один процесс породил сразу несколько форм — негатив, амбротип, тинтайп.</x:t>
  </x:si>
  <x:si>
    <x:t xml:space="preserve">От основной коллодионной ветки отходит стеклянный позитив.</x:t>
  </x:si>
  <x:si>
    <x:t xml:space="preserve">#ambrotype #collodion-positive #PL005</x:t>
  </x:si>
  <x:si>
    <x:t xml:space="preserve">Уникальный позитив / мокрый коллодий</x:t>
  </x:si>
  <x:si>
    <x:t xml:space="preserve">PL-HIST-0046</x:t>
  </x:si>
  <x:si>
    <x:t xml:space="preserve">1854</x:t>
  </x:si>
  <x:si>
    <x:t xml:space="preserve">Джеймс Амброуз Каттинг</x:t>
  </x:si>
  <x:si>
    <x:t xml:space="preserve">Патентует улучшения амбротипного процесса.</x:t>
  </x:si>
  <x:si>
    <x:t xml:space="preserve">Ambrotype</x:t>
  </x:si>
  <x:si>
    <x:t xml:space="preserve">Коллодионный позитив становится коммерческой портретной практикой, особенно в 1850–1860-х.</x:t>
  </x:si>
  <x:si>
    <x:t xml:space="preserve">Collodion positive around 1853</x:t>
  </x:si>
  <x:si>
    <x:t xml:space="preserve">Tintype and paper print competition</x:t>
  </x:si>
  <x:si>
    <x:t xml:space="preserve">Для карты: ветка не главная, но культурно важная — доступные портреты.</x:t>
  </x:si>
  <x:si>
    <x:t xml:space="preserve">Портрет на стекле с тёмной подложкой.</x:t>
  </x:si>
  <x:si>
    <x:t xml:space="preserve">#ambrotype #Cutting #portrait</x:t>
  </x:si>
  <x:si>
    <x:t xml:space="preserve">PL-HIST-0047</x:t>
  </x:si>
  <x:si>
    <x:t xml:space="preserve">1855–1881</x:t>
  </x:si>
  <x:si>
    <x:t xml:space="preserve">Европа / США</x:t>
  </x:si>
  <x:si>
    <x:t xml:space="preserve">Студии и полевые лаборатории</x:t>
  </x:si>
  <x:si>
    <x:t xml:space="preserve">Мокрый коллодионный негатив + альбуминовая печать формируют классический визуальный язык середины XIX века.</x:t>
  </x:si>
  <x:si>
    <x:t xml:space="preserve">Wet collodion negative + albumen print</x:t>
  </x:si>
  <x:si>
    <x:t xml:space="preserve">Появляется связка: резкий стеклянный негатив даёт детальные бумажные отпечатки.</x:t>
  </x:si>
  <x:si>
    <x:t xml:space="preserve">Albumen print 1850 + wet collodion 1851</x:t>
  </x:si>
  <x:si>
    <x:t xml:space="preserve">Dry plate and gelatin processes later</x:t>
  </x:si>
  <x:si>
    <x:t xml:space="preserve">Это финальная формула PL-005: не один процесс, а связка негатив + печать.</x:t>
  </x:si>
  <x:si>
    <x:t xml:space="preserve">Двойной узел: стеклянная пластина → альбуминовый отпечаток.</x:t>
  </x:si>
  <x:si>
    <x:t xml:space="preserve">#wet-collodion #albumen #print #PL005</x:t>
  </x:si>
  <x:si>
    <x:t xml:space="preserve">Мокрый коллодий + печать</x:t>
  </x:si>
  <x:si>
    <x:t xml:space="preserve">PL-HIST-0048</x:t>
  </x:si>
  <x:si>
    <x:t xml:space="preserve">1856</x:t>
  </x:si>
  <x:si>
    <x:t xml:space="preserve">США / Великобритания</x:t>
  </x:si>
  <x:si>
    <x:t xml:space="preserve">Hamilton Smith / William Kloen / другие</x:t>
  </x:si>
  <x:si>
    <x:t xml:space="preserve">Тинтайп/ферротип закрепляется как дешёвый прямой позитив на лакированном металле, связанный с мокрым коллодием.</x:t>
  </x:si>
  <x:si>
    <x:t xml:space="preserve">Tintype / ferrotype</x:t>
  </x:si>
  <x:si>
    <x:t xml:space="preserve">Фотография становится более дешёвой, прочной и мобильной для массового портрета.</x:t>
  </x:si>
  <x:si>
    <x:t xml:space="preserve">Ambrotype and wet collodion</x:t>
  </x:si>
  <x:si>
    <x:t xml:space="preserve">Civil War era portraiture and itinerant photography</x:t>
  </x:si>
  <x:si>
    <x:t xml:space="preserve">Исторически важная ограниченная ветка / художественное возрождение</x:t>
  </x:si>
  <x:si>
    <x:t xml:space="preserve">Это ветка массового портрета: не главная линия к плёнке, но важная социально.</x:t>
  </x:si>
  <x:si>
    <x:t xml:space="preserve">Металлическая пластинка-портрет, ярмарка/палатка.</x:t>
  </x:si>
  <x:si>
    <x:t xml:space="preserve">#tintype #ferrotype #collodion #portrait</x:t>
  </x:si>
  <x:si>
    <x:t xml:space="preserve">Уточнить авторство/патенты 1856 по отдельным источникам.</x:t>
  </x:si>
  <x:si>
    <x:t xml:space="preserve">Уникальный позитив / массовый портрет</x:t>
  </x:si>
  <x:si>
    <x:t xml:space="preserve">Ветка</x:t>
  </x:si>
  <x:si>
    <x:t xml:space="preserve">Что включает</x:t>
  </x:si>
  <x:si>
    <x:t xml:space="preserve">Для каких уроков</x:t>
  </x:si>
  <x:si>
    <x:t xml:space="preserve">Визуальный цвет/код</x:t>
  </x:si>
  <x:si>
    <x:t xml:space="preserve">свет, тёмная комната, pinhole, линзы</x:t>
  </x:si>
  <x:si>
    <x:t xml:space="preserve">синий</x:t>
  </x:si>
  <x:si>
    <x:t xml:space="preserve">Это предпосылка фотографии, не сама фотография.</x:t>
  </x:si>
  <x:si>
    <x:t xml:space="preserve">camera lucida, stereoscope, portable camera obscura</x:t>
  </x:si>
  <x:si>
    <x:t xml:space="preserve">PL-001 / будущие PL</x:t>
  </x:si>
  <x:si>
    <x:t xml:space="preserve">голубой</x:t>
  </x:si>
  <x:si>
    <x:t xml:space="preserve">Помогает объяснить, что люди стремились к точному изображению до химии.</x:t>
  </x:si>
  <x:si>
    <x:t xml:space="preserve">жёлтый</x:t>
  </x:si>
  <x:si>
    <x:t xml:space="preserve">Химическая половина рождения фотографии.</x:t>
  </x:si>
  <x:si>
    <x:t xml:space="preserve">Ньепс, битум, первое сохранившееся изображение</x:t>
  </x:si>
  <x:si>
    <x:t xml:space="preserve">золотой</x:t>
  </x:si>
  <x:si>
    <x:t xml:space="preserve">Путь к постоянному изображению.</x:t>
  </x:si>
  <x:si>
    <x:t xml:space="preserve">прямой позитив на серебряной пластине</x:t>
  </x:si>
  <x:si>
    <x:t xml:space="preserve">серебряный</x:t>
  </x:si>
  <x:si>
    <x:t xml:space="preserve">Резкость и публичный эффект, но уникальный экземпляр.</x:t>
  </x:si>
  <x:si>
    <x:t xml:space="preserve">контактные изображения объектов на бумаге</x:t>
  </x:si>
  <x:si>
    <x:t xml:space="preserve">зелёный</x:t>
  </x:si>
  <x:si>
    <x:t xml:space="preserve">Британская линия Тальбота.</x:t>
  </x:si>
  <x:si>
    <x:t xml:space="preserve">зелёный тёмный</x:t>
  </x:si>
  <x:si>
    <x:t xml:space="preserve">Главная идея, которая победила исторически.</x:t>
  </x:si>
  <x:si>
    <x:t xml:space="preserve">Herschel, hypo, terms photography/negative/positive</x:t>
  </x:si>
  <x:si>
    <x:t xml:space="preserve">фиолетовый</x:t>
  </x:si>
  <x:si>
    <x:t xml:space="preserve">Фотография нуждается в языке и стабильности.</x:t>
  </x:si>
  <x:si>
    <x:t xml:space="preserve">salted paper, albumen print, фотокнига</x:t>
  </x:si>
  <x:si>
    <x:t xml:space="preserve">PL-004 / будущие PL</x:t>
  </x:si>
  <x:si>
    <x:t xml:space="preserve">оранжевый</x:t>
  </x:si>
  <x:si>
    <x:t xml:space="preserve">Ветка распространения изображений.</x:t>
  </x:si>
  <x:si>
    <x:t xml:space="preserve">стеклянный негатив, коллодий, нитрат серебра</x:t>
  </x:si>
  <x:si>
    <x:t xml:space="preserve">красный</x:t>
  </x:si>
  <x:si>
    <x:t xml:space="preserve">Мост между резкостью и тиражом.</x:t>
  </x:si>
  <x:si>
    <x:t xml:space="preserve">Bayard, ambrotype, tintype, direct positive</x:t>
  </x:si>
  <x:si>
    <x:t xml:space="preserve">PL-003 / PL-005</x:t>
  </x:si>
  <x:si>
    <x:t xml:space="preserve">серый</x:t>
  </x:si>
  <x:si>
    <x:t xml:space="preserve">Важные, но технологически ограниченные ветки.</x:t>
  </x:si>
  <x:si>
    <x:t xml:space="preserve">ранние опыты, Becquerel, будущий Autochrome</x:t>
  </x:si>
  <x:si>
    <x:t xml:space="preserve">радужный</x:t>
  </x:si>
  <x:si>
    <x:t xml:space="preserve">В v0.1 только ранний ориентир.</x:t>
  </x:si>
  <x:si>
    <x:t xml:space="preserve">lantern slides, публичный показ</x:t>
  </x:si>
  <x:si>
    <x:t xml:space="preserve">бирюзовый</x:t>
  </x:si>
  <x:si>
    <x:t xml:space="preserve">Мост к обучению, лекциям, презентациям.</x:t>
  </x:si>
  <x:si>
    <x:t xml:space="preserve">Главная тема</x:t>
  </x:si>
  <x:si>
    <x:t xml:space="preserve">Исторические узлы</x:t>
  </x:si>
  <x:si>
    <x:t xml:space="preserve">Что должен понять новичок</x:t>
  </x:si>
  <x:si>
    <x:t xml:space="preserve">Статус</x:t>
  </x:si>
  <x:si>
    <x:t xml:space="preserve">Камера-обскура и оптика</x:t>
  </x:si>
  <x:si>
    <x:t xml:space="preserve">PL-HIST-0001…0008, 0013, 0028</x:t>
  </x:si>
  <x:si>
    <x:t xml:space="preserve">Свет умеет строить изображение, но ещё не сохраняет его.</x:t>
  </x:si>
  <x:si>
    <x:t xml:space="preserve">основа готова</x:t>
  </x:si>
  <x:si>
    <x:t xml:space="preserve">Ньепс и первая фиксация</x:t>
  </x:si>
  <x:si>
    <x:t xml:space="preserve">PL-HIST-0009…0016</x:t>
  </x:si>
  <x:si>
    <x:t xml:space="preserve">Недостаточно увидеть изображение — его нужно зафиксировать.</x:t>
  </x:si>
  <x:si>
    <x:t xml:space="preserve">PL-HIST-0017…0023, 0027</x:t>
  </x:si>
  <x:si>
    <x:t xml:space="preserve">Фотография стала публичной, резкой и убедительной, но изображение было уникальным.</x:t>
  </x:si>
  <x:si>
    <x:t xml:space="preserve">Тальбот, калотип, негатив-позитив</x:t>
  </x:si>
  <x:si>
    <x:t xml:space="preserve">PL-HIST-0019…0026, 0029…0035</x:t>
  </x:si>
  <x:si>
    <x:t xml:space="preserve">Идея копирования победила: один негатив может дать много отпечатков.</x:t>
  </x:si>
  <x:si>
    <x:t xml:space="preserve">PL-HIST-0041…0048</x:t>
  </x:si>
  <x:si>
    <x:t xml:space="preserve">Резкость дагеротипа и тираж калотипа встретились на стеклянной влажной пластине.</x:t>
  </x:si>
  <x:si>
    <x:t xml:space="preserve">Расширение после PL-006</x:t>
  </x:si>
  <x:si>
    <x:t xml:space="preserve">плёнка, цвет, Leica, Kodak, цифровая фотография, AI</x:t>
  </x:si>
  <x:si>
    <x:t xml:space="preserve">Фотография станет массовой, цветной, цифровой и вычислительной.</x:t>
  </x:si>
  <x:si>
    <x:t xml:space="preserve">планируется</x:t>
  </x:si>
  <x:si>
    <x:t xml:space="preserve">Название</x:t>
  </x:si>
  <x:si>
    <x:t xml:space="preserve">URL</x:t>
  </x:si>
  <x:si>
    <x:t xml:space="preserve">Используется для</x:t>
  </x:si>
  <x:si>
    <x:t xml:space="preserve">Примечание</x:t>
  </x:si>
  <x:si>
    <x:t xml:space="preserve">Ибн аль-Хайсам, камера-обскура, прямолинейное распространение света</x:t>
  </x:si>
  <x:si>
    <x:t xml:space="preserve">вводный источник</x:t>
  </x:si>
  <x:si>
    <x:t xml:space="preserve">Cardano, Della Porta, линза в камере-обскуре</x:t>
  </x:si>
  <x:si>
    <x:t xml:space="preserve">музейный образовательный источник</x:t>
  </x:si>
  <x:si>
    <x:t xml:space="preserve">Kepler, термин camera obscura, развитие оптических приборов</x:t>
  </x:si>
  <x:si>
    <x:t xml:space="preserve">академический PDF</x:t>
  </x:si>
  <x:si>
    <x:t xml:space="preserve">Johann Zahn, portable camera obscura</x:t>
  </x:si>
  <x:si>
    <x:t xml:space="preserve">источник по историческим изображениям</x:t>
  </x:si>
  <x:si>
    <x:t xml:space="preserve">Schulze, светочувствительность серебряных солей</x:t>
  </x:si>
  <x:si>
    <x:t xml:space="preserve">музейный источник</x:t>
  </x:si>
  <x:si>
    <x:t xml:space="preserve">Scheele, silver chloride, ammonia</x:t>
  </x:si>
  <x:si>
    <x:t xml:space="preserve">научно-исторический источник</x:t>
  </x:si>
  <x:si>
    <x:t xml:space="preserve">Wedgwood, silver nitrate, early camera obscura attempts</x:t>
  </x:si>
  <x:si>
    <x:t xml:space="preserve">Talbot, Wedgwood/Davy, photogenic drawing</x:t>
  </x:si>
  <x:si>
    <x:t xml:space="preserve">архивный/исследовательский источник</x:t>
  </x:si>
  <x:si>
    <x:t xml:space="preserve">Wollaston, Camera Lucida, 1806/1807</x:t>
  </x:si>
  <x:si>
    <x:t xml:space="preserve">музейная карточка предмета</x:t>
  </x:si>
  <x:si>
    <x:t xml:space="preserve">Niépce, View from the Window at Le Gras, heliography</x:t>
  </x:si>
  <x:si>
    <x:t xml:space="preserve">ключевой источник</x:t>
  </x:si>
  <x:si>
    <x:t xml:space="preserve">Niépce 1816, исчезающие negative images</x:t>
  </x:si>
  <x:si>
    <x:t xml:space="preserve">музей/юбилейный проект</x:t>
  </x:si>
  <x:si>
    <x:t xml:space="preserve">1826, 1839, Talbot, calotype, cyanotype, early medical photography, lantern slides</x:t>
  </x:si>
  <x:si>
    <x:t xml:space="preserve">университетская таймлайн-опора</x:t>
  </x:si>
  <x:si>
    <x:t xml:space="preserve">Daguerre, Académie des Sciences, 1839</x:t>
  </x:si>
  <x:si>
    <x:t xml:space="preserve">музейный эссе-источник</x:t>
  </x:si>
  <x:si>
    <x:t xml:space="preserve">SRC-014</x:t>
  </x:si>
  <x:si>
    <x:t xml:space="preserve">Library of Congress — Daguerreotype Medium</x:t>
  </x:si>
  <x:si>
    <x:t xml:space="preserve">https://www.loc.gov/collections/daguerreotypes/articles-and-essays/the-daguerreotype-medium</x:t>
  </x:si>
  <x:si>
    <x:t xml:space="preserve">daguerreotype as direct-positive process</x:t>
  </x:si>
  <x:si>
    <x:t xml:space="preserve">архивный источник</x:t>
  </x:si>
  <x:si>
    <x:t xml:space="preserve">calotype as first negative-positive process</x:t>
  </x:si>
  <x:si>
    <x:t xml:space="preserve">архивный образовательный источник</x:t>
  </x:si>
  <x:si>
    <x:t xml:space="preserve">Talbot, latent image, calotype, hypo, Pencil of Nature</x:t>
  </x:si>
  <x:si>
    <x:t xml:space="preserve">Herschel, terminology, cyanotype context</x:t>
  </x:si>
  <x:si>
    <x:t xml:space="preserve">музейная биография</x:t>
  </x:si>
  <x:si>
    <x:t xml:space="preserve">Herschel, cyanotype 1842</x:t>
  </x:si>
  <x:si>
    <x:t xml:space="preserve">Anna Atkins, Photographs of British Algae</x:t>
  </x:si>
  <x:si>
    <x:t xml:space="preserve">salt print, albumen print, wet collodion process</x:t>
  </x:si>
  <x:si>
    <x:t xml:space="preserve">Archer, wet collodion, 1851, process details</x:t>
  </x:si>
  <x:si>
    <x:t xml:space="preserve">музейный блог</x:t>
  </x:si>
  <x:si>
    <x:t xml:space="preserve">ambrotype, tintype, Cutting patent, 1854</x:t>
  </x:si>
  <x:si>
    <x:t xml:space="preserve">photogenic drawing 1834, calotype context</x:t>
  </x:si>
  <x:si>
    <x:t xml:space="preserve">Wheatstone, stereoscopy 1838</x:t>
  </x:si>
  <x:si>
    <x:t xml:space="preserve">общественно-научный источник</x:t>
  </x:si>
  <x:si>
    <x:t xml:space="preserve">salt print chemistry, Scheele, Wedgwood context</x:t>
  </x:si>
  <x:si>
    <x:t xml:space="preserve">технический PDF</x:t>
  </x:si>
  <x:si>
    <x:t xml:space="preserve">SRC-026</x:t>
  </x:si>
  <x:si>
    <x:t xml:space="preserve">V&amp;A — A to Z of photographic processes</x:t>
  </x:si>
  <x:si>
    <x:t xml:space="preserve">https://www.vam.ac.uk/articles/photographic-processes</x:t>
  </x:si>
  <x:si>
    <x:t xml:space="preserve">общий перечень процессов для последующих версий</x:t>
  </x:si>
  <x:si>
    <x:t xml:space="preserve">дополнительный справочник</x:t>
  </x:si>
  <x:si>
    <x:t xml:space="preserve">Важность</x:t>
  </x:si>
  <x:si>
    <x:t xml:space="preserve">Уверенность</x:t>
  </x:si>
</x:sst>
</file>

<file path=xl/styles.xml><?xml version="1.0" encoding="utf-8"?>
<x:styleSheet xmlns:x="http://schemas.openxmlformats.org/spreadsheetml/2006/main">
  <x:numFmts count="4">
    <x:numFmt numFmtId="42" formatCode="_-* #,##0\ &quot;₽&quot;_-;\-* #,##0\ &quot;₽&quot;_-;_-* &quot;-&quot;\ &quot;₽&quot;_-;_-@_-"/>
    <x:numFmt numFmtId="41" formatCode="_-* #,##0_-;\-* #,##0_-;_-* &quot;-&quot;_-;_-@_-"/>
    <x:numFmt numFmtId="44" formatCode="_-* #,##0.00\ &quot;₽&quot;_-;\-* #,##0.00\ &quot;₽&quot;_-;_-* &quot;-&quot;??\ &quot;₽&quot;_-;_-@_-"/>
    <x:numFmt numFmtId="43" formatCode="_-* #,##0.00_-;\-* #,##0.00_-;_-* &quot;-&quot;??_-;_-@_-"/>
  </x:numFmts>
  <x:fonts count="9">
    <x:font>
      <x:sz val="10"/>
      <x:name val="Arial"/>
    </x:font>
    <x:font>
      <x:sz val="10"/>
      <x:name val="Arial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  <x:fill>
      <x:patternFill patternType="solid">
        <x:fgColor rgb="FF111827"/>
      </x:patternFill>
    </x:fill>
  </x:fills>
  <x:borders count="2">
    <x:border/>
    <x:border/>
  </x:borders>
  <x:cellStyleXfs count="7">
    <x:xf numFmtId="0" fontId="0" fillId="0" borderId="0"/>
    <x:xf numFmtId="43" fontId="1" fillId="0" borderId="0" applyBorder="0" applyAlignment="0" applyProtection="0"/>
    <x:xf numFmtId="41" fontId="1" fillId="0" borderId="0" applyBorder="0" applyAlignment="0" applyProtection="0"/>
    <x:xf numFmtId="44" fontId="1" fillId="0" borderId="0" applyBorder="0" applyAlignment="0" applyProtection="0"/>
    <x:xf numFmtId="42" fontId="1" fillId="0" borderId="0" applyBorder="0" applyAlignment="0" applyProtection="0"/>
    <x:xf numFmtId="9" fontId="1" fillId="0" borderId="0" applyBorder="0" applyAlignment="0" applyProtection="0"/>
    <x:xf numFmtId="0" fontId="2" fillId="0" borderId="0"/>
  </x:cellStyleXfs>
  <x:cellXfs count="34">
    <x:xf numFmtId="0" fontId="0" fillId="0" borderId="0" xfId="0"/>
    <x:xf numFmtId="0" fontId="3" fillId="5" borderId="0" xfId="6" applyFont="1" applyFill="1" applyAlignment="1">
      <x:alignment horizontal="center" vertical="center" wrapText="1"/>
    </x:xf>
    <x:xf numFmtId="0" fontId="3" fillId="2" borderId="0" xfId="6" applyFont="1" applyFill="1" applyAlignment="1">
      <x:alignment horizontal="center" vertical="center" wrapText="1"/>
    </x:xf>
    <x:xf numFmtId="0" fontId="4" fillId="3" borderId="0" xfId="6" applyFont="1" applyFill="1" applyAlignment="1">
      <x:alignment horizontal="center" vertical="center" wrapText="1"/>
    </x:xf>
    <x:xf numFmtId="0" fontId="2" fillId="0" borderId="0" xfId="6" applyAlignment="1">
      <x:alignment vertical="top" wrapText="1"/>
    </x:xf>
    <x:xf numFmtId="0" fontId="5" fillId="0" borderId="0" xfId="6" applyFont="1" applyAlignment="1">
      <x:alignment horizontal="center" vertical="top" wrapText="1"/>
    </x:xf>
    <x:xf numFmtId="0" fontId="2" fillId="0" borderId="0" xfId="6" applyAlignment="1">
      <x:alignment wrapText="1"/>
    </x:xf>
    <x:xf numFmtId="0" fontId="6" fillId="0" borderId="0" xfId="6" applyFont="1" applyAlignment="1">
      <x:alignment vertical="top" wrapText="1"/>
    </x:xf>
    <x:xf numFmtId="0" fontId="6" fillId="0" borderId="0" xfId="6" applyFont="1" applyAlignment="1">
      <x:alignment horizontal="center" vertical="top" wrapText="1"/>
    </x:xf>
    <x:xf numFmtId="0" fontId="7" fillId="4" borderId="0" xfId="6" applyFont="1" applyFill="1" applyAlignment="1">
      <x:alignment vertical="top" wrapText="1"/>
    </x:xf>
    <x:xf numFmtId="0" fontId="4" fillId="5" borderId="0" xfId="6" applyFont="1" applyFill="1" applyAlignment="1">
      <x:alignment horizontal="center" vertical="center" wrapText="1"/>
    </x:xf>
    <x:xf numFmtId="0" fontId="8" fillId="5" borderId="0" xfId="6" applyFont="1" applyFill="1" applyAlignment="1">
      <x:alignment horizontal="center" vertical="center" wrapText="1"/>
    </x:xf>
    <x:xf numFmtId="0" fontId="0" fillId="0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2" fillId="0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horizontal="center" vertical="top" wrapText="1"/>
    </x:xf>
    <x:xf numFmtId="0" fontId="7" fillId="4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8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top" wrapText="1"/>
    </x:xf>
    <x:xf numFmtId="0" fontId="2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vertical="top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Normal" xfId="6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1e38d000fd4c15" /><Relationship Type="http://schemas.openxmlformats.org/officeDocument/2006/relationships/theme" Target="/xl/theme/theme1.xml" Id="R73c69837be7745e3" /><Relationship Type="http://schemas.openxmlformats.org/officeDocument/2006/relationships/sharedStrings" Target="/xl/sharedStrings.xml" Id="Re4f3248f10d74e69" /><Relationship Type="http://schemas.openxmlformats.org/officeDocument/2006/relationships/worksheet" Target="/xl/worksheets/sheet1.xml" Id="R9a0e8693d9f6405d" /><Relationship Type="http://schemas.openxmlformats.org/officeDocument/2006/relationships/worksheet" Target="/xl/worksheets/sheet2.xml" Id="R2936216b6db14e3b" /><Relationship Type="http://schemas.openxmlformats.org/officeDocument/2006/relationships/worksheet" Target="/xl/worksheets/sheet3.xml" Id="R286b1315446b430f" /><Relationship Type="http://schemas.openxmlformats.org/officeDocument/2006/relationships/worksheet" Target="/xl/worksheets/sheet4.xml" Id="R0183470f252d48e2" /><Relationship Type="http://schemas.openxmlformats.org/officeDocument/2006/relationships/worksheet" Target="/xl/worksheets/sheet5.xml" Id="R22514c491eeb45c5" /><Relationship Type="http://schemas.openxmlformats.org/officeDocument/2006/relationships/worksheet" Target="/xl/worksheets/sheet6.xml" Id="R4aeb5fc7a7904547" /><Relationship Type="http://schemas.openxmlformats.org/officeDocument/2006/relationships/worksheet" Target="/xl/worksheets/sheet7.xml" Id="Rb8117ce622e041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0e270e8380f4572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</a:ln>
          </c:spPr>
          <c:cat>
            <c:strRef>
              <c:f>'05_Dashboard'!$A$10:$A$46</c:f>
              <c:strCache>
                <c:ptCount val="25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3">
                  <c:v>Тип узла</c:v>
                </c:pt>
                <c:pt idx="14">
                  <c:v>Фундаментальная предпосылка</c:v>
                </c:pt>
                <c:pt idx="15">
                  <c:v>Технология / процесс</c:v>
                </c:pt>
                <c:pt idx="16">
                  <c:v>Инструмент / устройство</c:v>
                </c:pt>
                <c:pt idx="17">
                  <c:v>Публикация / объявление</c:v>
                </c:pt>
                <c:pt idx="18">
                  <c:v>Терминология / язык</c:v>
                </c:pt>
                <c:pt idx="19">
                  <c:v>Связь / переход</c:v>
                </c:pt>
                <c:pt idx="20">
                  <c:v>Тиражирование / публикация</c:v>
                </c:pt>
                <c:pt idx="21">
                  <c:v>Распространение / коммерциализация</c:v>
                </c:pt>
                <c:pt idx="22">
                  <c:v>Научное применение / пример</c:v>
                </c:pt>
                <c:pt idx="23">
                  <c:v>Применение / жанр</c:v>
                </c:pt>
                <c:pt idx="24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25"/>
                <c:pt idx="0">
                  <c:v>6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4</c:v>
                </c:pt>
                <c:pt idx="15">
                  <c:v>17</c:v>
                </c:pt>
                <c:pt idx="16">
                  <c:v>7</c:v>
                </c:pt>
                <c:pt idx="17">
                  <c:v>4</c:v>
                </c:pt>
                <c:pt idx="18">
                  <c:v>2</c:v>
                </c:pt>
                <c:pt idx="19">
                  <c:v>2</c:v>
                </c:pt>
                <c:pt idx="20">
                  <c:v>5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611280</xdr:colOff>
      <xdr:row>19</xdr:row>
      <xdr:rowOff>20520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e270e8380f457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3" name="MasterFactsTable" displayName="MasterFactsTable" ref="A1:W49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</x:table>
</file>

<file path=xl/tables/table2.xml><?xml version="1.0" encoding="utf-8"?>
<x:table xmlns:x="http://schemas.openxmlformats.org/spreadsheetml/2006/main" id="1" name="BranchesTable" displayName="BranchesTable" ref="A1:E14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</x:table>
</file>

<file path=xl/tables/table3.xml><?xml version="1.0" encoding="utf-8"?>
<x:table xmlns:x="http://schemas.openxmlformats.org/spreadsheetml/2006/main" id="2" name="LessonsTable" displayName="LessonsTable" ref="A1:E7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</x:table>
</file>

<file path=xl/tables/table4.xml><?xml version="1.0" encoding="utf-8"?>
<x:table xmlns:x="http://schemas.openxmlformats.org/spreadsheetml/2006/main" id="4" name="SourcesTable" displayName="SourcesTable" ref="A1:E27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83b1054050147c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e72df72f5c4c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e8a6edf0be45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953f736891e4c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bba396d6ed84b98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customWidth="1"/>
    <x:col min="2" max="2" width="14.6640625" customWidth="1"/>
    <x:col min="3" max="3" width="50.5" customWidth="1"/>
    <x:col min="4" max="5" width="14.6640625" customWidth="1"/>
  </x:cols>
  <x:sheetData>
    <x:row r="1" ht="30" customHeight="1">
      <x:c r="A1" s="26" t="str">
        <x:v>PHOTO LAB — Master Timeline v0.3</x:v>
      </x:c>
      <x:c r="B1" s="26"/>
      <x:c r="C1" s="26"/>
      <x:c r="D1" s="26"/>
      <x:c r="E1" s="26"/>
      <x:c r="F1" s="2"/>
    </x:row>
    <x:row r="2" ht="27.75" customHeight="1">
      <x:c r="A2" s="27" t="s">
        <x:v>0</x:v>
      </x:c>
      <x:c r="B2" s="27" t="s">
        <x:v>1</x:v>
      </x:c>
      <x:c r="C2" s="27" t="s">
        <x:v>2</x:v>
      </x:c>
      <x:c r="D2" s="28"/>
      <x:c r="E2" s="28"/>
    </x:row>
    <x:row r="3" ht="16">
      <x:c r="A3" s="29" t="s">
        <x:v>3</x:v>
      </x:c>
      <x:c r="B3" s="30" t="n">
        <x:f>COUNTA('01_Master_Facts'!$A$2:$A$500)</x:f>
        <x:v>58</x:v>
      </x:c>
      <x:c r="C3" s="29" t="s">
        <x:v>4</x:v>
      </x:c>
      <x:c r="D3" s="24"/>
      <x:c r="E3" s="24"/>
    </x:row>
    <x:row r="4" ht="16">
      <x:c r="A4" s="29" t="s">
        <x:v>5</x:v>
      </x:c>
      <x:c r="B4" s="30" t="n">
        <x:f>COUNTIF('01_Master_Facts'!$N$2:$N$500,5)</x:f>
        <x:v>22</x:v>
      </x:c>
      <x:c r="C4" s="29" t="s">
        <x:v>6</x:v>
      </x:c>
      <x:c r="D4" s="24"/>
      <x:c r="E4" s="24"/>
    </x:row>
    <x:row r="5" ht="16">
      <x:c r="A5" s="29" t="str">
        <x:v>Узлов для PL-001–PL-006</x:v>
      </x:c>
      <x:c r="B5" s="30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)</x:f>
        <x:v>47</x:v>
      </x:c>
      <x:c r="C5" s="29" t="str">
        <x:v>Без будущих PL и межурочных узлов</x:v>
      </x:c>
      <x:c r="D5" s="24"/>
      <x:c r="E5" s="24"/>
    </x:row>
    <x:row r="6" ht="32">
      <x:c r="A6" s="29" t="s">
        <x:v>7</x:v>
      </x:c>
      <x:c r="B6" s="30" t="n">
        <x:f>COUNTIF('01_Master_Facts'!$W$2:$W$500,"&lt;&gt;")</x:f>
        <x:v>21</x:v>
      </x:c>
      <x:c r="C6" s="29" t="s">
        <x:v>8</x:v>
      </x:c>
      <x:c r="D6" s="24"/>
      <x:c r="E6" s="24"/>
    </x:row>
    <x:row r="7">
      <x:c r="A7" s="24"/>
      <x:c r="B7" s="24"/>
      <x:c r="C7" s="24"/>
      <x:c r="D7" s="24"/>
      <x:c r="E7" s="24"/>
    </x:row>
    <x:row r="8">
      <x:c r="A8" s="24"/>
      <x:c r="B8" s="24"/>
      <x:c r="C8" s="24"/>
      <x:c r="D8" s="24"/>
      <x:c r="E8" s="24"/>
    </x:row>
    <x:row r="9" ht="27.75" customHeight="1">
      <x:c r="A9" s="27" t="s">
        <x:v>9</x:v>
      </x:c>
      <x:c r="B9" s="27" t="s">
        <x:v>10</x:v>
      </x:c>
      <x:c r="C9" s="24"/>
      <x:c r="D9" s="27" t="s">
        <x:v>11</x:v>
      </x:c>
      <x:c r="E9" s="27" t="s">
        <x:v>10</x:v>
      </x:c>
    </x:row>
    <x:row r="10" ht="16">
      <x:c r="A10" s="31" t="s">
        <x:v>12</x:v>
      </x:c>
      <x:c r="B10" s="31" t="n">
        <x:f>COUNTIF('01_Master_Facts'!$H$2:$H$500,A10)</x:f>
        <x:v>6</x:v>
      </x:c>
      <x:c r="C10" s="24"/>
      <x:c r="D10" s="31" t="s">
        <x:v>13</x:v>
      </x:c>
      <x:c r="E10" s="31" t="n">
        <x:f>COUNTIF('01_Master_Facts'!$O$2:$O$500,D10)</x:f>
        <x:v>8</x:v>
      </x:c>
    </x:row>
    <x:row r="11" ht="16">
      <x:c r="A11" s="31" t="s">
        <x:v>14</x:v>
      </x:c>
      <x:c r="B11" s="31" t="n">
        <x:f>COUNTIF('01_Master_Facts'!$H$2:$H$500,A11)</x:f>
        <x:v>4</x:v>
      </x:c>
      <x:c r="C11" s="24"/>
      <x:c r="D11" s="31" t="s">
        <x:v>15</x:v>
      </x:c>
      <x:c r="E11" s="31" t="n">
        <x:f>COUNTIF('01_Master_Facts'!$O$2:$O$500,D11)</x:f>
        <x:v>7</x:v>
      </x:c>
    </x:row>
    <x:row r="12" ht="16">
      <x:c r="A12" s="31" t="s">
        <x:v>16</x:v>
      </x:c>
      <x:c r="B12" s="31" t="n">
        <x:f>COUNTIF('01_Master_Facts'!$H$2:$H$500,A12)</x:f>
        <x:v>4</x:v>
      </x:c>
      <x:c r="C12" s="24"/>
      <x:c r="D12" s="31" t="s">
        <x:v>17</x:v>
      </x:c>
      <x:c r="E12" s="31" t="n">
        <x:f>COUNTIF('01_Master_Facts'!$O$2:$O$500,D12)</x:f>
        <x:v>5</x:v>
      </x:c>
    </x:row>
    <x:row r="13" ht="16">
      <x:c r="A13" s="31" t="s">
        <x:v>18</x:v>
      </x:c>
      <x:c r="B13" s="31" t="n">
        <x:f>COUNTIF('01_Master_Facts'!$H$2:$H$500,A13)</x:f>
        <x:v>3</x:v>
      </x:c>
      <x:c r="C13" s="24"/>
      <x:c r="D13" s="31" t="s">
        <x:v>19</x:v>
      </x:c>
      <x:c r="E13" s="31" t="n">
        <x:f>COUNTIF('01_Master_Facts'!$O$2:$O$500,D13)</x:f>
        <x:v>9</x:v>
      </x:c>
    </x:row>
    <x:row r="14" ht="16">
      <x:c r="A14" s="31" t="s">
        <x:v>20</x:v>
      </x:c>
      <x:c r="B14" s="31" t="n">
        <x:f>COUNTIF('01_Master_Facts'!$H$2:$H$500,A14)</x:f>
        <x:v>7</x:v>
      </x:c>
      <x:c r="C14" s="24"/>
      <x:c r="D14" s="31" t="s">
        <x:v>21</x:v>
      </x:c>
      <x:c r="E14" s="31" t="n">
        <x:f>COUNTIF('01_Master_Facts'!$O$2:$O$500,D14)</x:f>
        <x:v>8</x:v>
      </x:c>
    </x:row>
    <x:row r="15" ht="16">
      <x:c r="A15" s="31" t="s">
        <x:v>22</x:v>
      </x:c>
      <x:c r="B15" s="31" t="n">
        <x:f>COUNTIF('01_Master_Facts'!$H$2:$H$500,A15)</x:f>
        <x:v>2</x:v>
      </x:c>
      <x:c r="C15" s="24"/>
      <x:c r="D15" s="31" t="s">
        <x:v>23</x:v>
      </x:c>
      <x:c r="E15" s="31" t="n">
        <x:f>COUNTIF('01_Master_Facts'!$O$2:$O$500,D15)</x:f>
        <x:v>10</x:v>
      </x:c>
    </x:row>
    <x:row r="16" ht="16">
      <x:c r="A16" s="31" t="s">
        <x:v>24</x:v>
      </x:c>
      <x:c r="B16" s="31" t="n">
        <x:f>COUNTIF('01_Master_Facts'!$H$2:$H$500,A16)</x:f>
        <x:v>13</x:v>
      </x:c>
      <x:c r="C16" s="24"/>
      <x:c r="D16" s="31" t="s">
        <x:v>25</x:v>
      </x:c>
      <x:c r="E16" s="31" t="n">
        <x:f>COUNTIF('01_Master_Facts'!$O$2:$O$500,D16)</x:f>
        <x:v>9</x:v>
      </x:c>
    </x:row>
    <x:row r="17" ht="32">
      <x:c r="A17" s="31" t="s">
        <x:v>26</x:v>
      </x:c>
      <x:c r="B17" s="31" t="n">
        <x:f>COUNTIF('01_Master_Facts'!$H$2:$H$500,A17)</x:f>
        <x:v>2</x:v>
      </x:c>
      <x:c r="C17" s="24"/>
      <x:c r="D17" s="31" t="s">
        <x:v>27</x:v>
      </x:c>
      <x:c r="E17" s="31" t="n">
        <x:f>COUNTIF('01_Master_Facts'!$O$2:$O$500,D17)</x:f>
        <x:v>2</x:v>
      </x:c>
    </x:row>
    <x:row r="18" ht="16">
      <x:c r="A18" s="31" t="s">
        <x:v>28</x:v>
      </x:c>
      <x:c r="B18" s="31" t="n">
        <x:f>COUNTIF('01_Master_Facts'!$H$2:$H$500,A18)</x:f>
        <x:v>6</x:v>
      </x:c>
      <x:c r="C18" s="24"/>
      <x:c r="D18" s="24" t="s">
        <x:v>29</x:v>
      </x:c>
      <x:c r="E18" s="24" t="n">
        <x:f>COUNTIF('01_Master_Facts'!$O$2:$O$500,D18)</x:f>
        <x:v>0</x:v>
      </x:c>
    </x:row>
    <x:row r="19" ht="16">
      <x:c r="A19" s="31" t="s">
        <x:v>30</x:v>
      </x:c>
      <x:c r="B19" s="31" t="n">
        <x:f>COUNTIF('01_Master_Facts'!$H$2:$H$500,A19)</x:f>
        <x:v>5</x:v>
      </x:c>
      <x:c r="C19" s="24"/>
      <x:c r="D19" s="24"/>
      <x:c r="E19" s="24"/>
    </x:row>
    <x:row r="20" ht="16">
      <x:c r="A20" s="31" t="s">
        <x:v>31</x:v>
      </x:c>
      <x:c r="B20" s="31" t="n">
        <x:f>COUNTIF('01_Master_Facts'!$H$2:$H$500,A20)</x:f>
        <x:v>4</x:v>
      </x:c>
      <x:c r="C20" s="24"/>
      <x:c r="D20" s="24"/>
      <x:c r="E20" s="24"/>
    </x:row>
    <x:row r="21" ht="16">
      <x:c r="A21" s="31" t="s">
        <x:v>32</x:v>
      </x:c>
      <x:c r="B21" s="31" t="n">
        <x:f>COUNTIF('01_Master_Facts'!$H$2:$H$500,A21)</x:f>
        <x:v>1</x:v>
      </x:c>
      <x:c r="C21" s="24"/>
      <x:c r="D21" s="24"/>
      <x:c r="E21" s="24"/>
    </x:row>
    <x:row r="22" ht="16">
      <x:c r="A22" s="31" t="s">
        <x:v>33</x:v>
      </x:c>
      <x:c r="B22" s="31" t="n">
        <x:f>COUNTIF('01_Master_Facts'!$H$2:$H$500,A22)</x:f>
        <x:v>1</x:v>
      </x:c>
      <x:c r="C22" s="24"/>
      <x:c r="D22" s="24"/>
      <x:c r="E22" s="24"/>
    </x:row>
    <x:row r="23" ht="15">
      <x:c r="A23" s="31"/>
      <x:c r="B23" s="31"/>
      <x:c r="C23" s="24"/>
      <x:c r="D23" s="24"/>
      <x:c r="E23" s="24"/>
    </x:row>
    <x:row r="24" ht="15">
      <x:c r="A24" s="31"/>
      <x:c r="B24" s="31"/>
      <x:c r="C24" s="24"/>
      <x:c r="D24" s="24"/>
      <x:c r="E24" s="24"/>
    </x:row>
    <x:row r="25" ht="32">
      <x:c r="A25" s="27" t="s">
        <x:v>34</x:v>
      </x:c>
      <x:c r="B25" s="27" t="s">
        <x:v>10</x:v>
      </x:c>
      <x:c r="C25" s="24"/>
      <x:c r="D25" s="24"/>
      <x:c r="E25" s="24"/>
    </x:row>
    <x:row r="26" ht="16">
      <x:c r="A26" s="31" t="s">
        <x:v>35</x:v>
      </x:c>
      <x:c r="B26" s="31" t="n">
        <x:f>COUNTIF('01_Master_Facts'!$Z$2:$Z$500,A26)</x:f>
        <x:v>4</x:v>
      </x:c>
      <x:c r="C26" s="24"/>
      <x:c r="D26" s="24"/>
      <x:c r="E26" s="24"/>
    </x:row>
    <x:row r="27" ht="16">
      <x:c r="A27" s="31" t="s">
        <x:v>36</x:v>
      </x:c>
      <x:c r="B27" s="31" t="n">
        <x:f>COUNTIF('01_Master_Facts'!$Z$2:$Z$500,A27)</x:f>
        <x:v>19</x:v>
      </x:c>
      <x:c r="C27" s="24"/>
      <x:c r="D27" s="24"/>
      <x:c r="E27" s="24"/>
    </x:row>
    <x:row r="28" ht="16">
      <x:c r="A28" s="31" t="s">
        <x:v>37</x:v>
      </x:c>
      <x:c r="B28" s="31" t="n">
        <x:f>COUNTIF('01_Master_Facts'!$Z$2:$Z$500,A28)</x:f>
        <x:v>7</x:v>
      </x:c>
      <x:c r="C28" s="24"/>
      <x:c r="D28" s="24"/>
      <x:c r="E28" s="24"/>
    </x:row>
    <x:row r="29" ht="16">
      <x:c r="A29" s="31" t="s">
        <x:v>38</x:v>
      </x:c>
      <x:c r="B29" s="31" t="n">
        <x:f>COUNTIF('01_Master_Facts'!$Z$2:$Z$500,A29)</x:f>
        <x:v>4</x:v>
      </x:c>
      <x:c r="C29" s="24"/>
      <x:c r="D29" s="24"/>
      <x:c r="E29" s="24"/>
    </x:row>
    <x:row r="30" ht="16">
      <x:c r="A30" s="31" t="s">
        <x:v>39</x:v>
      </x:c>
      <x:c r="B30" s="31" t="n">
        <x:f>COUNTIF('01_Master_Facts'!$Z$2:$Z$500,A30)</x:f>
        <x:v>2</x:v>
      </x:c>
      <x:c r="C30" s="24"/>
      <x:c r="D30" s="24"/>
      <x:c r="E30" s="24"/>
    </x:row>
    <x:row r="31" ht="16">
      <x:c r="A31" s="31" t="s">
        <x:v>40</x:v>
      </x:c>
      <x:c r="B31" s="31" t="n">
        <x:f>COUNTIF('01_Master_Facts'!$Z$2:$Z$500,A31)</x:f>
        <x:v>5</x:v>
      </x:c>
      <x:c r="C31" s="24"/>
      <x:c r="D31" s="24"/>
      <x:c r="E31" s="24"/>
    </x:row>
    <x:row r="32" ht="16">
      <x:c r="A32" s="31" t="s">
        <x:v>41</x:v>
      </x:c>
      <x:c r="B32" s="31" t="n">
        <x:f>COUNTIF('01_Master_Facts'!$Z$2:$Z$500,A32)</x:f>
        <x:v>5</x:v>
      </x:c>
      <x:c r="C32" s="24"/>
      <x:c r="D32" s="24"/>
      <x:c r="E32" s="24"/>
    </x:row>
    <x:row r="33" ht="16">
      <x:c r="A33" s="31" t="s">
        <x:v>42</x:v>
      </x:c>
      <x:c r="B33" s="31" t="n">
        <x:f>COUNTIF('01_Master_Facts'!$Z$2:$Z$500,A33)</x:f>
        <x:v>6</x:v>
      </x:c>
      <x:c r="C33" s="24"/>
      <x:c r="D33" s="24"/>
      <x:c r="E33" s="24"/>
    </x:row>
    <x:row r="34" ht="16">
      <x:c r="A34" s="31" t="s">
        <x:v>43</x:v>
      </x:c>
      <x:c r="B34" s="31" t="n">
        <x:f>COUNTIF('01_Master_Facts'!$Z$2:$Z$500,A34)</x:f>
        <x:v>2</x:v>
      </x:c>
      <x:c r="C34" s="24"/>
      <x:c r="D34" s="24"/>
      <x:c r="E34" s="24"/>
    </x:row>
    <x:row r="35" ht="16">
      <x:c r="A35" s="31" t="s">
        <x:v>44</x:v>
      </x:c>
      <x:c r="B35" s="31" t="n">
        <x:f>COUNTIF('01_Master_Facts'!$Z$2:$Z$500,A35)</x:f>
        <x:v>2</x:v>
      </x:c>
      <x:c r="C35" s="24"/>
      <x:c r="D35" s="24"/>
      <x:c r="E35" s="24"/>
    </x:row>
    <x:row r="36" ht="16">
      <x:c r="A36" s="31" t="s">
        <x:v>45</x:v>
      </x:c>
      <x:c r="B36" s="31" t="n">
        <x:f>COUNTIF('01_Master_Facts'!$Z$2:$Z$500,A36)</x:f>
        <x:v>2</x:v>
      </x:c>
      <x:c r="C36" s="24"/>
      <x:c r="D36" s="24"/>
      <x:c r="E36" s="24"/>
    </x:row>
    <x:row r="37" ht="15">
      <x:c r="A37" s="6"/>
      <x:c r="B37" s="6"/>
    </x:row>
    <x:row r="38" ht="15">
      <x:c r="A38" s="6"/>
      <x:c r="B38" s="6"/>
    </x:row>
    <x:row r="39" ht="15">
      <x:c r="A39" s="6"/>
      <x:c r="B39" s="6"/>
    </x:row>
    <x:row r="40" ht="15">
      <x:c r="A40" s="6"/>
      <x:c r="B40" s="6"/>
    </x:row>
    <x:row r="41" ht="15">
      <x:c r="A41" s="6"/>
      <x:c r="B41" s="6"/>
    </x:row>
    <x:row r="42" ht="15">
      <x:c r="A42" s="6"/>
      <x:c r="B42" s="6"/>
    </x:row>
    <x:row r="43" ht="15">
      <x:c r="A43" s="6"/>
      <x:c r="B43" s="6"/>
    </x:row>
    <x:row r="44" ht="15">
      <x:c r="A44" s="6"/>
      <x:c r="B44" s="6"/>
    </x:row>
    <x:row r="45" ht="15">
      <x:c r="A45" s="6"/>
      <x:c r="B45" s="6"/>
    </x:row>
    <x:row r="46" ht="15">
      <x:c r="A46" s="6"/>
      <x:c r="B46" s="6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983b1054050147c3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3" width="16" customWidth="1"/>
    <x:col min="4" max="4" width="20" customWidth="1"/>
    <x:col min="5" max="5" width="22" customWidth="1"/>
    <x:col min="6" max="6" width="24" customWidth="1"/>
    <x:col min="7" max="7" width="44" customWidth="1"/>
    <x:col min="8" max="9" width="24" customWidth="1"/>
    <x:col min="10" max="10" width="46" customWidth="1"/>
    <x:col min="11" max="12" width="30" customWidth="1"/>
    <x:col min="13" max="13" width="26" customWidth="1"/>
    <x:col min="14" max="14" width="12" customWidth="1"/>
    <x:col min="15" max="15" width="18" customWidth="1"/>
    <x:col min="16" max="16" width="12" customWidth="1"/>
    <x:col min="17" max="17" width="34" customWidth="1"/>
    <x:col min="18" max="18" width="52" customWidth="1"/>
    <x:col min="19" max="19" width="14" customWidth="1"/>
    <x:col min="20" max="20" width="46" customWidth="1"/>
    <x:col min="21" max="21" width="38" customWidth="1"/>
    <x:col min="22" max="22" width="24" customWidth="1"/>
    <x:col min="23" max="23" width="34" customWidth="1"/>
    <x:col min="24" max="24" width="20" customWidth="1"/>
    <x:col min="25" max="25" width="28" customWidth="1"/>
    <x:col min="26" max="26" width="26" customWidth="1"/>
  </x:cols>
  <x:sheetData>
    <x:row r="1" ht="27.75" customHeight="1">
      <x:c r="A1" s="10" t="s">
        <x:v>46</x:v>
      </x:c>
      <x:c r="B1" s="10" t="s">
        <x:v>47</x:v>
      </x:c>
      <x:c r="C1" s="10" t="s">
        <x:v>48</x:v>
      </x:c>
      <x:c r="D1" s="10" t="s">
        <x:v>49</x:v>
      </x:c>
      <x:c r="E1" s="10" t="s">
        <x:v>50</x:v>
      </x:c>
      <x:c r="F1" s="10" t="s">
        <x:v>51</x:v>
      </x:c>
      <x:c r="G1" s="10" t="s">
        <x:v>52</x:v>
      </x:c>
      <x:c r="H1" s="10" t="s">
        <x:v>9</x:v>
      </x:c>
      <x:c r="I1" s="10" t="s">
        <x:v>36</x:v>
      </x:c>
      <x:c r="J1" s="10" t="s">
        <x:v>53</x:v>
      </x:c>
      <x:c r="K1" s="10" t="s">
        <x:v>54</x:v>
      </x:c>
      <x:c r="L1" s="10" t="s">
        <x:v>55</x:v>
      </x:c>
      <x:c r="M1" s="10" t="s">
        <x:v>56</x:v>
      </x:c>
      <x:c r="N1" s="10" t="s">
        <x:v>57</x:v>
      </x:c>
      <x:c r="O1" s="10" t="s">
        <x:v>58</x:v>
      </x:c>
      <x:c r="P1" s="10" t="s">
        <x:v>59</x:v>
      </x:c>
      <x:c r="Q1" s="10" t="s">
        <x:v>60</x:v>
      </x:c>
      <x:c r="R1" s="10" t="s">
        <x:v>61</x:v>
      </x:c>
      <x:c r="S1" s="10" t="s">
        <x:v>62</x:v>
      </x:c>
      <x:c r="T1" s="10" t="s">
        <x:v>63</x:v>
      </x:c>
      <x:c r="U1" s="10" t="s">
        <x:v>64</x:v>
      </x:c>
      <x:c r="V1" s="10" t="s">
        <x:v>65</x:v>
      </x:c>
      <x:c r="W1" s="10" t="s">
        <x:v>66</x:v>
      </x:c>
      <x:c r="X1" s="11" t="s">
        <x:v>67</x:v>
      </x:c>
      <x:c r="Y1" s="11" t="s">
        <x:v>68</x:v>
      </x:c>
      <x:c r="Z1" s="11" t="s">
        <x:v>34</x:v>
      </x:c>
    </x:row>
    <x:row r="2" ht="45">
      <x:c r="A2" s="7" t="s">
        <x:v>69</x:v>
      </x:c>
      <x:c r="B2" s="7" t="s">
        <x:v>70</x:v>
      </x:c>
      <x:c r="C2" s="7" t="s">
        <x:v>71</x:v>
      </x:c>
      <x:c r="D2" s="7" t="s">
        <x:v>72</x:v>
      </x:c>
      <x:c r="E2" s="7" t="s">
        <x:v>73</x:v>
      </x:c>
      <x:c r="F2" s="7" t="s">
        <x:v>74</x:v>
      </x:c>
      <x:c r="G2" s="7" t="s">
        <x:v>75</x:v>
      </x:c>
      <x:c r="H2" s="7" t="s">
        <x:v>12</x:v>
      </x:c>
      <x:c r="I2" s="7" t="s">
        <x:v>76</x:v>
      </x:c>
      <x:c r="J2" s="7" t="s">
        <x:v>77</x:v>
      </x:c>
      <x:c r="K2" s="7" t="s">
        <x:v>78</x:v>
      </x:c>
      <x:c r="L2" s="7" t="s">
        <x:v>79</x:v>
      </x:c>
      <x:c r="M2" s="7" t="s">
        <x:v>80</x:v>
      </x:c>
      <x:c r="N2" s="8">
        <x:v>5</x:v>
      </x:c>
      <x:c r="O2" s="7" t="s">
        <x:v>13</x:v>
      </x:c>
      <x:c r="P2" s="7" t="s">
        <x:v>81</x:v>
      </x:c>
      <x:c r="Q2" s="7" t="s">
        <x:v>82</x:v>
      </x:c>
      <x:c r="R2" s="7" t="s">
        <x:v>83</x:v>
      </x:c>
      <x:c r="S2" s="8">
        <x:v>4</x:v>
      </x:c>
      <x:c r="T2" s="7" t="s">
        <x:v>84</x:v>
      </x:c>
      <x:c r="U2" s="7" t="s">
        <x:v>85</x:v>
      </x:c>
      <x:c r="V2" s="7" t="s">
        <x:v>86</x:v>
      </x:c>
      <x:c r="W2" s="7" t="s">
        <x:v>87</x:v>
      </x:c>
      <x:c r="X2" t="s">
        <x:v>88</x:v>
      </x:c>
      <x:c r="Z2" t="s">
        <x:v>35</x:v>
      </x:c>
    </x:row>
    <x:row r="3" ht="45">
      <x:c r="A3" s="7" t="s">
        <x:v>89</x:v>
      </x:c>
      <x:c r="B3" s="7" t="s">
        <x:v>90</x:v>
      </x:c>
      <x:c r="C3" s="7" t="s">
        <x:v>91</x:v>
      </x:c>
      <x:c r="D3" s="7" t="s">
        <x:v>92</x:v>
      </x:c>
      <x:c r="E3" s="7" t="s">
        <x:v>93</x:v>
      </x:c>
      <x:c r="F3" s="7" t="s">
        <x:v>94</x:v>
      </x:c>
      <x:c r="G3" s="7" t="s">
        <x:v>95</x:v>
      </x:c>
      <x:c r="H3" s="7" t="s">
        <x:v>12</x:v>
      </x:c>
      <x:c r="I3" s="7" t="s">
        <x:v>96</x:v>
      </x:c>
      <x:c r="J3" s="7" t="s">
        <x:v>97</x:v>
      </x:c>
      <x:c r="K3" s="7" t="s">
        <x:v>98</x:v>
      </x:c>
      <x:c r="L3" s="7" t="s">
        <x:v>99</x:v>
      </x:c>
      <x:c r="M3" s="7" t="s">
        <x:v>80</x:v>
      </x:c>
      <x:c r="N3" s="8">
        <x:v>3</x:v>
      </x:c>
      <x:c r="O3" s="7" t="s">
        <x:v>13</x:v>
      </x:c>
      <x:c r="P3" s="7" t="s">
        <x:v>100</x:v>
      </x:c>
      <x:c r="Q3" s="7" t="s">
        <x:v>101</x:v>
      </x:c>
      <x:c r="R3" s="7" t="s">
        <x:v>102</x:v>
      </x:c>
      <x:c r="S3" s="8">
        <x:v>3</x:v>
      </x:c>
      <x:c r="T3" s="7" t="s">
        <x:v>103</x:v>
      </x:c>
      <x:c r="U3" s="7" t="s">
        <x:v>104</x:v>
      </x:c>
      <x:c r="V3" s="7" t="s">
        <x:v>105</x:v>
      </x:c>
      <x:c r="W3" s="7" t="s">
        <x:v>106</x:v>
      </x:c>
      <x:c r="X3" t="s">
        <x:v>107</x:v>
      </x:c>
      <x:c r="Z3" t="s">
        <x:v>37</x:v>
      </x:c>
    </x:row>
    <x:row r="4" ht="45">
      <x:c r="A4" s="7" t="s">
        <x:v>108</x:v>
      </x:c>
      <x:c r="B4" s="7" t="s">
        <x:v>109</x:v>
      </x:c>
      <x:c r="C4" s="7" t="s">
        <x:v>91</x:v>
      </x:c>
      <x:c r="D4" s="7" t="s">
        <x:v>110</x:v>
      </x:c>
      <x:c r="E4" s="7" t="s">
        <x:v>111</x:v>
      </x:c>
      <x:c r="F4" s="7" t="s">
        <x:v>112</x:v>
      </x:c>
      <x:c r="G4" s="7" t="s">
        <x:v>113</x:v>
      </x:c>
      <x:c r="H4" s="7" t="s">
        <x:v>12</x:v>
      </x:c>
      <x:c r="I4" s="7" t="s">
        <x:v>114</x:v>
      </x:c>
      <x:c r="J4" s="7" t="s">
        <x:v>115</x:v>
      </x:c>
      <x:c r="K4" s="7" t="s">
        <x:v>116</x:v>
      </x:c>
      <x:c r="L4" s="7" t="s">
        <x:v>117</x:v>
      </x:c>
      <x:c r="M4" s="7" t="s">
        <x:v>80</x:v>
      </x:c>
      <x:c r="N4" s="8">
        <x:v>4</x:v>
      </x:c>
      <x:c r="O4" s="7" t="s">
        <x:v>13</x:v>
      </x:c>
      <x:c r="P4" s="7" t="s">
        <x:v>118</x:v>
      </x:c>
      <x:c r="Q4" s="7" t="s">
        <x:v>119</x:v>
      </x:c>
      <x:c r="R4" s="7" t="s">
        <x:v>120</x:v>
      </x:c>
      <x:c r="S4" s="8">
        <x:v>4</x:v>
      </x:c>
      <x:c r="T4" s="7" t="s">
        <x:v>121</x:v>
      </x:c>
      <x:c r="U4" s="7" t="s">
        <x:v>122</x:v>
      </x:c>
      <x:c r="V4" s="7" t="s">
        <x:v>123</x:v>
      </x:c>
      <x:c r="W4" s="7"/>
      <x:c r="X4" t="s">
        <x:v>124</x:v>
      </x:c>
      <x:c r="Z4" t="s">
        <x:v>37</x:v>
      </x:c>
    </x:row>
    <x:row r="5" ht="45">
      <x:c r="A5" s="7" t="s">
        <x:v>125</x:v>
      </x:c>
      <x:c r="B5" s="7" t="s">
        <x:v>126</x:v>
      </x:c>
      <x:c r="C5" s="7" t="s">
        <x:v>91</x:v>
      </x:c>
      <x:c r="D5" s="7" t="s">
        <x:v>110</x:v>
      </x:c>
      <x:c r="E5" s="7" t="s">
        <x:v>127</x:v>
      </x:c>
      <x:c r="F5" s="7" t="s">
        <x:v>128</x:v>
      </x:c>
      <x:c r="G5" s="7" t="s">
        <x:v>129</x:v>
      </x:c>
      <x:c r="H5" s="7" t="s">
        <x:v>12</x:v>
      </x:c>
      <x:c r="I5" s="7" t="s">
        <x:v>130</x:v>
      </x:c>
      <x:c r="J5" s="7" t="s">
        <x:v>131</x:v>
      </x:c>
      <x:c r="K5" s="7" t="s">
        <x:v>132</x:v>
      </x:c>
      <x:c r="L5" s="7" t="s">
        <x:v>133</x:v>
      </x:c>
      <x:c r="M5" s="7" t="s">
        <x:v>80</x:v>
      </x:c>
      <x:c r="N5" s="8">
        <x:v>4</x:v>
      </x:c>
      <x:c r="O5" s="7" t="s">
        <x:v>13</x:v>
      </x:c>
      <x:c r="P5" s="7" t="s">
        <x:v>118</x:v>
      </x:c>
      <x:c r="Q5" s="7" t="s">
        <x:v>119</x:v>
      </x:c>
      <x:c r="R5" s="7" t="s">
        <x:v>120</x:v>
      </x:c>
      <x:c r="S5" s="8">
        <x:v>4</x:v>
      </x:c>
      <x:c r="T5" s="7" t="s">
        <x:v>134</x:v>
      </x:c>
      <x:c r="U5" s="7" t="s">
        <x:v>135</x:v>
      </x:c>
      <x:c r="V5" s="7" t="s">
        <x:v>136</x:v>
      </x:c>
      <x:c r="W5" s="7"/>
      <x:c r="X5" t="s">
        <x:v>137</x:v>
      </x:c>
      <x:c r="Z5" t="s">
        <x:v>44</x:v>
      </x:c>
    </x:row>
    <x:row r="6" ht="30">
      <x:c r="A6" s="7" t="s">
        <x:v>138</x:v>
      </x:c>
      <x:c r="B6" s="7" t="s">
        <x:v>139</x:v>
      </x:c>
      <x:c r="C6" s="7" t="s">
        <x:v>91</x:v>
      </x:c>
      <x:c r="D6" s="7" t="s">
        <x:v>140</x:v>
      </x:c>
      <x:c r="E6" s="7" t="s">
        <x:v>141</x:v>
      </x:c>
      <x:c r="F6" s="7" t="s">
        <x:v>142</x:v>
      </x:c>
      <x:c r="G6" s="7" t="s">
        <x:v>143</x:v>
      </x:c>
      <x:c r="H6" s="7" t="s">
        <x:v>12</x:v>
      </x:c>
      <x:c r="I6" s="7" t="s">
        <x:v>144</x:v>
      </x:c>
      <x:c r="J6" s="7" t="s">
        <x:v>145</x:v>
      </x:c>
      <x:c r="K6" s="7" t="s">
        <x:v>146</x:v>
      </x:c>
      <x:c r="L6" s="7" t="s">
        <x:v>147</x:v>
      </x:c>
      <x:c r="M6" s="7" t="s">
        <x:v>80</x:v>
      </x:c>
      <x:c r="N6" s="8">
        <x:v>3</x:v>
      </x:c>
      <x:c r="O6" s="7" t="s">
        <x:v>13</x:v>
      </x:c>
      <x:c r="P6" s="7" t="s">
        <x:v>100</x:v>
      </x:c>
      <x:c r="Q6" s="7" t="s">
        <x:v>101</x:v>
      </x:c>
      <x:c r="R6" s="7" t="s">
        <x:v>102</x:v>
      </x:c>
      <x:c r="S6" s="8">
        <x:v>4</x:v>
      </x:c>
      <x:c r="T6" s="7" t="s">
        <x:v>148</x:v>
      </x:c>
      <x:c r="U6" s="7" t="s">
        <x:v>149</x:v>
      </x:c>
      <x:c r="V6" s="7" t="s">
        <x:v>150</x:v>
      </x:c>
      <x:c r="W6" s="7"/>
      <x:c r="X6" t="s">
        <x:v>151</x:v>
      </x:c>
      <x:c r="Y6" t="s">
        <x:v>152</x:v>
      </x:c>
      <x:c r="Z6" t="s">
        <x:v>39</x:v>
      </x:c>
    </x:row>
    <x:row r="7" ht="30">
      <x:c r="A7" s="7" t="s">
        <x:v>153</x:v>
      </x:c>
      <x:c r="B7" s="7" t="s">
        <x:v>154</x:v>
      </x:c>
      <x:c r="C7" s="7" t="s">
        <x:v>91</x:v>
      </x:c>
      <x:c r="D7" s="7" t="s">
        <x:v>140</x:v>
      </x:c>
      <x:c r="E7" s="7" t="s">
        <x:v>155</x:v>
      </x:c>
      <x:c r="F7" s="7" t="s">
        <x:v>142</x:v>
      </x:c>
      <x:c r="G7" s="7" t="s">
        <x:v>156</x:v>
      </x:c>
      <x:c r="H7" s="7" t="s">
        <x:v>12</x:v>
      </x:c>
      <x:c r="I7" s="7" t="s">
        <x:v>157</x:v>
      </x:c>
      <x:c r="J7" s="7" t="s">
        <x:v>158</x:v>
      </x:c>
      <x:c r="K7" s="7" t="s">
        <x:v>159</x:v>
      </x:c>
      <x:c r="L7" s="7" t="s">
        <x:v>160</x:v>
      </x:c>
      <x:c r="M7" s="7" t="s">
        <x:v>80</x:v>
      </x:c>
      <x:c r="N7" s="8">
        <x:v>4</x:v>
      </x:c>
      <x:c r="O7" s="7" t="s">
        <x:v>13</x:v>
      </x:c>
      <x:c r="P7" s="7" t="s">
        <x:v>100</x:v>
      </x:c>
      <x:c r="Q7" s="7" t="s">
        <x:v>101</x:v>
      </x:c>
      <x:c r="R7" s="7" t="s">
        <x:v>102</x:v>
      </x:c>
      <x:c r="S7" s="8">
        <x:v>3</x:v>
      </x:c>
      <x:c r="T7" s="7" t="s">
        <x:v>161</x:v>
      </x:c>
      <x:c r="U7" s="7" t="s">
        <x:v>162</x:v>
      </x:c>
      <x:c r="V7" s="7" t="s">
        <x:v>163</x:v>
      </x:c>
      <x:c r="W7" s="7" t="s">
        <x:v>164</x:v>
      </x:c>
      <x:c r="X7" t="s">
        <x:v>165</x:v>
      </x:c>
      <x:c r="Y7" t="s">
        <x:v>166</x:v>
      </x:c>
      <x:c r="Z7" t="s">
        <x:v>35</x:v>
      </x:c>
    </x:row>
    <x:row r="8" ht="30">
      <x:c r="A8" s="7" t="s">
        <x:v>167</x:v>
      </x:c>
      <x:c r="B8" s="7" t="s">
        <x:v>168</x:v>
      </x:c>
      <x:c r="C8" s="7" t="s">
        <x:v>169</x:v>
      </x:c>
      <x:c r="D8" s="7" t="s">
        <x:v>170</x:v>
      </x:c>
      <x:c r="E8" s="7" t="s">
        <x:v>171</x:v>
      </x:c>
      <x:c r="F8" s="7" t="s">
        <x:v>142</x:v>
      </x:c>
      <x:c r="G8" s="7" t="s">
        <x:v>172</x:v>
      </x:c>
      <x:c r="H8" s="7" t="s">
        <x:v>14</x:v>
      </x:c>
      <x:c r="I8" s="7" t="s">
        <x:v>173</x:v>
      </x:c>
      <x:c r="J8" s="7" t="s">
        <x:v>174</x:v>
      </x:c>
      <x:c r="K8" s="7" t="s">
        <x:v>157</x:v>
      </x:c>
      <x:c r="L8" s="7" t="s">
        <x:v>175</x:v>
      </x:c>
      <x:c r="M8" s="7" t="s">
        <x:v>80</x:v>
      </x:c>
      <x:c r="N8" s="8">
        <x:v>3</x:v>
      </x:c>
      <x:c r="O8" s="7" t="s">
        <x:v>13</x:v>
      </x:c>
      <x:c r="P8" s="7" t="s">
        <x:v>100</x:v>
      </x:c>
      <x:c r="Q8" s="7" t="s">
        <x:v>101</x:v>
      </x:c>
      <x:c r="R8" s="7" t="s">
        <x:v>102</x:v>
      </x:c>
      <x:c r="S8" s="8">
        <x:v>3</x:v>
      </x:c>
      <x:c r="T8" s="7" t="s">
        <x:v>176</x:v>
      </x:c>
      <x:c r="U8" s="7" t="s">
        <x:v>177</x:v>
      </x:c>
      <x:c r="V8" s="7" t="s">
        <x:v>178</x:v>
      </x:c>
      <x:c r="W8" s="7" t="s">
        <x:v>179</x:v>
      </x:c>
      <x:c r="X8" t="s">
        <x:v>165</x:v>
      </x:c>
      <x:c r="Z8" t="s">
        <x:v>37</x:v>
      </x:c>
    </x:row>
    <x:row r="9" ht="45">
      <x:c r="A9" s="7" t="s">
        <x:v>180</x:v>
      </x:c>
      <x:c r="B9" s="7" t="s">
        <x:v>181</x:v>
      </x:c>
      <x:c r="C9" s="7" t="s">
        <x:v>91</x:v>
      </x:c>
      <x:c r="D9" s="7" t="s">
        <x:v>140</x:v>
      </x:c>
      <x:c r="E9" s="7" t="s">
        <x:v>182</x:v>
      </x:c>
      <x:c r="F9" s="7" t="s">
        <x:v>183</x:v>
      </x:c>
      <x:c r="G9" s="7" t="s">
        <x:v>184</x:v>
      </x:c>
      <x:c r="H9" s="7" t="s">
        <x:v>14</x:v>
      </x:c>
      <x:c r="I9" s="7" t="s">
        <x:v>185</x:v>
      </x:c>
      <x:c r="J9" s="7" t="s">
        <x:v>186</x:v>
      </x:c>
      <x:c r="K9" s="7" t="s">
        <x:v>187</x:v>
      </x:c>
      <x:c r="L9" s="7" t="s">
        <x:v>188</x:v>
      </x:c>
      <x:c r="M9" s="7" t="s">
        <x:v>80</x:v>
      </x:c>
      <x:c r="N9" s="8">
        <x:v>4</x:v>
      </x:c>
      <x:c r="O9" s="7" t="s">
        <x:v>13</x:v>
      </x:c>
      <x:c r="P9" s="7" t="s">
        <x:v>189</x:v>
      </x:c>
      <x:c r="Q9" s="7" t="s">
        <x:v>190</x:v>
      </x:c>
      <x:c r="R9" s="7" t="s">
        <x:v>191</x:v>
      </x:c>
      <x:c r="S9" s="8">
        <x:v>4</x:v>
      </x:c>
      <x:c r="T9" s="7" t="s">
        <x:v>192</x:v>
      </x:c>
      <x:c r="U9" s="7" t="s">
        <x:v>193</x:v>
      </x:c>
      <x:c r="V9" s="7" t="s">
        <x:v>194</x:v>
      </x:c>
      <x:c r="W9" s="7"/>
      <x:c r="X9" t="s">
        <x:v>195</x:v>
      </x:c>
      <x:c r="Z9" t="s">
        <x:v>37</x:v>
      </x:c>
    </x:row>
    <x:row r="10" ht="30">
      <x:c r="A10" s="7" t="s">
        <x:v>196</x:v>
      </x:c>
      <x:c r="B10" s="7" t="s">
        <x:v>197</x:v>
      </x:c>
      <x:c r="C10" s="7" t="s">
        <x:v>91</x:v>
      </x:c>
      <x:c r="D10" s="7" t="s">
        <x:v>140</x:v>
      </x:c>
      <x:c r="E10" s="7" t="s">
        <x:v>198</x:v>
      </x:c>
      <x:c r="F10" s="7" t="s">
        <x:v>199</x:v>
      </x:c>
      <x:c r="G10" s="7" t="s">
        <x:v>200</x:v>
      </x:c>
      <x:c r="H10" s="7" t="s">
        <x:v>16</x:v>
      </x:c>
      <x:c r="I10" s="7" t="s">
        <x:v>201</x:v>
      </x:c>
      <x:c r="J10" s="7" t="s">
        <x:v>202</x:v>
      </x:c>
      <x:c r="K10" s="7" t="s">
        <x:v>203</x:v>
      </x:c>
      <x:c r="L10" s="7" t="s">
        <x:v>204</x:v>
      </x:c>
      <x:c r="M10" s="7" t="s">
        <x:v>205</x:v>
      </x:c>
      <x:c r="N10" s="8">
        <x:v>5</x:v>
      </x:c>
      <x:c r="O10" s="7" t="s">
        <x:v>15</x:v>
      </x:c>
      <x:c r="P10" s="7" t="s">
        <x:v>206</x:v>
      </x:c>
      <x:c r="Q10" s="7" t="s">
        <x:v>207</x:v>
      </x:c>
      <x:c r="R10" s="7" t="s">
        <x:v>208</x:v>
      </x:c>
      <x:c r="S10" s="8">
        <x:v>5</x:v>
      </x:c>
      <x:c r="T10" s="7" t="s">
        <x:v>209</x:v>
      </x:c>
      <x:c r="U10" s="7" t="s">
        <x:v>210</x:v>
      </x:c>
      <x:c r="V10" s="7" t="s">
        <x:v>211</x:v>
      </x:c>
      <x:c r="W10" s="7"/>
      <x:c r="X10" t="s">
        <x:v>212</x:v>
      </x:c>
      <x:c r="Z10" t="s">
        <x:v>35</x:v>
      </x:c>
    </x:row>
    <x:row r="11" ht="45">
      <x:c r="A11" s="7" t="s">
        <x:v>213</x:v>
      </x:c>
      <x:c r="B11" s="7" t="s">
        <x:v>214</x:v>
      </x:c>
      <x:c r="C11" s="7" t="s">
        <x:v>91</x:v>
      </x:c>
      <x:c r="D11" s="7" t="s">
        <x:v>215</x:v>
      </x:c>
      <x:c r="E11" s="7" t="s">
        <x:v>216</x:v>
      </x:c>
      <x:c r="F11" s="7" t="s">
        <x:v>217</x:v>
      </x:c>
      <x:c r="G11" s="7" t="s">
        <x:v>218</x:v>
      </x:c>
      <x:c r="H11" s="7" t="s">
        <x:v>16</x:v>
      </x:c>
      <x:c r="I11" s="7" t="s">
        <x:v>219</x:v>
      </x:c>
      <x:c r="J11" s="7" t="s">
        <x:v>220</x:v>
      </x:c>
      <x:c r="K11" s="7" t="s">
        <x:v>221</x:v>
      </x:c>
      <x:c r="L11" s="7" t="s">
        <x:v>222</x:v>
      </x:c>
      <x:c r="M11" s="7" t="s">
        <x:v>205</x:v>
      </x:c>
      <x:c r="N11" s="8">
        <x:v>4</x:v>
      </x:c>
      <x:c r="O11" s="7" t="s">
        <x:v>15</x:v>
      </x:c>
      <x:c r="P11" s="7" t="s">
        <x:v>223</x:v>
      </x:c>
      <x:c r="Q11" s="7" t="s">
        <x:v>224</x:v>
      </x:c>
      <x:c r="R11" s="7" t="s">
        <x:v>225</x:v>
      </x:c>
      <x:c r="S11" s="8">
        <x:v>4</x:v>
      </x:c>
      <x:c r="T11" s="7" t="s">
        <x:v>226</x:v>
      </x:c>
      <x:c r="U11" s="7" t="s">
        <x:v>227</x:v>
      </x:c>
      <x:c r="V11" s="7" t="s">
        <x:v>228</x:v>
      </x:c>
      <x:c r="W11" s="7" t="s">
        <x:v>229</x:v>
      </x:c>
      <x:c r="X11" t="s">
        <x:v>230</x:v>
      </x:c>
      <x:c r="Y11" t="s">
        <x:v>231</x:v>
      </x:c>
      <x:c r="Z11" t="s">
        <x:v>35</x:v>
      </x:c>
    </x:row>
    <x:row r="12" ht="30">
      <x:c r="A12" s="7" t="s">
        <x:v>232</x:v>
      </x:c>
      <x:c r="B12" s="7" t="s">
        <x:v>233</x:v>
      </x:c>
      <x:c r="C12" s="7" t="s">
        <x:v>169</x:v>
      </x:c>
      <x:c r="D12" s="7" t="s">
        <x:v>234</x:v>
      </x:c>
      <x:c r="E12" s="7" t="s">
        <x:v>235</x:v>
      </x:c>
      <x:c r="F12" s="7" t="s">
        <x:v>236</x:v>
      </x:c>
      <x:c r="G12" s="7" t="s">
        <x:v>237</x:v>
      </x:c>
      <x:c r="H12" s="7" t="s">
        <x:v>16</x:v>
      </x:c>
      <x:c r="I12" s="7" t="s">
        <x:v>238</x:v>
      </x:c>
      <x:c r="J12" s="7" t="s">
        <x:v>239</x:v>
      </x:c>
      <x:c r="K12" s="7" t="s">
        <x:v>240</x:v>
      </x:c>
      <x:c r="L12" s="7" t="s">
        <x:v>241</x:v>
      </x:c>
      <x:c r="M12" s="7" t="s">
        <x:v>242</x:v>
      </x:c>
      <x:c r="N12" s="8">
        <x:v>4</x:v>
      </x:c>
      <x:c r="O12" s="7" t="s">
        <x:v>15</x:v>
      </x:c>
      <x:c r="P12" s="7" t="s">
        <x:v>243</x:v>
      </x:c>
      <x:c r="Q12" s="7" t="s">
        <x:v>244</x:v>
      </x:c>
      <x:c r="R12" s="7" t="s">
        <x:v>245</x:v>
      </x:c>
      <x:c r="S12" s="8">
        <x:v>4</x:v>
      </x:c>
      <x:c r="T12" s="7" t="s">
        <x:v>246</x:v>
      </x:c>
      <x:c r="U12" s="7" t="s">
        <x:v>247</x:v>
      </x:c>
      <x:c r="V12" s="7" t="s">
        <x:v>248</x:v>
      </x:c>
      <x:c r="W12" s="7"/>
      <x:c r="X12" t="s">
        <x:v>249</x:v>
      </x:c>
      <x:c r="Y12" t="s">
        <x:v>250</x:v>
      </x:c>
      <x:c r="Z12" t="s">
        <x:v>36</x:v>
      </x:c>
    </x:row>
    <x:row r="13" ht="30">
      <x:c r="A13" s="7" t="s">
        <x:v>251</x:v>
      </x:c>
      <x:c r="B13" s="7" t="s">
        <x:v>252</x:v>
      </x:c>
      <x:c r="C13" s="7" t="s">
        <x:v>91</x:v>
      </x:c>
      <x:c r="D13" s="7" t="s">
        <x:v>234</x:v>
      </x:c>
      <x:c r="E13" s="7" t="s">
        <x:v>253</x:v>
      </x:c>
      <x:c r="F13" s="7" t="s">
        <x:v>254</x:v>
      </x:c>
      <x:c r="G13" s="7" t="s">
        <x:v>255</x:v>
      </x:c>
      <x:c r="H13" s="7" t="s">
        <x:v>16</x:v>
      </x:c>
      <x:c r="I13" s="7" t="s">
        <x:v>256</x:v>
      </x:c>
      <x:c r="J13" s="7" t="s">
        <x:v>257</x:v>
      </x:c>
      <x:c r="K13" s="7" t="s">
        <x:v>258</x:v>
      </x:c>
      <x:c r="L13" s="7" t="s">
        <x:v>259</x:v>
      </x:c>
      <x:c r="M13" s="7" t="s">
        <x:v>242</x:v>
      </x:c>
      <x:c r="N13" s="8">
        <x:v>4</x:v>
      </x:c>
      <x:c r="O13" s="7" t="s">
        <x:v>15</x:v>
      </x:c>
      <x:c r="P13" s="7" t="s">
        <x:v>260</x:v>
      </x:c>
      <x:c r="Q13" s="7" t="s">
        <x:v>261</x:v>
      </x:c>
      <x:c r="R13" s="7" t="s">
        <x:v>262</x:v>
      </x:c>
      <x:c r="S13" s="8">
        <x:v>4</x:v>
      </x:c>
      <x:c r="T13" s="7" t="s">
        <x:v>263</x:v>
      </x:c>
      <x:c r="U13" s="7" t="s">
        <x:v>264</x:v>
      </x:c>
      <x:c r="V13" s="7" t="s">
        <x:v>265</x:v>
      </x:c>
      <x:c r="W13" s="7" t="s">
        <x:v>266</x:v>
      </x:c>
      <x:c r="X13" t="s">
        <x:v>267</x:v>
      </x:c>
      <x:c r="Y13" t="s">
        <x:v>268</x:v>
      </x:c>
      <x:c r="Z13" t="s">
        <x:v>38</x:v>
      </x:c>
    </x:row>
    <x:row r="14" ht="30">
      <x:c r="A14" s="7" t="s">
        <x:v>269</x:v>
      </x:c>
      <x:c r="B14" s="7" t="s">
        <x:v>270</x:v>
      </x:c>
      <x:c r="C14" s="7" t="s">
        <x:v>71</x:v>
      </x:c>
      <x:c r="D14" s="7" t="s">
        <x:v>234</x:v>
      </x:c>
      <x:c r="E14" s="7" t="s">
        <x:v>271</x:v>
      </x:c>
      <x:c r="F14" s="7" t="s">
        <x:v>272</x:v>
      </x:c>
      <x:c r="G14" s="7" t="s">
        <x:v>273</x:v>
      </x:c>
      <x:c r="H14" s="7" t="s">
        <x:v>14</x:v>
      </x:c>
      <x:c r="I14" s="7" t="s">
        <x:v>274</x:v>
      </x:c>
      <x:c r="J14" s="7" t="s">
        <x:v>275</x:v>
      </x:c>
      <x:c r="K14" s="7" t="s">
        <x:v>276</x:v>
      </x:c>
      <x:c r="L14" s="7" t="s">
        <x:v>277</x:v>
      </x:c>
      <x:c r="M14" s="7" t="s">
        <x:v>80</x:v>
      </x:c>
      <x:c r="N14" s="8">
        <x:v>3</x:v>
      </x:c>
      <x:c r="O14" s="7" t="s">
        <x:v>27</x:v>
      </x:c>
      <x:c r="P14" s="7" t="s">
        <x:v>278</x:v>
      </x:c>
      <x:c r="Q14" s="7" t="s">
        <x:v>279</x:v>
      </x:c>
      <x:c r="R14" s="7" t="s">
        <x:v>280</x:v>
      </x:c>
      <x:c r="S14" s="8">
        <x:v>5</x:v>
      </x:c>
      <x:c r="T14" s="7" t="s">
        <x:v>281</x:v>
      </x:c>
      <x:c r="U14" s="7" t="s">
        <x:v>282</x:v>
      </x:c>
      <x:c r="V14" s="7" t="s">
        <x:v>283</x:v>
      </x:c>
      <x:c r="W14" s="7"/>
      <x:c r="X14" t="s">
        <x:v>267</x:v>
      </x:c>
      <x:c r="Z14" t="s">
        <x:v>37</x:v>
      </x:c>
    </x:row>
    <x:row r="15" ht="30">
      <x:c r="A15" s="7" t="s">
        <x:v>284</x:v>
      </x:c>
      <x:c r="B15" s="7" t="s">
        <x:v>285</x:v>
      </x:c>
      <x:c r="C15" s="7" t="s">
        <x:v>91</x:v>
      </x:c>
      <x:c r="D15" s="7" t="s">
        <x:v>286</x:v>
      </x:c>
      <x:c r="E15" s="7" t="s">
        <x:v>287</x:v>
      </x:c>
      <x:c r="F15" s="7" t="s">
        <x:v>288</x:v>
      </x:c>
      <x:c r="G15" s="7" t="s">
        <x:v>289</x:v>
      </x:c>
      <x:c r="H15" s="7" t="s">
        <x:v>18</x:v>
      </x:c>
      <x:c r="I15" s="7" t="s">
        <x:v>290</x:v>
      </x:c>
      <x:c r="J15" s="7" t="s">
        <x:v>291</x:v>
      </x:c>
      <x:c r="K15" s="7" t="s">
        <x:v>292</x:v>
      </x:c>
      <x:c r="L15" s="7" t="s">
        <x:v>293</x:v>
      </x:c>
      <x:c r="M15" s="7" t="s">
        <x:v>294</x:v>
      </x:c>
      <x:c r="N15" s="8">
        <x:v>5</x:v>
      </x:c>
      <x:c r="O15" s="7" t="s">
        <x:v>15</x:v>
      </x:c>
      <x:c r="P15" s="7" t="s">
        <x:v>295</x:v>
      </x:c>
      <x:c r="Q15" s="7" t="s">
        <x:v>296</x:v>
      </x:c>
      <x:c r="R15" s="7" t="s">
        <x:v>297</x:v>
      </x:c>
      <x:c r="S15" s="8">
        <x:v>4</x:v>
      </x:c>
      <x:c r="T15" s="7" t="s">
        <x:v>298</x:v>
      </x:c>
      <x:c r="U15" s="7" t="s">
        <x:v>299</x:v>
      </x:c>
      <x:c r="V15" s="7" t="s">
        <x:v>300</x:v>
      </x:c>
      <x:c r="W15" s="7"/>
      <x:c r="X15" t="s">
        <x:v>301</x:v>
      </x:c>
      <x:c r="Y15" t="s">
        <x:v>302</x:v>
      </x:c>
      <x:c r="Z15" t="s">
        <x:v>36</x:v>
      </x:c>
    </x:row>
    <x:row r="16" ht="45">
      <x:c r="A16" s="7" t="s">
        <x:v>303</x:v>
      </x:c>
      <x:c r="B16" s="7" t="s">
        <x:v>304</x:v>
      </x:c>
      <x:c r="C16" s="7" t="s">
        <x:v>71</x:v>
      </x:c>
      <x:c r="D16" s="7" t="s">
        <x:v>286</x:v>
      </x:c>
      <x:c r="E16" s="7" t="s">
        <x:v>287</x:v>
      </x:c>
      <x:c r="F16" s="7" t="s">
        <x:v>288</x:v>
      </x:c>
      <x:c r="G16" s="7" t="s">
        <x:v>305</x:v>
      </x:c>
      <x:c r="H16" s="7" t="s">
        <x:v>18</x:v>
      </x:c>
      <x:c r="I16" s="7" t="s">
        <x:v>306</x:v>
      </x:c>
      <x:c r="J16" s="7" t="s">
        <x:v>307</x:v>
      </x:c>
      <x:c r="K16" s="7" t="s">
        <x:v>308</x:v>
      </x:c>
      <x:c r="L16" s="7" t="s">
        <x:v>309</x:v>
      </x:c>
      <x:c r="M16" s="7" t="s">
        <x:v>294</x:v>
      </x:c>
      <x:c r="N16" s="8">
        <x:v>4</x:v>
      </x:c>
      <x:c r="O16" s="7" t="s">
        <x:v>15</x:v>
      </x:c>
      <x:c r="P16" s="7" t="s">
        <x:v>310</x:v>
      </x:c>
      <x:c r="Q16" s="7" t="s">
        <x:v>311</x:v>
      </x:c>
      <x:c r="R16" s="7" t="s">
        <x:v>312</x:v>
      </x:c>
      <x:c r="S16" s="8">
        <x:v>4</x:v>
      </x:c>
      <x:c r="T16" s="7" t="s">
        <x:v>313</x:v>
      </x:c>
      <x:c r="U16" s="7" t="s">
        <x:v>314</x:v>
      </x:c>
      <x:c r="V16" s="7" t="s">
        <x:v>315</x:v>
      </x:c>
      <x:c r="W16" s="7" t="s">
        <x:v>316</x:v>
      </x:c>
      <x:c r="X16" t="s">
        <x:v>301</x:v>
      </x:c>
      <x:c r="Z16" t="s">
        <x:v>36</x:v>
      </x:c>
    </x:row>
    <x:row r="17" ht="45">
      <x:c r="A17" s="7" t="s">
        <x:v>317</x:v>
      </x:c>
      <x:c r="B17" s="7" t="s">
        <x:v>318</x:v>
      </x:c>
      <x:c r="C17" s="7" t="s">
        <x:v>319</x:v>
      </x:c>
      <x:c r="D17" s="7" t="s">
        <x:v>286</x:v>
      </x:c>
      <x:c r="E17" s="7" t="s">
        <x:v>320</x:v>
      </x:c>
      <x:c r="F17" s="7" t="s">
        <x:v>288</x:v>
      </x:c>
      <x:c r="G17" s="7" t="s">
        <x:v>321</x:v>
      </x:c>
      <x:c r="H17" s="7" t="s">
        <x:v>18</x:v>
      </x:c>
      <x:c r="I17" s="7" t="s">
        <x:v>322</x:v>
      </x:c>
      <x:c r="J17" s="7" t="s">
        <x:v>323</x:v>
      </x:c>
      <x:c r="K17" s="7" t="s">
        <x:v>324</x:v>
      </x:c>
      <x:c r="L17" s="7" t="s">
        <x:v>325</x:v>
      </x:c>
      <x:c r="M17" s="7" t="s">
        <x:v>326</x:v>
      </x:c>
      <x:c r="N17" s="8">
        <x:v>5</x:v>
      </x:c>
      <x:c r="O17" s="7" t="s">
        <x:v>15</x:v>
      </x:c>
      <x:c r="P17" s="7" t="s">
        <x:v>310</x:v>
      </x:c>
      <x:c r="Q17" s="7" t="s">
        <x:v>311</x:v>
      </x:c>
      <x:c r="R17" s="7" t="s">
        <x:v>312</x:v>
      </x:c>
      <x:c r="S17" s="8">
        <x:v>5</x:v>
      </x:c>
      <x:c r="T17" s="7" t="s">
        <x:v>327</x:v>
      </x:c>
      <x:c r="U17" s="7" t="s">
        <x:v>328</x:v>
      </x:c>
      <x:c r="V17" s="7" t="s">
        <x:v>329</x:v>
      </x:c>
      <x:c r="W17" s="7" t="s">
        <x:v>330</x:v>
      </x:c>
      <x:c r="X17" t="s">
        <x:v>301</x:v>
      </x:c>
      <x:c r="Y17" t="s">
        <x:v>331</x:v>
      </x:c>
      <x:c r="Z17" t="s">
        <x:v>45</x:v>
      </x:c>
    </x:row>
    <x:row r="18" ht="30">
      <x:c r="A18" s="7" t="s">
        <x:v>332</x:v>
      </x:c>
      <x:c r="B18" s="7" t="s">
        <x:v>333</x:v>
      </x:c>
      <x:c r="C18" s="7" t="s">
        <x:v>91</x:v>
      </x:c>
      <x:c r="D18" s="7" t="s">
        <x:v>286</x:v>
      </x:c>
      <x:c r="E18" s="7" t="s">
        <x:v>334</x:v>
      </x:c>
      <x:c r="F18" s="7" t="s">
        <x:v>335</x:v>
      </x:c>
      <x:c r="G18" s="7" t="s">
        <x:v>336</x:v>
      </x:c>
      <x:c r="H18" s="7" t="s">
        <x:v>20</x:v>
      </x:c>
      <x:c r="I18" s="7" t="s">
        <x:v>337</x:v>
      </x:c>
      <x:c r="J18" s="7" t="s">
        <x:v>338</x:v>
      </x:c>
      <x:c r="K18" s="7" t="s">
        <x:v>339</x:v>
      </x:c>
      <x:c r="L18" s="7" t="s">
        <x:v>340</x:v>
      </x:c>
      <x:c r="M18" s="7" t="s">
        <x:v>326</x:v>
      </x:c>
      <x:c r="N18" s="8">
        <x:v>4</x:v>
      </x:c>
      <x:c r="O18" s="7" t="s">
        <x:v>17</x:v>
      </x:c>
      <x:c r="P18" s="7" t="s">
        <x:v>310</x:v>
      </x:c>
      <x:c r="Q18" s="7" t="s">
        <x:v>311</x:v>
      </x:c>
      <x:c r="R18" s="7" t="s">
        <x:v>312</x:v>
      </x:c>
      <x:c r="S18" s="8">
        <x:v>5</x:v>
      </x:c>
      <x:c r="T18" s="7" t="s">
        <x:v>341</x:v>
      </x:c>
      <x:c r="U18" s="7" t="s">
        <x:v>342</x:v>
      </x:c>
      <x:c r="V18" s="7" t="s">
        <x:v>343</x:v>
      </x:c>
      <x:c r="W18" s="7"/>
      <x:c r="X18" t="s">
        <x:v>344</x:v>
      </x:c>
      <x:c r="Y18" t="s">
        <x:v>345</x:v>
      </x:c>
      <x:c r="Z18" t="s">
        <x:v>40</x:v>
      </x:c>
    </x:row>
    <x:row r="19" ht="30">
      <x:c r="A19" s="7" t="s">
        <x:v>346</x:v>
      </x:c>
      <x:c r="B19" s="7" t="s">
        <x:v>347</x:v>
      </x:c>
      <x:c r="C19" s="7" t="s">
        <x:v>91</x:v>
      </x:c>
      <x:c r="D19" s="7" t="s">
        <x:v>286</x:v>
      </x:c>
      <x:c r="E19" s="7" t="s">
        <x:v>348</x:v>
      </x:c>
      <x:c r="F19" s="7" t="s">
        <x:v>349</x:v>
      </x:c>
      <x:c r="G19" s="7" t="s">
        <x:v>350</x:v>
      </x:c>
      <x:c r="H19" s="7" t="s">
        <x:v>20</x:v>
      </x:c>
      <x:c r="I19" s="7" t="s">
        <x:v>351</x:v>
      </x:c>
      <x:c r="J19" s="7" t="s">
        <x:v>352</x:v>
      </x:c>
      <x:c r="K19" s="7" t="s">
        <x:v>353</x:v>
      </x:c>
      <x:c r="L19" s="7" t="s">
        <x:v>354</x:v>
      </x:c>
      <x:c r="M19" s="7" t="s">
        <x:v>326</x:v>
      </x:c>
      <x:c r="N19" s="8">
        <x:v>3</x:v>
      </x:c>
      <x:c r="O19" s="7" t="s">
        <x:v>17</x:v>
      </x:c>
      <x:c r="P19" s="7" t="s">
        <x:v>310</x:v>
      </x:c>
      <x:c r="Q19" s="7" t="s">
        <x:v>311</x:v>
      </x:c>
      <x:c r="R19" s="7" t="s">
        <x:v>312</x:v>
      </x:c>
      <x:c r="S19" s="8">
        <x:v>4</x:v>
      </x:c>
      <x:c r="T19" s="7" t="s">
        <x:v>355</x:v>
      </x:c>
      <x:c r="U19" s="7" t="s">
        <x:v>356</x:v>
      </x:c>
      <x:c r="V19" s="7" t="s">
        <x:v>357</x:v>
      </x:c>
      <x:c r="W19" s="7"/>
      <x:c r="X19" t="s">
        <x:v>301</x:v>
      </x:c>
      <x:c r="Y19" t="s">
        <x:v>345</x:v>
      </x:c>
      <x:c r="Z19" t="s">
        <x:v>40</x:v>
      </x:c>
    </x:row>
    <x:row r="20" ht="30">
      <x:c r="A20" s="7" t="s">
        <x:v>358</x:v>
      </x:c>
      <x:c r="B20" s="7" t="s">
        <x:v>359</x:v>
      </x:c>
      <x:c r="C20" s="7" t="s">
        <x:v>91</x:v>
      </x:c>
      <x:c r="D20" s="7" t="s">
        <x:v>234</x:v>
      </x:c>
      <x:c r="E20" s="7" t="s">
        <x:v>360</x:v>
      </x:c>
      <x:c r="F20" s="7" t="s">
        <x:v>361</x:v>
      </x:c>
      <x:c r="G20" s="7" t="s">
        <x:v>362</x:v>
      </x:c>
      <x:c r="H20" s="7" t="s">
        <x:v>22</x:v>
      </x:c>
      <x:c r="I20" s="7" t="s">
        <x:v>363</x:v>
      </x:c>
      <x:c r="J20" s="7" t="s">
        <x:v>364</x:v>
      </x:c>
      <x:c r="K20" s="7" t="s">
        <x:v>365</x:v>
      </x:c>
      <x:c r="L20" s="7" t="s">
        <x:v>366</x:v>
      </x:c>
      <x:c r="M20" s="7" t="s">
        <x:v>326</x:v>
      </x:c>
      <x:c r="N20" s="8">
        <x:v>5</x:v>
      </x:c>
      <x:c r="O20" s="7" t="s">
        <x:v>19</x:v>
      </x:c>
      <x:c r="P20" s="7" t="s">
        <x:v>367</x:v>
      </x:c>
      <x:c r="Q20" s="7" t="s">
        <x:v>368</x:v>
      </x:c>
      <x:c r="R20" s="7" t="s">
        <x:v>369</x:v>
      </x:c>
      <x:c r="S20" s="8">
        <x:v>4</x:v>
      </x:c>
      <x:c r="T20" s="7" t="s">
        <x:v>370</x:v>
      </x:c>
      <x:c r="U20" s="7" t="s">
        <x:v>371</x:v>
      </x:c>
      <x:c r="V20" s="7" t="s">
        <x:v>372</x:v>
      </x:c>
      <x:c r="W20" s="7"/>
      <x:c r="X20" t="s">
        <x:v>373</x:v>
      </x:c>
      <x:c r="Z20" t="s">
        <x:v>36</x:v>
      </x:c>
    </x:row>
    <x:row r="21" ht="30">
      <x:c r="A21" s="7" t="s">
        <x:v>374</x:v>
      </x:c>
      <x:c r="B21" s="7" t="s">
        <x:v>375</x:v>
      </x:c>
      <x:c r="C21" s="7" t="s">
        <x:v>91</x:v>
      </x:c>
      <x:c r="D21" s="7" t="s">
        <x:v>234</x:v>
      </x:c>
      <x:c r="E21" s="7" t="s">
        <x:v>360</x:v>
      </x:c>
      <x:c r="F21" s="7" t="s">
        <x:v>361</x:v>
      </x:c>
      <x:c r="G21" s="7" t="s">
        <x:v>376</x:v>
      </x:c>
      <x:c r="H21" s="7" t="s">
        <x:v>24</x:v>
      </x:c>
      <x:c r="I21" s="7" t="s">
        <x:v>377</x:v>
      </x:c>
      <x:c r="J21" s="7" t="s">
        <x:v>378</x:v>
      </x:c>
      <x:c r="K21" s="7" t="s">
        <x:v>379</x:v>
      </x:c>
      <x:c r="L21" s="7" t="s">
        <x:v>380</x:v>
      </x:c>
      <x:c r="M21" s="7" t="s">
        <x:v>326</x:v>
      </x:c>
      <x:c r="N21" s="8">
        <x:v>4</x:v>
      </x:c>
      <x:c r="O21" s="7" t="s">
        <x:v>19</x:v>
      </x:c>
      <x:c r="P21" s="7" t="s">
        <x:v>381</x:v>
      </x:c>
      <x:c r="Q21" s="7" t="s">
        <x:v>382</x:v>
      </x:c>
      <x:c r="R21" s="7" t="s">
        <x:v>383</x:v>
      </x:c>
      <x:c r="S21" s="8">
        <x:v>4</x:v>
      </x:c>
      <x:c r="T21" s="7" t="s">
        <x:v>384</x:v>
      </x:c>
      <x:c r="U21" s="7" t="s">
        <x:v>385</x:v>
      </x:c>
      <x:c r="V21" s="7" t="s">
        <x:v>386</x:v>
      </x:c>
      <x:c r="W21" s="7" t="s">
        <x:v>387</x:v>
      </x:c>
      <x:c r="X21" t="s">
        <x:v>373</x:v>
      </x:c>
      <x:c r="Z21" t="s">
        <x:v>36</x:v>
      </x:c>
    </x:row>
    <x:row r="22" ht="45">
      <x:c r="A22" s="7" t="s">
        <x:v>388</x:v>
      </x:c>
      <x:c r="B22" s="7" t="s">
        <x:v>389</x:v>
      </x:c>
      <x:c r="C22" s="7" t="s">
        <x:v>91</x:v>
      </x:c>
      <x:c r="D22" s="7" t="s">
        <x:v>286</x:v>
      </x:c>
      <x:c r="E22" s="7" t="s">
        <x:v>390</x:v>
      </x:c>
      <x:c r="F22" s="7" t="s">
        <x:v>391</x:v>
      </x:c>
      <x:c r="G22" s="7" t="s">
        <x:v>392</x:v>
      </x:c>
      <x:c r="H22" s="7" t="s">
        <x:v>20</x:v>
      </x:c>
      <x:c r="I22" s="7" t="s">
        <x:v>393</x:v>
      </x:c>
      <x:c r="J22" s="7" t="s">
        <x:v>394</x:v>
      </x:c>
      <x:c r="K22" s="7" t="s">
        <x:v>395</x:v>
      </x:c>
      <x:c r="L22" s="7" t="s">
        <x:v>396</x:v>
      </x:c>
      <x:c r="M22" s="7" t="s">
        <x:v>397</x:v>
      </x:c>
      <x:c r="N22" s="8">
        <x:v>4</x:v>
      </x:c>
      <x:c r="O22" s="7" t="s">
        <x:v>17</x:v>
      </x:c>
      <x:c r="P22" s="7" t="s">
        <x:v>398</x:v>
      </x:c>
      <x:c r="Q22" s="7" t="s">
        <x:v>399</x:v>
      </x:c>
      <x:c r="R22" s="7" t="s">
        <x:v>400</x:v>
      </x:c>
      <x:c r="S22" s="8">
        <x:v>3</x:v>
      </x:c>
      <x:c r="T22" s="7" t="s">
        <x:v>401</x:v>
      </x:c>
      <x:c r="U22" s="7" t="s">
        <x:v>402</x:v>
      </x:c>
      <x:c r="V22" s="7" t="s">
        <x:v>403</x:v>
      </x:c>
      <x:c r="W22" s="7" t="s">
        <x:v>404</x:v>
      </x:c>
      <x:c r="X22" t="s">
        <x:v>344</x:v>
      </x:c>
      <x:c r="Z22" t="s">
        <x:v>36</x:v>
      </x:c>
    </x:row>
    <x:row r="23" ht="30">
      <x:c r="A23" s="7" t="s">
        <x:v>405</x:v>
      </x:c>
      <x:c r="B23" s="7" t="s">
        <x:v>406</x:v>
      </x:c>
      <x:c r="C23" s="7" t="s">
        <x:v>407</x:v>
      </x:c>
      <x:c r="D23" s="7" t="s">
        <x:v>286</x:v>
      </x:c>
      <x:c r="E23" s="7" t="s">
        <x:v>390</x:v>
      </x:c>
      <x:c r="F23" s="7" t="s">
        <x:v>408</x:v>
      </x:c>
      <x:c r="G23" s="7" t="s">
        <x:v>409</x:v>
      </x:c>
      <x:c r="H23" s="7" t="s">
        <x:v>20</x:v>
      </x:c>
      <x:c r="I23" s="7" t="s">
        <x:v>410</x:v>
      </x:c>
      <x:c r="J23" s="7" t="s">
        <x:v>411</x:v>
      </x:c>
      <x:c r="K23" s="7" t="s">
        <x:v>412</x:v>
      </x:c>
      <x:c r="L23" s="7" t="s">
        <x:v>413</x:v>
      </x:c>
      <x:c r="M23" s="7" t="s">
        <x:v>414</x:v>
      </x:c>
      <x:c r="N23" s="8">
        <x:v>5</x:v>
      </x:c>
      <x:c r="O23" s="7" t="s">
        <x:v>17</x:v>
      </x:c>
      <x:c r="P23" s="7" t="s">
        <x:v>398</x:v>
      </x:c>
      <x:c r="Q23" s="7" t="s">
        <x:v>399</x:v>
      </x:c>
      <x:c r="R23" s="7" t="s">
        <x:v>400</x:v>
      </x:c>
      <x:c r="S23" s="8">
        <x:v>5</x:v>
      </x:c>
      <x:c r="T23" s="7" t="s">
        <x:v>415</x:v>
      </x:c>
      <x:c r="U23" s="7" t="s">
        <x:v>416</x:v>
      </x:c>
      <x:c r="V23" s="7" t="s">
        <x:v>417</x:v>
      </x:c>
      <x:c r="W23" s="7"/>
      <x:c r="X23" t="s">
        <x:v>344</x:v>
      </x:c>
      <x:c r="Y23" t="s">
        <x:v>418</x:v>
      </x:c>
      <x:c r="Z23" t="s">
        <x:v>38</x:v>
      </x:c>
    </x:row>
    <x:row r="24" ht="30">
      <x:c r="A24" s="7" t="s">
        <x:v>419</x:v>
      </x:c>
      <x:c r="B24" s="7" t="s">
        <x:v>420</x:v>
      </x:c>
      <x:c r="C24" s="7" t="s">
        <x:v>407</x:v>
      </x:c>
      <x:c r="D24" s="7" t="s">
        <x:v>286</x:v>
      </x:c>
      <x:c r="E24" s="7" t="s">
        <x:v>390</x:v>
      </x:c>
      <x:c r="F24" s="7" t="s">
        <x:v>421</x:v>
      </x:c>
      <x:c r="G24" s="7" t="s">
        <x:v>422</x:v>
      </x:c>
      <x:c r="H24" s="7" t="s">
        <x:v>20</x:v>
      </x:c>
      <x:c r="I24" s="7" t="s">
        <x:v>410</x:v>
      </x:c>
      <x:c r="J24" s="7" t="s">
        <x:v>423</x:v>
      </x:c>
      <x:c r="K24" s="7" t="s">
        <x:v>424</x:v>
      </x:c>
      <x:c r="L24" s="7" t="s">
        <x:v>425</x:v>
      </x:c>
      <x:c r="M24" s="7" t="s">
        <x:v>414</x:v>
      </x:c>
      <x:c r="N24" s="8">
        <x:v>5</x:v>
      </x:c>
      <x:c r="O24" s="7" t="s">
        <x:v>17</x:v>
      </x:c>
      <x:c r="P24" s="7" t="s">
        <x:v>426</x:v>
      </x:c>
      <x:c r="Q24" s="7" t="s">
        <x:v>427</x:v>
      </x:c>
      <x:c r="R24" s="7" t="s">
        <x:v>428</x:v>
      </x:c>
      <x:c r="S24" s="8">
        <x:v>5</x:v>
      </x:c>
      <x:c r="T24" s="7" t="s">
        <x:v>429</x:v>
      </x:c>
      <x:c r="U24" s="7" t="s">
        <x:v>430</x:v>
      </x:c>
      <x:c r="V24" s="7" t="s">
        <x:v>431</x:v>
      </x:c>
      <x:c r="W24" s="7"/>
      <x:c r="X24" t="s">
        <x:v>344</x:v>
      </x:c>
      <x:c r="Y24" t="s">
        <x:v>432</x:v>
      </x:c>
      <x:c r="Z24" t="s">
        <x:v>38</x:v>
      </x:c>
    </x:row>
    <x:row r="25" ht="45">
      <x:c r="A25" s="7" t="s">
        <x:v>433</x:v>
      </x:c>
      <x:c r="B25" s="7" t="s">
        <x:v>434</x:v>
      </x:c>
      <x:c r="C25" s="7" t="s">
        <x:v>91</x:v>
      </x:c>
      <x:c r="D25" s="7" t="s">
        <x:v>234</x:v>
      </x:c>
      <x:c r="E25" s="7" t="s">
        <x:v>271</x:v>
      </x:c>
      <x:c r="F25" s="7" t="s">
        <x:v>361</x:v>
      </x:c>
      <x:c r="G25" s="7" t="s">
        <x:v>435</x:v>
      </x:c>
      <x:c r="H25" s="7" t="s">
        <x:v>22</x:v>
      </x:c>
      <x:c r="I25" s="7" t="s">
        <x:v>363</x:v>
      </x:c>
      <x:c r="J25" s="7" t="s">
        <x:v>436</x:v>
      </x:c>
      <x:c r="K25" s="7" t="s">
        <x:v>437</x:v>
      </x:c>
      <x:c r="L25" s="7" t="s">
        <x:v>438</x:v>
      </x:c>
      <x:c r="M25" s="7" t="s">
        <x:v>326</x:v>
      </x:c>
      <x:c r="N25" s="8">
        <x:v>5</x:v>
      </x:c>
      <x:c r="O25" s="7" t="s">
        <x:v>19</x:v>
      </x:c>
      <x:c r="P25" s="7" t="s">
        <x:v>426</x:v>
      </x:c>
      <x:c r="Q25" s="7" t="s">
        <x:v>427</x:v>
      </x:c>
      <x:c r="R25" s="7" t="s">
        <x:v>428</x:v>
      </x:c>
      <x:c r="S25" s="8">
        <x:v>5</x:v>
      </x:c>
      <x:c r="T25" s="7" t="s">
        <x:v>439</x:v>
      </x:c>
      <x:c r="U25" s="7" t="s">
        <x:v>440</x:v>
      </x:c>
      <x:c r="V25" s="7" t="s">
        <x:v>441</x:v>
      </x:c>
      <x:c r="W25" s="7"/>
      <x:c r="X25" t="s">
        <x:v>267</x:v>
      </x:c>
      <x:c r="Y25" t="s">
        <x:v>442</x:v>
      </x:c>
      <x:c r="Z25" t="s">
        <x:v>38</x:v>
      </x:c>
    </x:row>
    <x:row r="26" ht="45">
      <x:c r="A26" s="7" t="s">
        <x:v>443</x:v>
      </x:c>
      <x:c r="B26" s="7" t="s">
        <x:v>434</x:v>
      </x:c>
      <x:c r="C26" s="7" t="s">
        <x:v>91</x:v>
      </x:c>
      <x:c r="D26" s="7" t="s">
        <x:v>234</x:v>
      </x:c>
      <x:c r="E26" s="7" t="s">
        <x:v>444</x:v>
      </x:c>
      <x:c r="F26" s="7" t="s">
        <x:v>445</x:v>
      </x:c>
      <x:c r="G26" s="7" t="s">
        <x:v>446</x:v>
      </x:c>
      <x:c r="H26" s="7" t="s">
        <x:v>26</x:v>
      </x:c>
      <x:c r="I26" s="7" t="s">
        <x:v>447</x:v>
      </x:c>
      <x:c r="J26" s="7" t="s">
        <x:v>448</x:v>
      </x:c>
      <x:c r="K26" s="7" t="s">
        <x:v>449</x:v>
      </x:c>
      <x:c r="L26" s="7" t="s">
        <x:v>450</x:v>
      </x:c>
      <x:c r="M26" s="7" t="s">
        <x:v>326</x:v>
      </x:c>
      <x:c r="N26" s="8">
        <x:v>5</x:v>
      </x:c>
      <x:c r="O26" s="7" t="s">
        <x:v>19</x:v>
      </x:c>
      <x:c r="P26" s="7" t="s">
        <x:v>381</x:v>
      </x:c>
      <x:c r="Q26" s="7" t="s">
        <x:v>382</x:v>
      </x:c>
      <x:c r="R26" s="7" t="s">
        <x:v>383</x:v>
      </x:c>
      <x:c r="S26" s="8">
        <x:v>5</x:v>
      </x:c>
      <x:c r="T26" s="7" t="s">
        <x:v>451</x:v>
      </x:c>
      <x:c r="U26" s="7" t="s">
        <x:v>452</x:v>
      </x:c>
      <x:c r="V26" s="7" t="s">
        <x:v>453</x:v>
      </x:c>
      <x:c r="W26" s="7"/>
      <x:c r="X26" t="s">
        <x:v>267</x:v>
      </x:c>
      <x:c r="Z26" t="s">
        <x:v>36</x:v>
      </x:c>
    </x:row>
    <x:row r="27" ht="45">
      <x:c r="A27" s="7" t="s">
        <x:v>454</x:v>
      </x:c>
      <x:c r="B27" s="7" t="s">
        <x:v>434</x:v>
      </x:c>
      <x:c r="C27" s="7" t="s">
        <x:v>91</x:v>
      </x:c>
      <x:c r="D27" s="7" t="s">
        <x:v>234</x:v>
      </x:c>
      <x:c r="E27" s="7" t="s">
        <x:v>271</x:v>
      </x:c>
      <x:c r="F27" s="7" t="s">
        <x:v>445</x:v>
      </x:c>
      <x:c r="G27" s="7" t="s">
        <x:v>455</x:v>
      </x:c>
      <x:c r="H27" s="7" t="s">
        <x:v>26</x:v>
      </x:c>
      <x:c r="I27" s="7" t="s">
        <x:v>456</x:v>
      </x:c>
      <x:c r="J27" s="7" t="s">
        <x:v>457</x:v>
      </x:c>
      <x:c r="K27" s="7" t="s">
        <x:v>458</x:v>
      </x:c>
      <x:c r="L27" s="7" t="s">
        <x:v>459</x:v>
      </x:c>
      <x:c r="M27" s="7" t="s">
        <x:v>326</x:v>
      </x:c>
      <x:c r="N27" s="8">
        <x:v>4</x:v>
      </x:c>
      <x:c r="O27" s="7" t="s">
        <x:v>19</x:v>
      </x:c>
      <x:c r="P27" s="7" t="s">
        <x:v>460</x:v>
      </x:c>
      <x:c r="Q27" s="7" t="s">
        <x:v>461</x:v>
      </x:c>
      <x:c r="R27" s="7" t="s">
        <x:v>462</x:v>
      </x:c>
      <x:c r="S27" s="8">
        <x:v>4</x:v>
      </x:c>
      <x:c r="T27" s="7" t="s">
        <x:v>463</x:v>
      </x:c>
      <x:c r="U27" s="7" t="s">
        <x:v>464</x:v>
      </x:c>
      <x:c r="V27" s="7" t="s">
        <x:v>465</x:v>
      </x:c>
      <x:c r="W27" s="7" t="s">
        <x:v>466</x:v>
      </x:c>
      <x:c r="X27" t="s">
        <x:v>267</x:v>
      </x:c>
      <x:c r="Z27" t="s">
        <x:v>39</x:v>
      </x:c>
    </x:row>
    <x:row r="28" ht="30">
      <x:c r="A28" s="7" t="s">
        <x:v>467</x:v>
      </x:c>
      <x:c r="B28" s="7" t="s">
        <x:v>468</x:v>
      </x:c>
      <x:c r="C28" s="7" t="s">
        <x:v>71</x:v>
      </x:c>
      <x:c r="D28" s="7" t="s">
        <x:v>286</x:v>
      </x:c>
      <x:c r="E28" s="7" t="s">
        <x:v>390</x:v>
      </x:c>
      <x:c r="F28" s="7" t="s">
        <x:v>469</x:v>
      </x:c>
      <x:c r="G28" s="7" t="s">
        <x:v>470</x:v>
      </x:c>
      <x:c r="H28" s="7" t="s">
        <x:v>31</x:v>
      </x:c>
      <x:c r="I28" s="7" t="s">
        <x:v>471</x:v>
      </x:c>
      <x:c r="J28" s="7" t="s">
        <x:v>472</x:v>
      </x:c>
      <x:c r="K28" s="7" t="s">
        <x:v>473</x:v>
      </x:c>
      <x:c r="L28" s="7" t="s">
        <x:v>474</x:v>
      </x:c>
      <x:c r="M28" s="7" t="s">
        <x:v>397</x:v>
      </x:c>
      <x:c r="N28" s="8">
        <x:v>3</x:v>
      </x:c>
      <x:c r="O28" s="7" t="s">
        <x:v>27</x:v>
      </x:c>
      <x:c r="P28" s="7" t="s">
        <x:v>460</x:v>
      </x:c>
      <x:c r="Q28" s="7" t="s">
        <x:v>461</x:v>
      </x:c>
      <x:c r="R28" s="7" t="s">
        <x:v>462</x:v>
      </x:c>
      <x:c r="S28" s="8">
        <x:v>3</x:v>
      </x:c>
      <x:c r="T28" s="7" t="s">
        <x:v>475</x:v>
      </x:c>
      <x:c r="U28" s="7" t="s">
        <x:v>476</x:v>
      </x:c>
      <x:c r="V28" s="7" t="s">
        <x:v>477</x:v>
      </x:c>
      <x:c r="W28" s="7" t="s">
        <x:v>478</x:v>
      </x:c>
      <x:c r="X28" t="s">
        <x:v>344</x:v>
      </x:c>
      <x:c r="Z28" t="s">
        <x:v>36</x:v>
      </x:c>
    </x:row>
    <x:row r="29" ht="45">
      <x:c r="A29" s="7" t="s">
        <x:v>479</x:v>
      </x:c>
      <x:c r="B29" s="7" t="s">
        <x:v>480</x:v>
      </x:c>
      <x:c r="C29" s="7" t="s">
        <x:v>91</x:v>
      </x:c>
      <x:c r="D29" s="7" t="s">
        <x:v>234</x:v>
      </x:c>
      <x:c r="E29" s="7" t="s">
        <x:v>271</x:v>
      </x:c>
      <x:c r="F29" s="7" t="s">
        <x:v>481</x:v>
      </x:c>
      <x:c r="G29" s="7" t="s">
        <x:v>482</x:v>
      </x:c>
      <x:c r="H29" s="7" t="s">
        <x:v>14</x:v>
      </x:c>
      <x:c r="I29" s="7" t="s">
        <x:v>483</x:v>
      </x:c>
      <x:c r="J29" s="7" t="s">
        <x:v>484</x:v>
      </x:c>
      <x:c r="K29" s="7" t="s">
        <x:v>485</x:v>
      </x:c>
      <x:c r="L29" s="7" t="s">
        <x:v>486</x:v>
      </x:c>
      <x:c r="M29" s="7" t="s">
        <x:v>80</x:v>
      </x:c>
      <x:c r="N29" s="8">
        <x:v>3</x:v>
      </x:c>
      <x:c r="O29" s="7" t="s">
        <x:v>25</x:v>
      </x:c>
      <x:c r="P29" s="7" t="s">
        <x:v>487</x:v>
      </x:c>
      <x:c r="Q29" s="7" t="s">
        <x:v>488</x:v>
      </x:c>
      <x:c r="R29" s="7" t="s">
        <x:v>489</x:v>
      </x:c>
      <x:c r="S29" s="8">
        <x:v>4</x:v>
      </x:c>
      <x:c r="T29" s="7" t="s">
        <x:v>490</x:v>
      </x:c>
      <x:c r="U29" s="7" t="s">
        <x:v>491</x:v>
      </x:c>
      <x:c r="V29" s="7" t="s">
        <x:v>492</x:v>
      </x:c>
      <x:c r="W29" s="7"/>
      <x:c r="X29" t="s">
        <x:v>267</x:v>
      </x:c>
      <x:c r="Y29" t="s">
        <x:v>493</x:v>
      </x:c>
      <x:c r="Z29" t="s">
        <x:v>37</x:v>
      </x:c>
    </x:row>
    <x:row r="30" ht="45">
      <x:c r="A30" s="7" t="s">
        <x:v>494</x:v>
      </x:c>
      <x:c r="B30" s="7" t="s">
        <x:v>495</x:v>
      </x:c>
      <x:c r="C30" s="7" t="s">
        <x:v>91</x:v>
      </x:c>
      <x:c r="D30" s="7" t="s">
        <x:v>234</x:v>
      </x:c>
      <x:c r="E30" s="7" t="s">
        <x:v>360</x:v>
      </x:c>
      <x:c r="F30" s="7" t="s">
        <x:v>361</x:v>
      </x:c>
      <x:c r="G30" s="7" t="s">
        <x:v>496</x:v>
      </x:c>
      <x:c r="H30" s="7" t="s">
        <x:v>24</x:v>
      </x:c>
      <x:c r="I30" s="7" t="s">
        <x:v>497</x:v>
      </x:c>
      <x:c r="J30" s="7" t="s">
        <x:v>498</x:v>
      </x:c>
      <x:c r="K30" s="7" t="s">
        <x:v>499</x:v>
      </x:c>
      <x:c r="L30" s="7" t="s">
        <x:v>438</x:v>
      </x:c>
      <x:c r="M30" s="7" t="s">
        <x:v>326</x:v>
      </x:c>
      <x:c r="N30" s="8">
        <x:v>5</x:v>
      </x:c>
      <x:c r="O30" s="7" t="s">
        <x:v>19</x:v>
      </x:c>
      <x:c r="P30" s="7" t="s">
        <x:v>381</x:v>
      </x:c>
      <x:c r="Q30" s="7" t="s">
        <x:v>382</x:v>
      </x:c>
      <x:c r="R30" s="7" t="s">
        <x:v>383</x:v>
      </x:c>
      <x:c r="S30" s="8">
        <x:v>5</x:v>
      </x:c>
      <x:c r="T30" s="7" t="s">
        <x:v>500</x:v>
      </x:c>
      <x:c r="U30" s="7" t="s">
        <x:v>501</x:v>
      </x:c>
      <x:c r="V30" s="7" t="s">
        <x:v>502</x:v>
      </x:c>
      <x:c r="W30" s="7"/>
      <x:c r="X30" t="s">
        <x:v>373</x:v>
      </x:c>
      <x:c r="Y30" t="s">
        <x:v>503</x:v>
      </x:c>
      <x:c r="Z30" t="s">
        <x:v>36</x:v>
      </x:c>
    </x:row>
    <x:row r="31" ht="60">
      <x:c r="A31" s="7" t="s">
        <x:v>504</x:v>
      </x:c>
      <x:c r="B31" s="7" t="s">
        <x:v>495</x:v>
      </x:c>
      <x:c r="C31" s="7" t="s">
        <x:v>91</x:v>
      </x:c>
      <x:c r="D31" s="7" t="s">
        <x:v>505</x:v>
      </x:c>
      <x:c r="E31" s="7" t="s">
        <x:v>506</x:v>
      </x:c>
      <x:c r="F31" s="7" t="s">
        <x:v>507</x:v>
      </x:c>
      <x:c r="G31" s="7" t="s">
        <x:v>508</x:v>
      </x:c>
      <x:c r="H31" s="7" t="s">
        <x:v>20</x:v>
      </x:c>
      <x:c r="I31" s="7" t="s">
        <x:v>509</x:v>
      </x:c>
      <x:c r="J31" s="7" t="s">
        <x:v>510</x:v>
      </x:c>
      <x:c r="K31" s="7" t="s">
        <x:v>511</x:v>
      </x:c>
      <x:c r="L31" s="7" t="s">
        <x:v>512</x:v>
      </x:c>
      <x:c r="M31" s="7" t="s">
        <x:v>326</x:v>
      </x:c>
      <x:c r="N31" s="8">
        <x:v>3</x:v>
      </x:c>
      <x:c r="O31" s="7" t="s">
        <x:v>25</x:v>
      </x:c>
      <x:c r="P31" s="7" t="s">
        <x:v>426</x:v>
      </x:c>
      <x:c r="Q31" s="7" t="s">
        <x:v>427</x:v>
      </x:c>
      <x:c r="R31" s="7" t="s">
        <x:v>428</x:v>
      </x:c>
      <x:c r="S31" s="8">
        <x:v>3</x:v>
      </x:c>
      <x:c r="T31" s="7" t="s">
        <x:v>513</x:v>
      </x:c>
      <x:c r="U31" s="7" t="s">
        <x:v>514</x:v>
      </x:c>
      <x:c r="V31" s="7" t="s">
        <x:v>515</x:v>
      </x:c>
      <x:c r="W31" s="7" t="s">
        <x:v>516</x:v>
      </x:c>
      <x:c r="X31" t="s">
        <x:v>517</x:v>
      </x:c>
      <x:c r="Y31" t="s">
        <x:v>518</x:v>
      </x:c>
      <x:c r="Z31" t="s">
        <x:v>43</x:v>
      </x:c>
    </x:row>
    <x:row r="32" ht="30">
      <x:c r="A32" s="7" t="s">
        <x:v>519</x:v>
      </x:c>
      <x:c r="B32" s="7" t="s">
        <x:v>520</x:v>
      </x:c>
      <x:c r="C32" s="7" t="s">
        <x:v>91</x:v>
      </x:c>
      <x:c r="D32" s="7" t="s">
        <x:v>234</x:v>
      </x:c>
      <x:c r="E32" s="7" t="s">
        <x:v>521</x:v>
      </x:c>
      <x:c r="F32" s="7" t="s">
        <x:v>361</x:v>
      </x:c>
      <x:c r="G32" s="7" t="s">
        <x:v>522</x:v>
      </x:c>
      <x:c r="H32" s="7" t="s">
        <x:v>24</x:v>
      </x:c>
      <x:c r="I32" s="7" t="s">
        <x:v>523</x:v>
      </x:c>
      <x:c r="J32" s="7" t="s">
        <x:v>524</x:v>
      </x:c>
      <x:c r="K32" s="7" t="s">
        <x:v>525</x:v>
      </x:c>
      <x:c r="L32" s="7" t="s">
        <x:v>526</x:v>
      </x:c>
      <x:c r="M32" s="7" t="s">
        <x:v>326</x:v>
      </x:c>
      <x:c r="N32" s="8">
        <x:v>5</x:v>
      </x:c>
      <x:c r="O32" s="7" t="s">
        <x:v>19</x:v>
      </x:c>
      <x:c r="P32" s="7" t="s">
        <x:v>527</x:v>
      </x:c>
      <x:c r="Q32" s="7" t="s">
        <x:v>528</x:v>
      </x:c>
      <x:c r="R32" s="7" t="s">
        <x:v>529</x:v>
      </x:c>
      <x:c r="S32" s="8">
        <x:v>5</x:v>
      </x:c>
      <x:c r="T32" s="7" t="s">
        <x:v>530</x:v>
      </x:c>
      <x:c r="U32" s="7" t="s">
        <x:v>531</x:v>
      </x:c>
      <x:c r="V32" s="7" t="s">
        <x:v>532</x:v>
      </x:c>
      <x:c r="W32" s="7"/>
      <x:c r="X32" t="s">
        <x:v>267</x:v>
      </x:c>
      <x:c r="Z32" t="s">
        <x:v>36</x:v>
      </x:c>
    </x:row>
    <x:row r="33" ht="30">
      <x:c r="A33" s="7" t="s">
        <x:v>533</x:v>
      </x:c>
      <x:c r="B33" s="7" t="s">
        <x:v>520</x:v>
      </x:c>
      <x:c r="C33" s="7" t="s">
        <x:v>91</x:v>
      </x:c>
      <x:c r="D33" s="7" t="s">
        <x:v>234</x:v>
      </x:c>
      <x:c r="E33" s="7" t="s">
        <x:v>521</x:v>
      </x:c>
      <x:c r="F33" s="7" t="s">
        <x:v>361</x:v>
      </x:c>
      <x:c r="G33" s="7" t="s">
        <x:v>534</x:v>
      </x:c>
      <x:c r="H33" s="7" t="s">
        <x:v>28</x:v>
      </x:c>
      <x:c r="I33" s="7" t="s">
        <x:v>535</x:v>
      </x:c>
      <x:c r="J33" s="7" t="s">
        <x:v>536</x:v>
      </x:c>
      <x:c r="K33" s="7" t="s">
        <x:v>537</x:v>
      </x:c>
      <x:c r="L33" s="7" t="s">
        <x:v>538</x:v>
      </x:c>
      <x:c r="M33" s="7" t="s">
        <x:v>326</x:v>
      </x:c>
      <x:c r="N33" s="8">
        <x:v>4</x:v>
      </x:c>
      <x:c r="O33" s="7" t="s">
        <x:v>19</x:v>
      </x:c>
      <x:c r="P33" s="7" t="s">
        <x:v>539</x:v>
      </x:c>
      <x:c r="Q33" s="7" t="s">
        <x:v>540</x:v>
      </x:c>
      <x:c r="R33" s="7" t="s">
        <x:v>541</x:v>
      </x:c>
      <x:c r="S33" s="8">
        <x:v>4</x:v>
      </x:c>
      <x:c r="T33" s="7" t="s">
        <x:v>542</x:v>
      </x:c>
      <x:c r="U33" s="7" t="s">
        <x:v>543</x:v>
      </x:c>
      <x:c r="V33" s="7" t="s">
        <x:v>544</x:v>
      </x:c>
      <x:c r="W33" s="7"/>
      <x:c r="X33" t="s">
        <x:v>267</x:v>
      </x:c>
      <x:c r="Z33" t="s">
        <x:v>41</x:v>
      </x:c>
    </x:row>
    <x:row r="34" ht="45">
      <x:c r="A34" s="7" t="s">
        <x:v>545</x:v>
      </x:c>
      <x:c r="B34" s="7" t="s">
        <x:v>546</x:v>
      </x:c>
      <x:c r="C34" s="7" t="s">
        <x:v>91</x:v>
      </x:c>
      <x:c r="D34" s="7" t="s">
        <x:v>234</x:v>
      </x:c>
      <x:c r="E34" s="7" t="s">
        <x:v>444</x:v>
      </x:c>
      <x:c r="F34" s="7" t="s">
        <x:v>445</x:v>
      </x:c>
      <x:c r="G34" s="7" t="s">
        <x:v>547</x:v>
      </x:c>
      <x:c r="H34" s="7" t="s">
        <x:v>28</x:v>
      </x:c>
      <x:c r="I34" s="7" t="s">
        <x:v>548</x:v>
      </x:c>
      <x:c r="J34" s="7" t="s">
        <x:v>549</x:v>
      </x:c>
      <x:c r="K34" s="7" t="s">
        <x:v>550</x:v>
      </x:c>
      <x:c r="L34" s="7" t="s">
        <x:v>551</x:v>
      </x:c>
      <x:c r="M34" s="7" t="s">
        <x:v>552</x:v>
      </x:c>
      <x:c r="N34" s="8">
        <x:v>4</x:v>
      </x:c>
      <x:c r="O34" s="7" t="s">
        <x:v>25</x:v>
      </x:c>
      <x:c r="P34" s="7" t="s">
        <x:v>553</x:v>
      </x:c>
      <x:c r="Q34" s="7" t="s">
        <x:v>554</x:v>
      </x:c>
      <x:c r="R34" s="7" t="s">
        <x:v>555</x:v>
      </x:c>
      <x:c r="S34" s="8">
        <x:v>5</x:v>
      </x:c>
      <x:c r="T34" s="7" t="s">
        <x:v>556</x:v>
      </x:c>
      <x:c r="U34" s="7" t="s">
        <x:v>557</x:v>
      </x:c>
      <x:c r="V34" s="7" t="s">
        <x:v>558</x:v>
      </x:c>
      <x:c r="W34" s="7" t="s">
        <x:v>559</x:v>
      </x:c>
      <x:c r="X34" t="s">
        <x:v>267</x:v>
      </x:c>
      <x:c r="Y34" t="s">
        <x:v>560</x:v>
      </x:c>
      <x:c r="Z34" t="s">
        <x:v>36</x:v>
      </x:c>
    </x:row>
    <x:row r="35" ht="45">
      <x:c r="A35" s="7" t="s">
        <x:v>561</x:v>
      </x:c>
      <x:c r="B35" s="7" t="s">
        <x:v>562</x:v>
      </x:c>
      <x:c r="C35" s="7" t="s">
        <x:v>91</x:v>
      </x:c>
      <x:c r="D35" s="7" t="s">
        <x:v>234</x:v>
      </x:c>
      <x:c r="E35" s="7" t="s">
        <x:v>563</x:v>
      </x:c>
      <x:c r="F35" s="7" t="s">
        <x:v>564</x:v>
      </x:c>
      <x:c r="G35" s="7" t="s">
        <x:v>565</x:v>
      </x:c>
      <x:c r="H35" s="7" t="s">
        <x:v>28</x:v>
      </x:c>
      <x:c r="I35" s="7" t="s">
        <x:v>566</x:v>
      </x:c>
      <x:c r="J35" s="7" t="s">
        <x:v>567</x:v>
      </x:c>
      <x:c r="K35" s="7" t="s">
        <x:v>568</x:v>
      </x:c>
      <x:c r="L35" s="7" t="s">
        <x:v>569</x:v>
      </x:c>
      <x:c r="M35" s="7" t="s">
        <x:v>326</x:v>
      </x:c>
      <x:c r="N35" s="8">
        <x:v>4</x:v>
      </x:c>
      <x:c r="O35" s="7" t="s">
        <x:v>25</x:v>
      </x:c>
      <x:c r="P35" s="7" t="s">
        <x:v>570</x:v>
      </x:c>
      <x:c r="Q35" s="7" t="s">
        <x:v>571</x:v>
      </x:c>
      <x:c r="R35" s="7" t="s">
        <x:v>572</x:v>
      </x:c>
      <x:c r="S35" s="8">
        <x:v>5</x:v>
      </x:c>
      <x:c r="T35" s="7" t="s">
        <x:v>573</x:v>
      </x:c>
      <x:c r="U35" s="7" t="s">
        <x:v>574</x:v>
      </x:c>
      <x:c r="V35" s="7" t="s">
        <x:v>575</x:v>
      </x:c>
      <x:c r="W35" s="7"/>
      <x:c r="X35" t="s">
        <x:v>576</x:v>
      </x:c>
      <x:c r="Y35" t="s">
        <x:v>577</x:v>
      </x:c>
      <x:c r="Z35" t="s">
        <x:v>41</x:v>
      </x:c>
    </x:row>
    <x:row r="36" ht="45">
      <x:c r="A36" s="7" t="s">
        <x:v>578</x:v>
      </x:c>
      <x:c r="B36" s="7" t="s">
        <x:v>579</x:v>
      </x:c>
      <x:c r="C36" s="7" t="s">
        <x:v>91</x:v>
      </x:c>
      <x:c r="D36" s="7" t="s">
        <x:v>234</x:v>
      </x:c>
      <x:c r="E36" s="7" t="s">
        <x:v>271</x:v>
      </x:c>
      <x:c r="F36" s="7" t="s">
        <x:v>361</x:v>
      </x:c>
      <x:c r="G36" s="7" t="s">
        <x:v>580</x:v>
      </x:c>
      <x:c r="H36" s="7" t="s">
        <x:v>28</x:v>
      </x:c>
      <x:c r="I36" s="7" t="s">
        <x:v>581</x:v>
      </x:c>
      <x:c r="J36" s="7" t="s">
        <x:v>582</x:v>
      </x:c>
      <x:c r="K36" s="7" t="s">
        <x:v>583</x:v>
      </x:c>
      <x:c r="L36" s="7" t="s">
        <x:v>584</x:v>
      </x:c>
      <x:c r="M36" s="7" t="s">
        <x:v>326</x:v>
      </x:c>
      <x:c r="N36" s="8">
        <x:v>5</x:v>
      </x:c>
      <x:c r="O36" s="7" t="s">
        <x:v>19</x:v>
      </x:c>
      <x:c r="P36" s="7" t="s">
        <x:v>381</x:v>
      </x:c>
      <x:c r="Q36" s="7" t="s">
        <x:v>382</x:v>
      </x:c>
      <x:c r="R36" s="7" t="s">
        <x:v>383</x:v>
      </x:c>
      <x:c r="S36" s="8">
        <x:v>5</x:v>
      </x:c>
      <x:c r="T36" s="7" t="s">
        <x:v>585</x:v>
      </x:c>
      <x:c r="U36" s="7" t="s">
        <x:v>586</x:v>
      </x:c>
      <x:c r="V36" s="7" t="s">
        <x:v>587</x:v>
      </x:c>
      <x:c r="W36" s="7"/>
      <x:c r="X36" t="s">
        <x:v>267</x:v>
      </x:c>
      <x:c r="Y36" t="s">
        <x:v>588</x:v>
      </x:c>
      <x:c r="Z36" t="s">
        <x:v>41</x:v>
      </x:c>
    </x:row>
    <x:row r="37" ht="45">
      <x:c r="A37" s="7" t="s">
        <x:v>589</x:v>
      </x:c>
      <x:c r="B37" s="7" t="s">
        <x:v>590</x:v>
      </x:c>
      <x:c r="C37" s="7" t="s">
        <x:v>91</x:v>
      </x:c>
      <x:c r="D37" s="7" t="s">
        <x:v>505</x:v>
      </x:c>
      <x:c r="E37" s="7" t="s">
        <x:v>591</x:v>
      </x:c>
      <x:c r="F37" s="7" t="s">
        <x:v>592</x:v>
      </x:c>
      <x:c r="G37" s="7" t="s">
        <x:v>593</x:v>
      </x:c>
      <x:c r="H37" s="7" t="s">
        <x:v>20</x:v>
      </x:c>
      <x:c r="I37" s="7" t="s">
        <x:v>594</x:v>
      </x:c>
      <x:c r="J37" s="7" t="s">
        <x:v>595</x:v>
      </x:c>
      <x:c r="K37" s="7" t="s">
        <x:v>596</x:v>
      </x:c>
      <x:c r="L37" s="7" t="s">
        <x:v>597</x:v>
      </x:c>
      <x:c r="M37" s="7" t="s">
        <x:v>326</x:v>
      </x:c>
      <x:c r="N37" s="8">
        <x:v>3</x:v>
      </x:c>
      <x:c r="O37" s="7" t="s">
        <x:v>25</x:v>
      </x:c>
      <x:c r="P37" s="7" t="s">
        <x:v>426</x:v>
      </x:c>
      <x:c r="Q37" s="7" t="s">
        <x:v>427</x:v>
      </x:c>
      <x:c r="R37" s="7" t="s">
        <x:v>428</x:v>
      </x:c>
      <x:c r="S37" s="8">
        <x:v>4</x:v>
      </x:c>
      <x:c r="T37" s="7" t="s">
        <x:v>598</x:v>
      </x:c>
      <x:c r="U37" s="7" t="s">
        <x:v>599</x:v>
      </x:c>
      <x:c r="V37" s="7" t="s">
        <x:v>600</x:v>
      </x:c>
      <x:c r="W37" s="7" t="s">
        <x:v>559</x:v>
      </x:c>
      <x:c r="X37" t="s">
        <x:v>601</x:v>
      </x:c>
      <x:c r="Y37" t="s">
        <x:v>602</x:v>
      </x:c>
      <x:c r="Z37" t="s">
        <x:v>43</x:v>
      </x:c>
    </x:row>
    <x:row r="38" ht="30">
      <x:c r="A38" s="7" t="s">
        <x:v>603</x:v>
      </x:c>
      <x:c r="B38" s="7" t="s">
        <x:v>590</x:v>
      </x:c>
      <x:c r="C38" s="7" t="s">
        <x:v>91</x:v>
      </x:c>
      <x:c r="D38" s="7" t="s">
        <x:v>286</x:v>
      </x:c>
      <x:c r="E38" s="7" t="s">
        <x:v>604</x:v>
      </x:c>
      <x:c r="F38" s="7" t="s">
        <x:v>605</x:v>
      </x:c>
      <x:c r="G38" s="7" t="s">
        <x:v>606</x:v>
      </x:c>
      <x:c r="H38" s="7" t="s">
        <x:v>28</x:v>
      </x:c>
      <x:c r="I38" s="7" t="s">
        <x:v>607</x:v>
      </x:c>
      <x:c r="J38" s="7" t="s">
        <x:v>608</x:v>
      </x:c>
      <x:c r="K38" s="7" t="s">
        <x:v>609</x:v>
      </x:c>
      <x:c r="L38" s="7" t="s">
        <x:v>610</x:v>
      </x:c>
      <x:c r="M38" s="7" t="s">
        <x:v>326</x:v>
      </x:c>
      <x:c r="N38" s="8">
        <x:v>3</x:v>
      </x:c>
      <x:c r="O38" s="7" t="s">
        <x:v>25</x:v>
      </x:c>
      <x:c r="P38" s="7" t="s">
        <x:v>460</x:v>
      </x:c>
      <x:c r="Q38" s="7" t="s">
        <x:v>461</x:v>
      </x:c>
      <x:c r="R38" s="7" t="s">
        <x:v>462</x:v>
      </x:c>
      <x:c r="S38" s="8">
        <x:v>2</x:v>
      </x:c>
      <x:c r="T38" s="7" t="s">
        <x:v>611</x:v>
      </x:c>
      <x:c r="U38" s="7" t="s">
        <x:v>612</x:v>
      </x:c>
      <x:c r="V38" s="7" t="s">
        <x:v>613</x:v>
      </x:c>
      <x:c r="W38" s="7" t="s">
        <x:v>614</x:v>
      </x:c>
      <x:c r="X38" t="s">
        <x:v>615</x:v>
      </x:c>
      <x:c r="Z38" t="s">
        <x:v>42</x:v>
      </x:c>
    </x:row>
    <x:row r="39" ht="30">
      <x:c r="A39" s="7" t="s">
        <x:v>616</x:v>
      </x:c>
      <x:c r="B39" s="7" t="s">
        <x:v>617</x:v>
      </x:c>
      <x:c r="C39" s="7" t="s">
        <x:v>91</x:v>
      </x:c>
      <x:c r="D39" s="7" t="s">
        <x:v>286</x:v>
      </x:c>
      <x:c r="E39" s="7" t="s">
        <x:v>390</x:v>
      </x:c>
      <x:c r="F39" s="7" t="s">
        <x:v>618</x:v>
      </x:c>
      <x:c r="G39" s="7" t="s">
        <x:v>619</x:v>
      </x:c>
      <x:c r="H39" s="7" t="s">
        <x:v>32</x:v>
      </x:c>
      <x:c r="I39" s="7" t="s">
        <x:v>620</x:v>
      </x:c>
      <x:c r="J39" s="7" t="s">
        <x:v>621</x:v>
      </x:c>
      <x:c r="K39" s="7" t="s">
        <x:v>622</x:v>
      </x:c>
      <x:c r="L39" s="7" t="s">
        <x:v>623</x:v>
      </x:c>
      <x:c r="M39" s="7" t="s">
        <x:v>397</x:v>
      </x:c>
      <x:c r="N39" s="8">
        <x:v>3</x:v>
      </x:c>
      <x:c r="O39" s="7" t="s">
        <x:v>25</x:v>
      </x:c>
      <x:c r="P39" s="7" t="s">
        <x:v>624</x:v>
      </x:c>
      <x:c r="Q39" s="7" t="s">
        <x:v>625</x:v>
      </x:c>
      <x:c r="R39" s="7" t="s">
        <x:v>626</x:v>
      </x:c>
      <x:c r="S39" s="8">
        <x:v>3</x:v>
      </x:c>
      <x:c r="T39" s="7" t="s">
        <x:v>627</x:v>
      </x:c>
      <x:c r="U39" s="7" t="s">
        <x:v>628</x:v>
      </x:c>
      <x:c r="V39" s="7" t="s">
        <x:v>629</x:v>
      </x:c>
      <x:c r="W39" s="7" t="s">
        <x:v>630</x:v>
      </x:c>
      <x:c r="X39" t="s">
        <x:v>344</x:v>
      </x:c>
      <x:c r="Z39" t="s">
        <x:v>36</x:v>
      </x:c>
    </x:row>
    <x:row r="40" ht="30">
      <x:c r="A40" s="7" t="s">
        <x:v>631</x:v>
      </x:c>
      <x:c r="B40" s="7" t="s">
        <x:v>617</x:v>
      </x:c>
      <x:c r="C40" s="7" t="s">
        <x:v>91</x:v>
      </x:c>
      <x:c r="D40" s="7" t="s">
        <x:v>505</x:v>
      </x:c>
      <x:c r="E40" s="7" t="s">
        <x:v>632</x:v>
      </x:c>
      <x:c r="F40" s="7" t="s">
        <x:v>633</x:v>
      </x:c>
      <x:c r="G40" s="7" t="s">
        <x:v>634</x:v>
      </x:c>
      <x:c r="H40" s="7" t="s">
        <x:v>33</x:v>
      </x:c>
      <x:c r="I40" s="7" t="s">
        <x:v>635</x:v>
      </x:c>
      <x:c r="J40" s="7" t="s">
        <x:v>636</x:v>
      </x:c>
      <x:c r="K40" s="7" t="s">
        <x:v>637</x:v>
      </x:c>
      <x:c r="L40" s="7" t="s">
        <x:v>638</x:v>
      </x:c>
      <x:c r="M40" s="7" t="s">
        <x:v>294</x:v>
      </x:c>
      <x:c r="N40" s="8">
        <x:v>3</x:v>
      </x:c>
      <x:c r="O40" s="7" t="s">
        <x:v>25</x:v>
      </x:c>
      <x:c r="P40" s="7" t="s">
        <x:v>426</x:v>
      </x:c>
      <x:c r="Q40" s="7" t="s">
        <x:v>427</x:v>
      </x:c>
      <x:c r="R40" s="7" t="s">
        <x:v>428</x:v>
      </x:c>
      <x:c r="S40" s="8">
        <x:v>4</x:v>
      </x:c>
      <x:c r="T40" s="7" t="s">
        <x:v>639</x:v>
      </x:c>
      <x:c r="U40" s="7" t="s">
        <x:v>640</x:v>
      </x:c>
      <x:c r="V40" s="7" t="s">
        <x:v>641</x:v>
      </x:c>
      <x:c r="W40" s="7"/>
      <x:c r="X40" t="s">
        <x:v>642</x:v>
      </x:c>
      <x:c r="Z40" t="s">
        <x:v>42</x:v>
      </x:c>
    </x:row>
    <x:row r="41" ht="30">
      <x:c r="A41" s="7" t="s">
        <x:v>643</x:v>
      </x:c>
      <x:c r="B41" s="7" t="s">
        <x:v>644</x:v>
      </x:c>
      <x:c r="C41" s="7" t="s">
        <x:v>91</x:v>
      </x:c>
      <x:c r="D41" s="7" t="s">
        <x:v>286</x:v>
      </x:c>
      <x:c r="E41" s="7" t="s">
        <x:v>645</x:v>
      </x:c>
      <x:c r="F41" s="7" t="s">
        <x:v>605</x:v>
      </x:c>
      <x:c r="G41" s="7" t="s">
        <x:v>646</x:v>
      </x:c>
      <x:c r="H41" s="7" t="s">
        <x:v>28</x:v>
      </x:c>
      <x:c r="I41" s="7" t="s">
        <x:v>647</x:v>
      </x:c>
      <x:c r="J41" s="7" t="s">
        <x:v>648</x:v>
      </x:c>
      <x:c r="K41" s="7" t="s">
        <x:v>535</x:v>
      </x:c>
      <x:c r="L41" s="7" t="s">
        <x:v>649</x:v>
      </x:c>
      <x:c r="M41" s="7" t="s">
        <x:v>326</x:v>
      </x:c>
      <x:c r="N41" s="8">
        <x:v>5</x:v>
      </x:c>
      <x:c r="O41" s="7" t="s">
        <x:v>25</x:v>
      </x:c>
      <x:c r="P41" s="7" t="s">
        <x:v>539</x:v>
      </x:c>
      <x:c r="Q41" s="7" t="s">
        <x:v>540</x:v>
      </x:c>
      <x:c r="R41" s="7" t="s">
        <x:v>541</x:v>
      </x:c>
      <x:c r="S41" s="8">
        <x:v>5</x:v>
      </x:c>
      <x:c r="T41" s="7" t="s">
        <x:v>650</x:v>
      </x:c>
      <x:c r="U41" s="7" t="s">
        <x:v>651</x:v>
      </x:c>
      <x:c r="V41" s="7" t="s">
        <x:v>652</x:v>
      </x:c>
      <x:c r="W41" s="7"/>
      <x:c r="X41" t="s">
        <x:v>615</x:v>
      </x:c>
      <x:c r="Z41" t="s">
        <x:v>41</x:v>
      </x:c>
    </x:row>
    <x:row r="42" ht="45">
      <x:c r="A42" s="7" t="s">
        <x:v>653</x:v>
      </x:c>
      <x:c r="B42" s="7" t="s">
        <x:v>654</x:v>
      </x:c>
      <x:c r="C42" s="7" t="s">
        <x:v>91</x:v>
      </x:c>
      <x:c r="D42" s="7" t="s">
        <x:v>234</x:v>
      </x:c>
      <x:c r="E42" s="7" t="s">
        <x:v>271</x:v>
      </x:c>
      <x:c r="F42" s="7" t="s">
        <x:v>655</x:v>
      </x:c>
      <x:c r="G42" s="7" t="s">
        <x:v>656</x:v>
      </x:c>
      <x:c r="H42" s="7" t="s">
        <x:v>30</x:v>
      </x:c>
      <x:c r="I42" s="7" t="s">
        <x:v>657</x:v>
      </x:c>
      <x:c r="J42" s="7" t="s">
        <x:v>658</x:v>
      </x:c>
      <x:c r="K42" s="7" t="s">
        <x:v>659</x:v>
      </x:c>
      <x:c r="L42" s="7" t="s">
        <x:v>660</x:v>
      </x:c>
      <x:c r="M42" s="7" t="s">
        <x:v>661</x:v>
      </x:c>
      <x:c r="N42" s="8">
        <x:v>5</x:v>
      </x:c>
      <x:c r="O42" s="7" t="s">
        <x:v>21</x:v>
      </x:c>
      <x:c r="P42" s="7" t="s">
        <x:v>662</x:v>
      </x:c>
      <x:c r="Q42" s="7" t="s">
        <x:v>663</x:v>
      </x:c>
      <x:c r="R42" s="7" t="s">
        <x:v>664</x:v>
      </x:c>
      <x:c r="S42" s="8">
        <x:v>5</x:v>
      </x:c>
      <x:c r="T42" s="7" t="s">
        <x:v>665</x:v>
      </x:c>
      <x:c r="U42" s="7" t="s">
        <x:v>666</x:v>
      </x:c>
      <x:c r="V42" s="7" t="s">
        <x:v>667</x:v>
      </x:c>
      <x:c r="W42" s="7"/>
      <x:c r="X42" t="s">
        <x:v>267</x:v>
      </x:c>
      <x:c r="Z42" t="s">
        <x:v>36</x:v>
      </x:c>
    </x:row>
    <x:row r="43" ht="45">
      <x:c r="A43" s="7" t="s">
        <x:v>668</x:v>
      </x:c>
      <x:c r="B43" s="7" t="s">
        <x:v>669</x:v>
      </x:c>
      <x:c r="C43" s="7" t="s">
        <x:v>71</x:v>
      </x:c>
      <x:c r="D43" s="7" t="s">
        <x:v>670</x:v>
      </x:c>
      <x:c r="E43" s="7" t="s">
        <x:v>671</x:v>
      </x:c>
      <x:c r="F43" s="7" t="s">
        <x:v>672</x:v>
      </x:c>
      <x:c r="G43" s="7" t="s">
        <x:v>673</x:v>
      </x:c>
      <x:c r="H43" s="7" t="s">
        <x:v>30</x:v>
      </x:c>
      <x:c r="I43" s="7" t="s">
        <x:v>674</x:v>
      </x:c>
      <x:c r="J43" s="7" t="s">
        <x:v>675</x:v>
      </x:c>
      <x:c r="K43" s="7" t="s">
        <x:v>676</x:v>
      </x:c>
      <x:c r="L43" s="7" t="s">
        <x:v>677</x:v>
      </x:c>
      <x:c r="M43" s="7" t="s">
        <x:v>414</x:v>
      </x:c>
      <x:c r="N43" s="8">
        <x:v>5</x:v>
      </x:c>
      <x:c r="O43" s="7" t="s">
        <x:v>21</x:v>
      </x:c>
      <x:c r="P43" s="7" t="s">
        <x:v>662</x:v>
      </x:c>
      <x:c r="Q43" s="7" t="s">
        <x:v>663</x:v>
      </x:c>
      <x:c r="R43" s="7" t="s">
        <x:v>664</x:v>
      </x:c>
      <x:c r="S43" s="8">
        <x:v>5</x:v>
      </x:c>
      <x:c r="T43" s="7" t="s">
        <x:v>678</x:v>
      </x:c>
      <x:c r="U43" s="7" t="s">
        <x:v>679</x:v>
      </x:c>
      <x:c r="V43" s="7" t="s">
        <x:v>680</x:v>
      </x:c>
      <x:c r="W43" s="7"/>
      <x:c r="X43" t="s">
        <x:v>267</x:v>
      </x:c>
      <x:c r="Y43" t="s">
        <x:v>681</x:v>
      </x:c>
      <x:c r="Z43" t="s">
        <x:v>42</x:v>
      </x:c>
    </x:row>
    <x:row r="44" ht="45">
      <x:c r="A44" s="7" t="s">
        <x:v>682</x:v>
      </x:c>
      <x:c r="B44" s="7" t="s">
        <x:v>654</x:v>
      </x:c>
      <x:c r="C44" s="7" t="s">
        <x:v>91</x:v>
      </x:c>
      <x:c r="D44" s="7" t="s">
        <x:v>234</x:v>
      </x:c>
      <x:c r="E44" s="7" t="s">
        <x:v>271</x:v>
      </x:c>
      <x:c r="F44" s="7" t="s">
        <x:v>655</x:v>
      </x:c>
      <x:c r="G44" s="7" t="s">
        <x:v>683</x:v>
      </x:c>
      <x:c r="H44" s="7" t="s">
        <x:v>30</x:v>
      </x:c>
      <x:c r="I44" s="7" t="s">
        <x:v>684</x:v>
      </x:c>
      <x:c r="J44" s="7" t="s">
        <x:v>685</x:v>
      </x:c>
      <x:c r="K44" s="7" t="s">
        <x:v>686</x:v>
      </x:c>
      <x:c r="L44" s="7" t="s">
        <x:v>687</x:v>
      </x:c>
      <x:c r="M44" s="7" t="s">
        <x:v>661</x:v>
      </x:c>
      <x:c r="N44" s="8">
        <x:v>5</x:v>
      </x:c>
      <x:c r="O44" s="7" t="s">
        <x:v>21</x:v>
      </x:c>
      <x:c r="P44" s="7" t="s">
        <x:v>662</x:v>
      </x:c>
      <x:c r="Q44" s="7" t="s">
        <x:v>663</x:v>
      </x:c>
      <x:c r="R44" s="7" t="s">
        <x:v>664</x:v>
      </x:c>
      <x:c r="S44" s="8">
        <x:v>5</x:v>
      </x:c>
      <x:c r="T44" s="7" t="s">
        <x:v>688</x:v>
      </x:c>
      <x:c r="U44" s="7" t="s">
        <x:v>689</x:v>
      </x:c>
      <x:c r="V44" s="7" t="s">
        <x:v>690</x:v>
      </x:c>
      <x:c r="W44" s="7"/>
      <x:c r="X44" t="s">
        <x:v>267</x:v>
      </x:c>
      <x:c r="Y44" t="s">
        <x:v>691</x:v>
      </x:c>
      <x:c r="Z44" t="s">
        <x:v>36</x:v>
      </x:c>
    </x:row>
    <x:row r="45" ht="30">
      <x:c r="A45" s="7" t="s">
        <x:v>692</x:v>
      </x:c>
      <x:c r="B45" s="7" t="s">
        <x:v>693</x:v>
      </x:c>
      <x:c r="C45" s="7" t="s">
        <x:v>91</x:v>
      </x:c>
      <x:c r="D45" s="7" t="s">
        <x:v>234</x:v>
      </x:c>
      <x:c r="E45" s="7" t="s">
        <x:v>271</x:v>
      </x:c>
      <x:c r="F45" s="7" t="s">
        <x:v>655</x:v>
      </x:c>
      <x:c r="G45" s="7" t="s">
        <x:v>694</x:v>
      </x:c>
      <x:c r="H45" s="7" t="s">
        <x:v>30</x:v>
      </x:c>
      <x:c r="I45" s="7" t="s">
        <x:v>695</x:v>
      </x:c>
      <x:c r="J45" s="7" t="s">
        <x:v>696</x:v>
      </x:c>
      <x:c r="K45" s="7" t="s">
        <x:v>697</x:v>
      </x:c>
      <x:c r="L45" s="7" t="s">
        <x:v>698</x:v>
      </x:c>
      <x:c r="M45" s="7" t="s">
        <x:v>294</x:v>
      </x:c>
      <x:c r="N45" s="8">
        <x:v>4</x:v>
      </x:c>
      <x:c r="O45" s="7" t="s">
        <x:v>21</x:v>
      </x:c>
      <x:c r="P45" s="7" t="s">
        <x:v>662</x:v>
      </x:c>
      <x:c r="Q45" s="7" t="s">
        <x:v>663</x:v>
      </x:c>
      <x:c r="R45" s="7" t="s">
        <x:v>664</x:v>
      </x:c>
      <x:c r="S45" s="8">
        <x:v>5</x:v>
      </x:c>
      <x:c r="T45" s="7" t="s">
        <x:v>699</x:v>
      </x:c>
      <x:c r="U45" s="7" t="s">
        <x:v>700</x:v>
      </x:c>
      <x:c r="V45" s="7" t="s">
        <x:v>701</x:v>
      </x:c>
      <x:c r="W45" s="7"/>
      <x:c r="X45" t="s">
        <x:v>267</x:v>
      </x:c>
      <x:c r="Y45" t="s">
        <x:v>702</x:v>
      </x:c>
      <x:c r="Z45" t="s">
        <x:v>37</x:v>
      </x:c>
    </x:row>
    <x:row r="46" ht="30">
      <x:c r="A46" s="7" t="s">
        <x:v>703</x:v>
      </x:c>
      <x:c r="B46" s="7" t="s">
        <x:v>704</x:v>
      </x:c>
      <x:c r="C46" s="7" t="s">
        <x:v>169</x:v>
      </x:c>
      <x:c r="D46" s="7" t="s">
        <x:v>705</x:v>
      </x:c>
      <x:c r="E46" s="7" t="s">
        <x:v>706</x:v>
      </x:c>
      <x:c r="F46" s="7" t="s">
        <x:v>707</x:v>
      </x:c>
      <x:c r="G46" s="7" t="s">
        <x:v>708</x:v>
      </x:c>
      <x:c r="H46" s="7" t="s">
        <x:v>31</x:v>
      </x:c>
      <x:c r="I46" s="7" t="s">
        <x:v>709</x:v>
      </x:c>
      <x:c r="J46" s="7" t="s">
        <x:v>710</x:v>
      </x:c>
      <x:c r="K46" s="7" t="s">
        <x:v>711</x:v>
      </x:c>
      <x:c r="L46" s="7" t="s">
        <x:v>712</x:v>
      </x:c>
      <x:c r="M46" s="7" t="s">
        <x:v>397</x:v>
      </x:c>
      <x:c r="N46" s="8">
        <x:v>4</x:v>
      </x:c>
      <x:c r="O46" s="7" t="s">
        <x:v>21</x:v>
      </x:c>
      <x:c r="P46" s="7" t="s">
        <x:v>713</x:v>
      </x:c>
      <x:c r="Q46" s="7" t="s">
        <x:v>714</x:v>
      </x:c>
      <x:c r="R46" s="7" t="s">
        <x:v>715</x:v>
      </x:c>
      <x:c r="S46" s="8">
        <x:v>4</x:v>
      </x:c>
      <x:c r="T46" s="7" t="s">
        <x:v>716</x:v>
      </x:c>
      <x:c r="U46" s="7" t="s">
        <x:v>717</x:v>
      </x:c>
      <x:c r="V46" s="7" t="s">
        <x:v>718</x:v>
      </x:c>
      <x:c r="W46" s="7"/>
      <x:c r="X46" t="s">
        <x:v>267</x:v>
      </x:c>
      <x:c r="Y46" t="s">
        <x:v>719</x:v>
      </x:c>
      <x:c r="Z46" t="s">
        <x:v>36</x:v>
      </x:c>
    </x:row>
    <x:row r="47" ht="30">
      <x:c r="A47" s="7" t="s">
        <x:v>720</x:v>
      </x:c>
      <x:c r="B47" s="7" t="s">
        <x:v>721</x:v>
      </x:c>
      <x:c r="C47" s="7" t="s">
        <x:v>91</x:v>
      </x:c>
      <x:c r="D47" s="7" t="s">
        <x:v>505</x:v>
      </x:c>
      <x:c r="E47" s="7" t="s">
        <x:v>591</x:v>
      </x:c>
      <x:c r="F47" s="7" t="s">
        <x:v>722</x:v>
      </x:c>
      <x:c r="G47" s="7" t="s">
        <x:v>723</x:v>
      </x:c>
      <x:c r="H47" s="7" t="s">
        <x:v>31</x:v>
      </x:c>
      <x:c r="I47" s="7" t="s">
        <x:v>724</x:v>
      </x:c>
      <x:c r="J47" s="7" t="s">
        <x:v>725</x:v>
      </x:c>
      <x:c r="K47" s="7" t="s">
        <x:v>726</x:v>
      </x:c>
      <x:c r="L47" s="7" t="s">
        <x:v>727</x:v>
      </x:c>
      <x:c r="M47" s="7" t="s">
        <x:v>397</x:v>
      </x:c>
      <x:c r="N47" s="8">
        <x:v>3</x:v>
      </x:c>
      <x:c r="O47" s="7" t="s">
        <x:v>21</x:v>
      </x:c>
      <x:c r="P47" s="7" t="s">
        <x:v>713</x:v>
      </x:c>
      <x:c r="Q47" s="7" t="s">
        <x:v>714</x:v>
      </x:c>
      <x:c r="R47" s="7" t="s">
        <x:v>715</x:v>
      </x:c>
      <x:c r="S47" s="8">
        <x:v>5</x:v>
      </x:c>
      <x:c r="T47" s="7" t="s">
        <x:v>728</x:v>
      </x:c>
      <x:c r="U47" s="7" t="s">
        <x:v>729</x:v>
      </x:c>
      <x:c r="V47" s="7" t="s">
        <x:v>730</x:v>
      </x:c>
      <x:c r="W47" s="7"/>
      <x:c r="X47" t="s">
        <x:v>601</x:v>
      </x:c>
      <x:c r="Y47" t="s">
        <x:v>719</x:v>
      </x:c>
      <x:c r="Z47" t="s">
        <x:v>36</x:v>
      </x:c>
    </x:row>
    <x:row r="48" ht="45">
      <x:c r="A48" s="7" t="s">
        <x:v>731</x:v>
      </x:c>
      <x:c r="B48" s="7" t="s">
        <x:v>732</x:v>
      </x:c>
      <x:c r="C48" s="7" t="s">
        <x:v>71</x:v>
      </x:c>
      <x:c r="D48" s="7" t="s">
        <x:v>733</x:v>
      </x:c>
      <x:c r="E48" s="7" t="s">
        <x:v>734</x:v>
      </x:c>
      <x:c r="F48" s="7" t="s">
        <x:v>672</x:v>
      </x:c>
      <x:c r="G48" s="7" t="s">
        <x:v>735</x:v>
      </x:c>
      <x:c r="H48" s="7" t="s">
        <x:v>30</x:v>
      </x:c>
      <x:c r="I48" s="7" t="s">
        <x:v>736</x:v>
      </x:c>
      <x:c r="J48" s="7" t="s">
        <x:v>737</x:v>
      </x:c>
      <x:c r="K48" s="7" t="s">
        <x:v>738</x:v>
      </x:c>
      <x:c r="L48" s="7" t="s">
        <x:v>739</x:v>
      </x:c>
      <x:c r="M48" s="7" t="s">
        <x:v>661</x:v>
      </x:c>
      <x:c r="N48" s="8">
        <x:v>5</x:v>
      </x:c>
      <x:c r="O48" s="7" t="s">
        <x:v>21</x:v>
      </x:c>
      <x:c r="P48" s="7" t="s">
        <x:v>539</x:v>
      </x:c>
      <x:c r="Q48" s="7" t="s">
        <x:v>540</x:v>
      </x:c>
      <x:c r="R48" s="7" t="s">
        <x:v>541</x:v>
      </x:c>
      <x:c r="S48" s="8">
        <x:v>5</x:v>
      </x:c>
      <x:c r="T48" s="7" t="s">
        <x:v>740</x:v>
      </x:c>
      <x:c r="U48" s="7" t="s">
        <x:v>741</x:v>
      </x:c>
      <x:c r="V48" s="7" t="s">
        <x:v>742</x:v>
      </x:c>
      <x:c r="W48" s="7"/>
      <x:c r="Y48" t="s">
        <x:v>743</x:v>
      </x:c>
      <x:c r="Z48" t="s">
        <x:v>41</x:v>
      </x:c>
    </x:row>
    <x:row r="49" ht="45">
      <x:c r="A49" s="7" t="s">
        <x:v>744</x:v>
      </x:c>
      <x:c r="B49" s="7" t="s">
        <x:v>745</x:v>
      </x:c>
      <x:c r="C49" s="7" t="s">
        <x:v>91</x:v>
      </x:c>
      <x:c r="D49" s="7" t="s">
        <x:v>746</x:v>
      </x:c>
      <x:c r="E49" s="7" t="s">
        <x:v>746</x:v>
      </x:c>
      <x:c r="F49" s="7" t="s">
        <x:v>747</x:v>
      </x:c>
      <x:c r="G49" s="7" t="s">
        <x:v>748</x:v>
      </x:c>
      <x:c r="H49" s="7" t="s">
        <x:v>31</x:v>
      </x:c>
      <x:c r="I49" s="7" t="s">
        <x:v>749</x:v>
      </x:c>
      <x:c r="J49" s="7" t="s">
        <x:v>750</x:v>
      </x:c>
      <x:c r="K49" s="7" t="s">
        <x:v>751</x:v>
      </x:c>
      <x:c r="L49" s="7" t="s">
        <x:v>752</x:v>
      </x:c>
      <x:c r="M49" s="7" t="s">
        <x:v>753</x:v>
      </x:c>
      <x:c r="N49" s="8">
        <x:v>3</x:v>
      </x:c>
      <x:c r="O49" s="7" t="s">
        <x:v>21</x:v>
      </x:c>
      <x:c r="P49" s="7" t="s">
        <x:v>713</x:v>
      </x:c>
      <x:c r="Q49" s="7" t="s">
        <x:v>714</x:v>
      </x:c>
      <x:c r="R49" s="7" t="s">
        <x:v>715</x:v>
      </x:c>
      <x:c r="S49" s="8">
        <x:v>4</x:v>
      </x:c>
      <x:c r="T49" s="7" t="s">
        <x:v>754</x:v>
      </x:c>
      <x:c r="U49" s="7" t="s">
        <x:v>755</x:v>
      </x:c>
      <x:c r="V49" s="7" t="s">
        <x:v>756</x:v>
      </x:c>
      <x:c r="W49" s="7" t="s">
        <x:v>757</x:v>
      </x:c>
      <x:c r="Y49" t="s">
        <x:v>758</x:v>
      </x:c>
      <x:c r="Z49" t="s">
        <x:v>36</x:v>
      </x:c>
    </x:row>
    <x:row r="50">
      <x:c r="A50" s="24" t="str">
        <x:v>PL-HIST-0049</x:v>
      </x:c>
      <x:c r="B50" s="24" t="str">
        <x:v>1871</x:v>
      </x:c>
      <x:c r="C50" s="24" t="str">
        <x:v>год</x:v>
      </x:c>
      <x:c r="D50" s="24" t="str">
        <x:v>Великобритания</x:v>
      </x:c>
      <x:c r="E50" s="24" t="str">
        <x:v>Лондон (публикация)</x:v>
      </x:c>
      <x:c r="F50" s="24" t="str">
        <x:v>Ричард Лич Мэддокс</x:v>
      </x:c>
      <x:c r="G50" s="24" t="str">
        <x:v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v>
      </x:c>
      <x:c r="H50" s="24" t="str">
        <x:v>Негатив-позитив</x:v>
      </x:c>
      <x:c r="I50" s="24" t="str">
        <x:v>Gelatino-bromide dry plate</x:v>
      </x:c>
      <x:c r="J50" s="24" t="str">
        <x:v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v>
      </x:c>
      <x:c r="K50" s="24" t="str">
        <x:v>Мокрый коллодий требовал немедленно готовить, снимать и проявлять пластину</x:v>
      </x:c>
      <x:c r="L50" s="24" t="str">
        <x:v>Эксперименты Бёрджесса, Кеннетта и Беннетта; коммерческие сухие пластины</x:v>
      </x:c>
      <x:c r="M50" s="24" t="str">
        <x:v>Главная линия</x:v>
      </x:c>
      <x:c r="N50" s="24" t="n">
        <x:v>5</x:v>
      </x:c>
      <x:c r="O50" s="24" t="str">
        <x:v>PL-006</x:v>
      </x:c>
      <x:c r="P50" s="24" t="str">
        <x:v>SRC-027</x:v>
      </x:c>
      <x:c r="Q50" s="24" t="str">
        <x:v>National Science and Media Museum — Kodak and Ilford camera factories</x:v>
      </x:c>
      <x:c r="R50" s="24" t="str">
        <x:v>https://www.scienceandmediamuseum.org.uk/objects-and-stories/kodak-ilford-camera-factories-1930s</x:v>
      </x:c>
      <x:c r="S50" s="24" t="n">
        <x:v>5</x:v>
      </x:c>
      <x:c r="T50" s="24" t="str">
        <x:v>В уроке важно объяснить: Мэддокс не сделал фотографию моментально массовой, но открыл принцип — стеклянную пластину можно готовить заранее.</x:v>
      </x:c>
      <x:c r="U50" s="24" t="str">
        <x:v>На карте: влажная красная линия коллодия переходит в сухую стеклянную пластину с желатиновой эмульсией.</x:v>
      </x:c>
      <x:c r="V50" s="24" t="str">
        <x:v>#PL006 #dry-plate #Maddox #gelatin #negative-positive</x:v>
      </x:c>
      <x:c r="W50" s="24" t="str">
        <x:v>Уточнить, стоит ли привязывать город к Лондону как месту публикации, а не к месту экспериментов.</x:v>
      </x:c>
      <x:c r="X50" s="24" t="str">
        <x:v>51.5074, -0.1278</x:v>
      </x:c>
      <x:c r="Y50" s="24" t="str">
        <x:v>Сухие желатиновые пластины / химия</x:v>
      </x:c>
      <x:c r="Z50" s="24" t="str">
        <x:v>Технология / процесс</x:v>
      </x:c>
    </x:row>
    <x:row r="51">
      <x:c r="A51" s="24" t="str">
        <x:v>PL-HIST-0050</x:v>
      </x:c>
      <x:c r="B51" s="24" t="str">
        <x:v>1874</x:v>
      </x:c>
      <x:c r="C51" s="24" t="str">
        <x:v>год</x:v>
      </x:c>
      <x:c r="D51" s="24" t="str">
        <x:v>Великобритания</x:v>
      </x:c>
      <x:c r="E51" s="24" t="str">
        <x:v>Ливерпуль</x:v>
      </x:c>
      <x:c r="F51" s="24" t="str">
        <x:v>Liverpool Dry Plate Company / ранние производители</x:v>
      </x:c>
      <x:c r="G51" s="24" t="str">
        <x:v>Начинаются коммерческие продажи желатиновых сухих пластин; одним из первых производителей называется Liverpool Dry Plate Company.</x:v>
      </x:c>
      <x:c r="H51" s="24" t="str">
        <x:v>Негатив-позитив</x:v>
      </x:c>
      <x:c r="I51" s="24" t="str">
        <x:v>Commercial gelatin dry plates</x:v>
      </x:c>
      <x:c r="J51" s="24" t="str">
        <x:v>Фотограф впервые может не готовить пластину сам перед съёмкой, а купить готовый чувствительный материал.</x:v>
      </x:c>
      <x:c r="K51" s="24" t="str">
        <x:v>Публикация Мэддокса 1871 и последующие улучшения</x:v>
      </x:c>
      <x:c r="L51" s="24" t="str">
        <x:v>Беннетт повышает чувствительность эмульсии; производство становится практичнее</x:v>
      </x:c>
      <x:c r="M51" s="24" t="str">
        <x:v>Распространение / коммерциализация</x:v>
      </x:c>
      <x:c r="N51" s="24" t="n">
        <x:v>4</x:v>
      </x:c>
      <x:c r="O51" s="24" t="str">
        <x:v>PL-006</x:v>
      </x:c>
      <x:c r="P51" s="24" t="str">
        <x:v>SRC-027</x:v>
      </x:c>
      <x:c r="Q51" s="24" t="str">
        <x:v>National Science and Media Museum — Kodak and Ilford camera factories</x:v>
      </x:c>
      <x:c r="R51" s="24" t="str">
        <x:v>https://www.scienceandmediamuseum.org.uk/objects-and-stories/kodak-ilford-camera-factories-1930s</x:v>
      </x:c>
      <x:c r="S51" s="24" t="n">
        <x:v>4</x:v>
      </x:c>
      <x:c r="T51" s="24" t="str">
        <x:v>Для новичка: это переход от «сам себе химик» к покупке готового фотоматериала.</x:v>
      </x:c>
      <x:c r="U51" s="24" t="str">
        <x:v>Иконка фабричной коробки сухих пластин рядом со стеклянной пластиной.</x:v>
      </x:c>
      <x:c r="V51" s="24" t="str">
        <x:v>#PL006 #LiverpoolDryPlate #commercial #dry-plate</x:v>
      </x:c>
      <x:c r="W51" s="24" t="str">
        <x:v>Проверить по отдельному источнику точное название компании и формат первых продаж.</x:v>
      </x:c>
      <x:c r="X51" s="24" t="str">
        <x:v>53.4084, -2.9916</x:v>
      </x:c>
      <x:c r="Y51" s="24" t="str">
        <x:v>Сухие желатиновые пластины / коммерциализация</x:v>
      </x:c>
      <x:c r="Z51" s="24" t="str">
        <x:v>Распространение / коммерциализация</x:v>
      </x:c>
    </x:row>
    <x:row r="52">
      <x:c r="A52" s="24" t="str">
        <x:v>PL-HIST-0051</x:v>
      </x:c>
      <x:c r="B52" s="24" t="str">
        <x:v>1878</x:v>
      </x:c>
      <x:c r="C52" s="24" t="str">
        <x:v>год</x:v>
      </x:c>
      <x:c r="D52" s="24" t="str">
        <x:v>Великобритания</x:v>
      </x:c>
      <x:c r="E52" s="24" t="str">
        <x:v>Лондон</x:v>
      </x:c>
      <x:c r="F52" s="24" t="str">
        <x:v>Чарльз Харпер Беннетт</x:v>
      </x:c>
      <x:c r="G52" s="24" t="str">
        <x:v>Предлагает нагревать/«созревать» желатиновую эмульсию перед нанесением на стекло, резко повышая её светочувствительность.</x:v>
      </x:c>
      <x:c r="H52" s="24" t="str">
        <x:v>Негатив-позитив</x:v>
      </x:c>
      <x:c r="I52" s="24" t="str">
        <x:v>Ripened gelatin-bromide emulsion</x:v>
      </x:c>
      <x:c r="J52" s="24" t="str">
        <x:v>Сухая пластина становится достаточно быстрой для коротких выдержек и съёмки более живого движения.</x:v>
      </x:c>
      <x:c r="K52" s="24" t="str">
        <x:v>Желатино-бромидная сухая пластина Мэддокса</x:v>
      </x:c>
      <x:c r="L52" s="24" t="str">
        <x:v>Сухие пластины входят в широкое производство и начинают вытеснять мокрый коллодий</x:v>
      </x:c>
      <x:c r="M52" s="24" t="str">
        <x:v>Главная линия</x:v>
      </x:c>
      <x:c r="N52" s="24" t="n">
        <x:v>5</x:v>
      </x:c>
      <x:c r="O52" s="24" t="str">
        <x:v>PL-006</x:v>
      </x:c>
      <x:c r="P52" s="24" t="str">
        <x:v>SRC-029</x:v>
      </x:c>
      <x:c r="Q52" s="24" t="str">
        <x:v>Swiss Camera Museum — Gelatine bromide plates</x:v>
      </x:c>
      <x:c r="R52" s="24" t="str">
        <x:v>https://www.cameramuseum.ch/en/discover/permanent-exhibition/the-plate-era/gelatine-bromide-plates/</x:v>
      </x:c>
      <x:c r="S52" s="24" t="n">
        <x:v>5</x:v>
      </x:c>
      <x:c r="T52" s="24" t="str">
        <x:v>Драматургия урока: сухая пластина была удобной, но сначала слабой; Беннетт сделал её действительно быстрой.</x:v>
      </x:c>
      <x:c r="U52" s="24" t="str">
        <x:v>Иконка нагрева эмульсии + секундомер/короткая выдержка.</x:v>
      </x:c>
      <x:c r="V52" s="24" t="str">
        <x:v>#PL006 #Bennett #gelatin-bromide #instantaneous</x:v>
      </x:c>
      <x:c r="W52" s="24"/>
      <x:c r="X52" s="24" t="str">
        <x:v>51.5074, -0.1278</x:v>
      </x:c>
      <x:c r="Y52" s="24" t="str">
        <x:v>Сухие желатиновые пластины / повышение чувствительности</x:v>
      </x:c>
      <x:c r="Z52" s="24" t="str">
        <x:v>Технология / процесс</x:v>
      </x:c>
    </x:row>
    <x:row r="53">
      <x:c r="A53" s="24" t="str">
        <x:v>PL-HIST-0052</x:v>
      </x:c>
      <x:c r="B53" s="24" t="str">
        <x:v>1878</x:v>
      </x:c>
      <x:c r="C53" s="24" t="str">
        <x:v>год</x:v>
      </x:c>
      <x:c r="D53" s="24" t="str">
        <x:v>Великобритания / Европа</x:v>
      </x:c>
      <x:c r="E53" s="24" t="str">
        <x:v>Лондон / промышленные центры</x:v>
      </x:c>
      <x:c r="F53" s="24" t="str">
        <x:v>Производители фотоматериалов</x:v>
      </x:c>
      <x:c r="G53" s="24" t="str">
        <x:v>После улучшений сухие желатиновые пластины переходят к общему производству и начинают быстро заменять мокрый коллодионный процесс.</x:v>
      </x:c>
      <x:c r="H53" s="24" t="str">
        <x:v>Негатив-позитив</x:v>
      </x:c>
      <x:c r="I53" s="24" t="str">
        <x:v>Manufactured gelatin dry plates</x:v>
      </x:c>
      <x:c r="J53" s="24" t="str">
        <x:v>Фотографу больше не нужна переносная тёмная комната на каждую съёмку; процесс становится удобнее, чище и предсказуемее.</x:v>
      </x:c>
      <x:c r="K53" s="24" t="str">
        <x:v>Улучшение чувствительности эмульсии Беннеттом</x:v>
      </x:c>
      <x:c r="L53" s="24" t="str">
        <x:v>Фабричное производство пластин и рост любительской фотографии</x:v>
      </x:c>
      <x:c r="M53" s="24" t="str">
        <x:v>Главная линия / временная доминирующая линия</x:v>
      </x:c>
      <x:c r="N53" s="24" t="n">
        <x:v>5</x:v>
      </x:c>
      <x:c r="O53" s="24" t="str">
        <x:v>PL-006</x:v>
      </x:c>
      <x:c r="P53" s="24" t="str">
        <x:v>SRC-028</x:v>
      </x:c>
      <x:c r="Q53" s="24" t="str">
        <x:v>National Science and Media Museum — A brief guide to photographs on glass</x:v>
      </x:c>
      <x:c r="R53" s="24" t="str">
        <x:v>https://blog.scienceandmediamuseum.org.uk/a-brief-guide-to-photographs-on-glass/</x:v>
      </x:c>
      <x:c r="S53" s="24" t="n">
        <x:v>5</x:v>
      </x:c>
      <x:c r="T53" s="24" t="str">
        <x:v>Это ключевой смысл PL-006: фотография освобождается от немедленной химической гонки мокрого коллодия.</x:v>
      </x:c>
      <x:c r="U53" s="24" t="str">
        <x:v>Линия: палатка-лаборатория исчезает, остаётся камера + коробка готовых пластин.</x:v>
      </x:c>
      <x:c r="V53" s="24" t="str">
        <x:v>#PL006 #manufacture #dry-plate #wet-collodion</x:v>
      </x:c>
      <x:c r="W53" s="24"/>
      <x:c r="X53" s="24" t="str">
        <x:v>51.5074, -0.1278</x:v>
      </x:c>
      <x:c r="Y53" s="24" t="str">
        <x:v>Сухие желатиновые пластины / переход от мокрого коллодия</x:v>
      </x:c>
      <x:c r="Z53" s="24" t="str">
        <x:v>Связь / переход</x:v>
      </x:c>
    </x:row>
    <x:row r="54">
      <x:c r="A54" s="24" t="str">
        <x:v>PL-HIST-0053</x:v>
      </x:c>
      <x:c r="B54" s="24" t="str">
        <x:v>конец 1870-х – 1880-е</x:v>
      </x:c>
      <x:c r="C54" s="24" t="str">
        <x:v>диапазон</x:v>
      </x:c>
      <x:c r="D54" s="24" t="str">
        <x:v>Европа / США</x:v>
      </x:c>
      <x:c r="E54" s="24" t="str">
        <x:v>распределённый процесс</x:v>
      </x:c>
      <x:c r="F54" s="24" t="str">
        <x:v>Фотографы и производители сухих пластин</x:v>
      </x:c>
      <x:c r="G54" s="24" t="str">
        <x:v>Более быстрые сухие пластины позволяют увереннее снимать события, повседневную жизнь и движение, а не только тщательно поставленные сцены.</x:v>
      </x:c>
      <x:c r="H54" s="24" t="str">
        <x:v>Негатив-позитив</x:v>
      </x:c>
      <x:c r="I54" s="24" t="str">
        <x:v>Fast dry plate / instantaneous photography</x:v>
      </x:c>
      <x:c r="J54" s="24" t="str">
        <x:v>Сокращение выдержки меняет не только технику, но и визуальный язык: фотография становится ближе к «моменту».</x:v>
      </x:c>
      <x:c r="K54" s="24" t="str">
        <x:v>Беннетт повышает чувствительность эмульсии</x:v>
      </x:c>
      <x:c r="L54" s="24" t="str">
        <x:v>Распространение портативных камер, любительской съёмки и последующий переход к плёнке</x:v>
      </x:c>
      <x:c r="M54" s="24" t="str">
        <x:v>Главная линия</x:v>
      </x:c>
      <x:c r="N54" s="24" t="n">
        <x:v>4</x:v>
      </x:c>
      <x:c r="O54" s="24" t="str">
        <x:v>PL-006</x:v>
      </x:c>
      <x:c r="P54" s="24" t="str">
        <x:v>SRC-030</x:v>
      </x:c>
      <x:c r="Q54" s="24" t="str">
        <x:v>Cornell Library — Dawn's Early Light: Towards Modern Photography</x:v>
      </x:c>
      <x:c r="R54" s="24" t="str">
        <x:v>https://rmc.library.cornell.edu/DawnsEarlyLight/exhibition/modernphotography/index.html</x:v>
      </x:c>
      <x:c r="S54" s="24" t="n">
        <x:v>4</x:v>
      </x:c>
      <x:c r="T54" s="24" t="str">
        <x:v>Для лекции: сухая пластина — это не просто удобство хранения, а новая скорость взгляда.</x:v>
      </x:c>
      <x:c r="U54" s="24" t="str">
        <x:v>На карте: рядом с пластиной появляется значок бегущего человека/движения.</x:v>
      </x:c>
      <x:c r="V54" s="24" t="str">
        <x:v>#PL006 #instantaneous #motion #dry-plate</x:v>
      </x:c>
      <x:c r="W54" s="24"/>
      <x:c r="X54" s="24"/>
      <x:c r="Y54" s="24" t="str">
        <x:v>Сухие желатиновые пластины / скорость и движение</x:v>
      </x:c>
      <x:c r="Z54" s="24" t="str">
        <x:v>Применение / жанр</x:v>
      </x:c>
    </x:row>
    <x:row r="55">
      <x:c r="A55" s="24" t="str">
        <x:v>PL-HIST-0054</x:v>
      </x:c>
      <x:c r="B55" s="24" t="str">
        <x:v>1880</x:v>
      </x:c>
      <x:c r="C55" s="24" t="str">
        <x:v>год</x:v>
      </x:c>
      <x:c r="D55" s="24" t="str">
        <x:v>США</x:v>
      </x:c>
      <x:c r="E55" s="24" t="str">
        <x:v>Рочестер, Нью-Йорк</x:v>
      </x:c>
      <x:c r="F55" s="24" t="str">
        <x:v>Джордж Истмен</x:v>
      </x:c>
      <x:c r="G55" s="24" t="str">
        <x:v>Начинает коммерчески производить сухие пластины в США и масштабировать их изготовление.</x:v>
      </x:c>
      <x:c r="H55" s="24" t="str">
        <x:v>Негатив-позитив</x:v>
      </x:c>
      <x:c r="I55" s="24" t="str">
        <x:v>Eastman dry plates</x:v>
      </x:c>
      <x:c r="J55" s="24" t="str">
        <x:v>Сухая пластина становится не только европейским техническим процессом, но и основой американской фотоиндустрии.</x:v>
      </x:c>
      <x:c r="K55" s="24" t="str">
        <x:v>Коммерческие сухие пластины в Великобритании и улучшения Беннетта</x:v>
      </x:c>
      <x:c r="L55" s="24" t="str">
        <x:v>Eastman Dry Plate Company; дальнейший поиск замены стекла гибким носителем</x:v>
      </x:c>
      <x:c r="M55" s="24" t="str">
        <x:v>Распространение / коммерциализация</x:v>
      </x:c>
      <x:c r="N55" s="24" t="n">
        <x:v>4</x:v>
      </x:c>
      <x:c r="O55" s="24" t="str">
        <x:v>PL-006</x:v>
      </x:c>
      <x:c r="P55" s="24" t="str">
        <x:v>SRC-031</x:v>
      </x:c>
      <x:c r="Q55" s="24" t="str">
        <x:v>Kodak — History</x:v>
      </x:c>
      <x:c r="R55" s="24" t="str">
        <x:v>https://www.kodak.com/en/company/page/history/</x:v>
      </x:c>
      <x:c r="S55" s="24" t="n">
        <x:v>5</x:v>
      </x:c>
      <x:c r="T55" s="24" t="str">
        <x:v>Здесь появляется мост к Kodak: сначала Истмен работает не с плёнкой, а именно с сухими пластинами.</x:v>
      </x:c>
      <x:c r="U55" s="24" t="str">
        <x:v>Иконка Рочестера/фабрики + коробка Eastman dry plates.</x:v>
      </x:c>
      <x:c r="V55" s="24" t="str">
        <x:v>#PL006 #Eastman #Rochester #dry-plate #Kodak</x:v>
      </x:c>
      <x:c r="W55" s="24"/>
      <x:c r="X55" s="24" t="str">
        <x:v>43.1566, -77.6088</x:v>
      </x:c>
      <x:c r="Y55" s="24" t="str">
        <x:v>Сухие желатиновые пластины / американская индустрия</x:v>
      </x:c>
      <x:c r="Z55" s="24" t="str">
        <x:v>Распространение / коммерциализация</x:v>
      </x:c>
    </x:row>
    <x:row r="56">
      <x:c r="A56" s="24" t="str">
        <x:v>PL-HIST-0055</x:v>
      </x:c>
      <x:c r="B56" s="24" t="str">
        <x:v>1881</x:v>
      </x:c>
      <x:c r="C56" s="24" t="str">
        <x:v>точная дата</x:v>
      </x:c>
      <x:c r="D56" s="24" t="str">
        <x:v>США</x:v>
      </x:c>
      <x:c r="E56" s="24" t="str">
        <x:v>Рочестер, Нью-Йорк</x:v>
      </x:c>
      <x:c r="F56" s="24" t="str">
        <x:v>Джордж Истмен / Генри Стронг</x:v>
      </x:c>
      <x:c r="G56" s="24" t="str">
        <x:v>1 января 1881 года создаётся Eastman Dry Plate Company.</x:v>
      </x:c>
      <x:c r="H56" s="24" t="str">
        <x:v>Негатив-позитив</x:v>
      </x:c>
      <x:c r="I56" s="24" t="str">
        <x:v>Eastman Dry Plate Company</x:v>
      </x:c>
      <x:c r="J56" s="24" t="str">
        <x:v>Промышленная логика фотографии усиливается: производство чувствительного материала становится самостоятельным бизнесом.</x:v>
      </x:c>
      <x:c r="K56" s="24" t="str">
        <x:v>Истмен начинает коммерческое производство сухих пластин в 1880</x:v>
      </x:c>
      <x:c r="L56" s="24" t="str">
        <x:v>Eastman Dry Plate and Film Company; рулонные носители и Kodak</x:v>
      </x:c>
      <x:c r="M56" s="24" t="str">
        <x:v>Распространение / коммерциализация</x:v>
      </x:c>
      <x:c r="N56" s="24" t="n">
        <x:v>4</x:v>
      </x:c>
      <x:c r="O56" s="24" t="str">
        <x:v>PL-006</x:v>
      </x:c>
      <x:c r="P56" s="24" t="str">
        <x:v>SRC-032</x:v>
      </x:c>
      <x:c r="Q56" s="24" t="str">
        <x:v>Kodak — George Eastman History</x:v>
      </x:c>
      <x:c r="R56" s="24" t="str">
        <x:v>https://www.kodak.com/en/company/page/george-eastman-history/</x:v>
      </x:c>
      <x:c r="S56" s="24" t="n">
        <x:v>5</x:v>
      </x:c>
      <x:c r="T56" s="24" t="str">
        <x:v>Это важный узел для перехода: Kodak родился не сразу как камера для всех, а из бизнеса сухих пластин.</x:v>
      </x:c>
      <x:c r="U56" s="24" t="str">
        <x:v>На карте: фабрика/брендовый узел между сухими пластинами и будущей плёнкой.</x:v>
      </x:c>
      <x:c r="V56" s="24" t="str">
        <x:v>#PL006 #EastmanDryPlateCompany #Rochester #Kodak</x:v>
      </x:c>
      <x:c r="W56" s="24"/>
      <x:c r="X56" s="24" t="str">
        <x:v>43.1566, -77.6088</x:v>
      </x:c>
      <x:c r="Y56" s="24" t="str">
        <x:v>Сухие желатиновые пластины / бизнес и масштабирование</x:v>
      </x:c>
      <x:c r="Z56" s="24" t="str">
        <x:v>Распространение / коммерциализация</x:v>
      </x:c>
    </x:row>
    <x:row r="57">
      <x:c r="A57" s="24" t="str">
        <x:v>PL-HIST-0056</x:v>
      </x:c>
      <x:c r="B57" s="24" t="str">
        <x:v>1880–1900</x:v>
      </x:c>
      <x:c r="C57" s="24" t="str">
        <x:v>диапазон</x:v>
      </x:c>
      <x:c r="D57" s="24" t="str">
        <x:v>Европа / США</x:v>
      </x:c>
      <x:c r="E57" s="24" t="str">
        <x:v>распределённый процесс</x:v>
      </x:c>
      <x:c r="F57" s="24" t="str">
        <x:v>Фотографы конца XIX века</x:v>
      </x:c>
      <x:c r="G57" s="24" t="str">
        <x:v>Желатиновые сухие пластинные негативы становятся наиболее распространённой формой негативов примерно с 1880 по 1900 год.</x:v>
      </x:c>
      <x:c r="H57" s="24" t="str">
        <x:v>Негатив-позитив</x:v>
      </x:c>
      <x:c r="I57" s="24" t="str">
        <x:v>Gelatin dry plate negative</x:v>
      </x:c>
      <x:c r="J57" s="24" t="str">
        <x:v>На два десятилетия сухая пластина становится нормой профессиональной и серьёзной любительской фотографии.</x:v>
      </x:c>
      <x:c r="K57" s="24" t="str">
        <x:v>Производство сухих пластин и рост чувствительности эмульсий</x:v>
      </x:c>
      <x:c r="L57" s="24" t="str">
        <x:v>Гибкая плёнка постепенно заменяет стеклянную пластину в массовой фотографии</x:v>
      </x:c>
      <x:c r="M57" s="24" t="str">
        <x:v>Главная линия / временная доминирующая линия</x:v>
      </x:c>
      <x:c r="N57" s="24" t="n">
        <x:v>4</x:v>
      </x:c>
      <x:c r="O57" s="24" t="str">
        <x:v>PL-006</x:v>
      </x:c>
      <x:c r="P57" s="24" t="str">
        <x:v>SRC-033</x:v>
      </x:c>
      <x:c r="Q57" s="24" t="str">
        <x:v>Smithsonian Institution Archives — Gelatin Dry Plate Negatives</x:v>
      </x:c>
      <x:c r="R57" s="24" t="str">
        <x:v>https://siarchives.si.edu/blog/highlight-photo-cold-vault-gelatin-dry-plate-negatives</x:v>
      </x:c>
      <x:c r="S57" s="24" t="n">
        <x:v>5</x:v>
      </x:c>
      <x:c r="T57" s="24" t="str">
        <x:v>Формула для урока: мокрый коллодий был революцией середины века, сухая пластина — нормой конца века.</x:v>
      </x:c>
      <x:c r="U57" s="24" t="str">
        <x:v>Широкая полоса на таймлайне 1880–1900: «эпоха сухих пластин».</x:v>
      </x:c>
      <x:c r="V57" s="24" t="str">
        <x:v>#PL006 #1880s #dry-plate-negative #glass-negative</x:v>
      </x:c>
      <x:c r="W57" s="24"/>
      <x:c r="X57" s="24"/>
      <x:c r="Y57" s="24" t="str">
        <x:v>Сухие желатиновые пластины / доминирующая практика</x:v>
      </x:c>
      <x:c r="Z57" s="24" t="str">
        <x:v>Ключевой исторический узел</x:v>
      </x:c>
    </x:row>
    <x:row r="58">
      <x:c r="A58" s="24" t="str">
        <x:v>PL-HIST-0057</x:v>
      </x:c>
      <x:c r="B58" s="24" t="str">
        <x:v>1880-е</x:v>
      </x:c>
      <x:c r="C58" s="24" t="str">
        <x:v>диапазон</x:v>
      </x:c>
      <x:c r="D58" s="24" t="str">
        <x:v>Европа / США</x:v>
      </x:c>
      <x:c r="E58" s="24" t="str">
        <x:v>распределённый процесс</x:v>
      </x:c>
      <x:c r="F58" s="24" t="str">
        <x:v>Профессиональные и любительские фотографы</x:v>
      </x:c>
      <x:c r="G58" s="24" t="str">
        <x:v>Сухие пластины можно было экспонировать в одном месте, а проявлять позже в тёмной комнате; это убирало зависимость от немедленной полевой химии.</x:v>
      </x:c>
      <x:c r="H58" s="24" t="str">
        <x:v>Негатив-позитив</x:v>
      </x:c>
      <x:c r="I58" s="24" t="str">
        <x:v>Prepared dry plates / delayed development</x:v>
      </x:c>
      <x:c r="J58" s="24" t="str">
        <x:v>Фотограф получает свободу маршрута: съёмка и проявка впервые заметно расходятся во времени и пространстве.</x:v>
      </x:c>
      <x:c r="K58" s="24" t="str">
        <x:v>Wet collodion field darkroom</x:v>
      </x:c>
      <x:c r="L58" s="24" t="str">
        <x:v>Portable cameras, amateur photography and roll film systems</x:v>
      </x:c>
      <x:c r="M58" s="24" t="str">
        <x:v>Главная линия</x:v>
      </x:c>
      <x:c r="N58" s="24" t="n">
        <x:v>5</x:v>
      </x:c>
      <x:c r="O58" s="24" t="str">
        <x:v>PL-006</x:v>
      </x:c>
      <x:c r="P58" s="24" t="str">
        <x:v>SRC-034</x:v>
      </x:c>
      <x:c r="Q58" s="24" t="str">
        <x:v>George Eastman Museum — Dry Plates in the Woods</x:v>
      </x:c>
      <x:c r="R58" s="24" t="str">
        <x:v>https://www.eastman.org/blog/dry-plates-woods-using-19th-century-photographic-processes-capture-letchworth-state-park</x:v>
      </x:c>
      <x:c r="S58" s="24" t="n">
        <x:v>5</x:v>
      </x:c>
      <x:c r="T58" s="24" t="str">
        <x:v>Очень понятная фраза для новичка: теперь не нужно тащить лабораторию за каждым кадром.</x:v>
      </x:c>
      <x:c r="U58" s="24" t="str">
        <x:v>Маршрутная линия: фотограф уходит из лаборатории на улицу/в лес, а проявляет позже.</x:v>
      </x:c>
      <x:c r="V58" s="24" t="str">
        <x:v>#PL006 #mobility #delayed-development #dry-plate</x:v>
      </x:c>
      <x:c r="W58" s="24"/>
      <x:c r="X58" s="24"/>
      <x:c r="Y58" s="24" t="str">
        <x:v>Сухие желатиновые пластины / мобильность</x:v>
      </x:c>
      <x:c r="Z58" s="24" t="str">
        <x:v>Связь / переход</x:v>
      </x:c>
    </x:row>
    <x:row r="59">
      <x:c r="A59" s="24" t="str">
        <x:v>PL-HIST-0058</x:v>
      </x:c>
      <x:c r="B59" s="24" t="str">
        <x:v>1880-е</x:v>
      </x:c>
      <x:c r="C59" s="24" t="str">
        <x:v>диапазон</x:v>
      </x:c>
      <x:c r="D59" s="24" t="str">
        <x:v>США / Великобритания</x:v>
      </x:c>
      <x:c r="E59" s="24" t="str">
        <x:v>Рочестер / промышленные центры</x:v>
      </x:c>
      <x:c r="F59" s="24" t="str">
        <x:v>Джордж Истмен и производители фотоматериалов</x:v>
      </x:c>
      <x:c r="G59" s="24" t="str">
        <x:v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v>
      </x:c>
      <x:c r="H59" s="24" t="str">
        <x:v>Негатив-позитив</x:v>
      </x:c>
      <x:c r="I59" s="24" t="str">
        <x:v>Bridge from glass plates to roll film</x:v>
      </x:c>
      <x:c r="J59" s="24" t="str">
        <x:v>PL-006 логически открывает PL-007: после свободы от мокрой химии фотография начинает освобождаться от стеклянной пластины.</x:v>
      </x:c>
      <x:c r="K59" s="24" t="str">
        <x:v>Сухие желатиновые пластины как удобный готовый негативный материал</x:v>
      </x:c>
      <x:c r="L59" s="24" t="str">
        <x:v>Рулонная плёнка, Kodak camera 1888, массовая любительская фотография</x:v>
      </x:c>
      <x:c r="M59" s="24" t="str">
        <x:v>Связь / переход</x:v>
      </x:c>
      <x:c r="N59" s="24" t="n">
        <x:v>5</x:v>
      </x:c>
      <x:c r="O59" s="24" t="str">
        <x:v>PL-006</x:v>
      </x:c>
      <x:c r="P59" s="24" t="str">
        <x:v>SRC-031</x:v>
      </x:c>
      <x:c r="Q59" s="24" t="str">
        <x:v>Kodak — History</x:v>
      </x:c>
      <x:c r="R59" s="24" t="str">
        <x:v>https://www.kodak.com/en/company/page/history/</x:v>
      </x:c>
      <x:c r="S59" s="24" t="n">
        <x:v>4</x:v>
      </x:c>
      <x:c r="T59" s="24" t="str">
        <x:v>Это интрига на следующий урок: фотография стала сухой, но пока ещё стеклянной.</x:v>
      </x:c>
      <x:c r="U59" s="24" t="str">
        <x:v>Стеклянная пластина превращается в гибкую ленту/рулон — стрелка к будущему PL-007.</x:v>
      </x:c>
      <x:c r="V59" s="24" t="str">
        <x:v>#PL006 #bridge #roll-film #Kodak #future-PL</x:v>
      </x:c>
      <x:c r="W59" s="24" t="str">
        <x:v>При планировании PL-007 уточнить отдельными источниками Eastman-Walker roll holder и даты ранней рулонной плёнки.</x:v>
      </x:c>
      <x:c r="X59" s="24" t="str">
        <x:v>43.1566, -77.6088</x:v>
      </x:c>
      <x:c r="Y59" s="24" t="str">
        <x:v>Сухие желатиновые пластины / мост к плёнке</x:v>
      </x:c>
      <x:c r="Z59" s="24" t="str">
        <x:v>Связь / переход</x:v>
      </x:c>
    </x:row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8">
    <x:dataValidation type="list" sqref="C2:C500">
      <x:formula1>'06_Lists'!$A$2:$A$6</x:formula1>
    </x:dataValidation>
    <x:dataValidation type="list" sqref="M2:M500">
      <x:formula1>'06_Lists'!$B$2:$B$10</x:formula1>
    </x:dataValidation>
    <x:dataValidation type="list" sqref="N2:N500">
      <x:formula1>'06_Lists'!$E$2:$E$6</x:formula1>
    </x:dataValidation>
    <x:dataValidation type="list" sqref="O2:O500">
      <x:formula1>'06_Lists'!$C$2:$C$10</x:formula1>
    </x:dataValidation>
    <x:dataValidation type="list" sqref="S2:S500">
      <x:formula1>'06_Lists'!$F$2:$F$6</x:formula1>
    </x:dataValidation>
    <x:dataValidation type="list" sqref="H2:H500">
      <x:formula1>'06_Lists'!$D$2:$D$14</x:formula1>
    </x:dataValidation>
    <x:dataValidation type="list" sqref="Y2:Y500">
      <x:formula1>'06_Lists'!$H$2:$H$36</x:formula1>
    </x:dataValidation>
    <x:dataValidation type="list" sqref="Z2:Z500">
      <x:formula1>'06_Lists'!$G$2:$G$11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e72df72f5c4ccf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customWidth="1"/>
    <x:col min="2" max="2" width="44" customWidth="1"/>
    <x:col min="3" max="3" width="22" customWidth="1"/>
    <x:col min="4" max="4" width="20" customWidth="1"/>
    <x:col min="5" max="5" width="42" customWidth="1"/>
  </x:cols>
  <x:sheetData>
    <x:row r="1" ht="27.75" customHeight="1">
      <x:c r="A1" s="3" t="s">
        <x:v>759</x:v>
      </x:c>
      <x:c r="B1" s="3" t="s">
        <x:v>760</x:v>
      </x:c>
      <x:c r="C1" s="3" t="s">
        <x:v>761</x:v>
      </x:c>
      <x:c r="D1" s="3" t="s">
        <x:v>762</x:v>
      </x:c>
      <x:c r="E1" s="3" t="s">
        <x:v>2</x:v>
      </x:c>
    </x:row>
    <x:row r="2" ht="32">
      <x:c r="A2" s="6" t="s">
        <x:v>12</x:v>
      </x:c>
      <x:c r="B2" s="6" t="s">
        <x:v>763</x:v>
      </x:c>
      <x:c r="C2" s="6" t="s">
        <x:v>13</x:v>
      </x:c>
      <x:c r="D2" s="6" t="s">
        <x:v>764</x:v>
      </x:c>
      <x:c r="E2" s="6" t="s">
        <x:v>765</x:v>
      </x:c>
    </x:row>
    <x:row r="3" ht="32">
      <x:c r="A3" s="6" t="s">
        <x:v>14</x:v>
      </x:c>
      <x:c r="B3" s="6" t="s">
        <x:v>766</x:v>
      </x:c>
      <x:c r="C3" s="6" t="s">
        <x:v>767</x:v>
      </x:c>
      <x:c r="D3" s="6" t="s">
        <x:v>768</x:v>
      </x:c>
      <x:c r="E3" s="6" t="s">
        <x:v>769</x:v>
      </x:c>
    </x:row>
    <x:row r="4" ht="16">
      <x:c r="A4" s="6" t="s">
        <x:v>16</x:v>
      </x:c>
      <x:c r="B4" s="6" t="str">
        <x:v>серебряные соли, потемнение от света, фиксация, желатиновые эмульсии</x:v>
      </x:c>
      <x:c r="C4" s="6" t="str">
        <x:v>PL-002 / PL-006</x:v>
      </x:c>
      <x:c r="D4" s="6" t="s">
        <x:v>770</x:v>
      </x:c>
      <x:c r="E4" s="6" t="s">
        <x:v>771</x:v>
      </x:c>
    </x:row>
    <x:row r="5" ht="16">
      <x:c r="A5" s="6" t="s">
        <x:v>18</x:v>
      </x:c>
      <x:c r="B5" s="6" t="s">
        <x:v>772</x:v>
      </x:c>
      <x:c r="C5" s="6" t="s">
        <x:v>15</x:v>
      </x:c>
      <x:c r="D5" s="6" t="s">
        <x:v>773</x:v>
      </x:c>
      <x:c r="E5" s="6" t="s">
        <x:v>774</x:v>
      </x:c>
    </x:row>
    <x:row r="6" ht="32">
      <x:c r="A6" s="6" t="s">
        <x:v>20</x:v>
      </x:c>
      <x:c r="B6" s="6" t="s">
        <x:v>775</x:v>
      </x:c>
      <x:c r="C6" s="6" t="s">
        <x:v>17</x:v>
      </x:c>
      <x:c r="D6" s="6" t="s">
        <x:v>776</x:v>
      </x:c>
      <x:c r="E6" s="6" t="s">
        <x:v>777</x:v>
      </x:c>
    </x:row>
    <x:row r="7" ht="32">
      <x:c r="A7" s="6" t="s">
        <x:v>22</x:v>
      </x:c>
      <x:c r="B7" s="6" t="s">
        <x:v>778</x:v>
      </x:c>
      <x:c r="C7" s="6" t="s">
        <x:v>19</x:v>
      </x:c>
      <x:c r="D7" s="6" t="s">
        <x:v>779</x:v>
      </x:c>
      <x:c r="E7" s="6" t="s">
        <x:v>780</x:v>
      </x:c>
    </x:row>
    <x:row r="8" ht="16">
      <x:c r="A8" s="6" t="s">
        <x:v>24</x:v>
      </x:c>
      <x:c r="B8" s="6" t="str">
        <x:v>бумажный негатив, калотип, стеклянный негатив, сухая желатиновая пластина, копирование</x:v>
      </x:c>
      <x:c r="C8" s="6" t="str">
        <x:v>PL-004 / PL-006</x:v>
      </x:c>
      <x:c r="D8" s="6" t="s">
        <x:v>781</x:v>
      </x:c>
      <x:c r="E8" s="6" t="s">
        <x:v>782</x:v>
      </x:c>
    </x:row>
    <x:row r="9" ht="16">
      <x:c r="A9" s="6" t="s">
        <x:v>26</x:v>
      </x:c>
      <x:c r="B9" s="6" t="s">
        <x:v>783</x:v>
      </x:c>
      <x:c r="C9" s="6" t="s">
        <x:v>19</x:v>
      </x:c>
      <x:c r="D9" s="6" t="s">
        <x:v>784</x:v>
      </x:c>
      <x:c r="E9" s="6" t="s">
        <x:v>785</x:v>
      </x:c>
    </x:row>
    <x:row r="10" ht="16">
      <x:c r="A10" s="6" t="s">
        <x:v>28</x:v>
      </x:c>
      <x:c r="B10" s="6" t="s">
        <x:v>786</x:v>
      </x:c>
      <x:c r="C10" s="6" t="s">
        <x:v>787</x:v>
      </x:c>
      <x:c r="D10" s="6" t="s">
        <x:v>788</x:v>
      </x:c>
      <x:c r="E10" s="6" t="s">
        <x:v>789</x:v>
      </x:c>
    </x:row>
    <x:row r="11" ht="16">
      <x:c r="A11" s="6" t="s">
        <x:v>30</x:v>
      </x:c>
      <x:c r="B11" s="6" t="s">
        <x:v>790</x:v>
      </x:c>
      <x:c r="C11" s="6" t="s">
        <x:v>21</x:v>
      </x:c>
      <x:c r="D11" s="6" t="s">
        <x:v>791</x:v>
      </x:c>
      <x:c r="E11" s="6" t="s">
        <x:v>792</x:v>
      </x:c>
    </x:row>
    <x:row r="12" ht="16">
      <x:c r="A12" s="6" t="s">
        <x:v>31</x:v>
      </x:c>
      <x:c r="B12" s="6" t="s">
        <x:v>793</x:v>
      </x:c>
      <x:c r="C12" s="6" t="s">
        <x:v>794</x:v>
      </x:c>
      <x:c r="D12" s="6" t="s">
        <x:v>795</x:v>
      </x:c>
      <x:c r="E12" s="6" t="s">
        <x:v>796</x:v>
      </x:c>
    </x:row>
    <x:row r="13" ht="16">
      <x:c r="A13" s="6" t="s">
        <x:v>32</x:v>
      </x:c>
      <x:c r="B13" s="6" t="s">
        <x:v>797</x:v>
      </x:c>
      <x:c r="C13" s="6" t="s">
        <x:v>25</x:v>
      </x:c>
      <x:c r="D13" s="6" t="s">
        <x:v>798</x:v>
      </x:c>
      <x:c r="E13" s="6" t="s">
        <x:v>799</x:v>
      </x:c>
    </x:row>
    <x:row r="14" ht="16">
      <x:c r="A14" s="6" t="s">
        <x:v>33</x:v>
      </x:c>
      <x:c r="B14" s="6" t="s">
        <x:v>800</x:v>
      </x:c>
      <x:c r="C14" s="6" t="s">
        <x:v>25</x:v>
      </x:c>
      <x:c r="D14" s="6" t="s">
        <x:v>801</x:v>
      </x:c>
      <x:c r="E14" s="6" t="s">
        <x:v>802</x:v>
      </x:c>
    </x:row>
  </x:sheetData>
  <x:pageMargins left="0.7" right="0.7" top="0.75" bottom="0.75" header="0.3" footer="0.3"/>
  <x:tableParts count="1">
    <x:tablePart xmlns:r="http://schemas.openxmlformats.org/officeDocument/2006/relationships" r:id="R4de8a6edf0be45ee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customWidth="1"/>
    <x:col min="2" max="2" width="27.33203125" customWidth="1"/>
    <x:col min="3" max="3" width="42" customWidth="1"/>
    <x:col min="4" max="4" width="76.1640625" customWidth="1"/>
    <x:col min="5" max="5" width="11.33203125" customWidth="1"/>
  </x:cols>
  <x:sheetData>
    <x:row r="1" ht="27.75" customHeight="1">
      <x:c r="A1" s="10" t="s">
        <x:v>11</x:v>
      </x:c>
      <x:c r="B1" s="10" t="s">
        <x:v>803</x:v>
      </x:c>
      <x:c r="C1" s="10" t="s">
        <x:v>804</x:v>
      </x:c>
      <x:c r="D1" s="10" t="s">
        <x:v>805</x:v>
      </x:c>
      <x:c r="E1" s="10" t="s">
        <x:v>806</x:v>
      </x:c>
    </x:row>
    <x:row r="2" ht="32">
      <x:c r="A2" s="6" t="s">
        <x:v>13</x:v>
      </x:c>
      <x:c r="B2" s="6" t="s">
        <x:v>807</x:v>
      </x:c>
      <x:c r="C2" s="6" t="s">
        <x:v>808</x:v>
      </x:c>
      <x:c r="D2" s="6" t="s">
        <x:v>809</x:v>
      </x:c>
      <x:c r="E2" s="6" t="s">
        <x:v>810</x:v>
      </x:c>
    </x:row>
    <x:row r="3" ht="32">
      <x:c r="A3" s="6" t="s">
        <x:v>15</x:v>
      </x:c>
      <x:c r="B3" s="6" t="s">
        <x:v>811</x:v>
      </x:c>
      <x:c r="C3" s="6" t="s">
        <x:v>812</x:v>
      </x:c>
      <x:c r="D3" s="6" t="s">
        <x:v>813</x:v>
      </x:c>
      <x:c r="E3" s="6" t="s">
        <x:v>810</x:v>
      </x:c>
    </x:row>
    <x:row r="4" ht="32">
      <x:c r="A4" s="6" t="s">
        <x:v>17</x:v>
      </x:c>
      <x:c r="B4" s="6" t="s">
        <x:v>20</x:v>
      </x:c>
      <x:c r="C4" s="6" t="s">
        <x:v>814</x:v>
      </x:c>
      <x:c r="D4" s="6" t="s">
        <x:v>815</x:v>
      </x:c>
      <x:c r="E4" s="6" t="s">
        <x:v>810</x:v>
      </x:c>
    </x:row>
    <x:row r="5" ht="32">
      <x:c r="A5" s="6" t="s">
        <x:v>19</x:v>
      </x:c>
      <x:c r="B5" s="6" t="s">
        <x:v>816</x:v>
      </x:c>
      <x:c r="C5" s="6" t="s">
        <x:v>817</x:v>
      </x:c>
      <x:c r="D5" s="6" t="s">
        <x:v>818</x:v>
      </x:c>
      <x:c r="E5" s="6" t="s">
        <x:v>810</x:v>
      </x:c>
    </x:row>
    <x:row r="6" ht="32">
      <x:c r="A6" s="6" t="s">
        <x:v>21</x:v>
      </x:c>
      <x:c r="B6" s="6" t="s">
        <x:v>30</x:v>
      </x:c>
      <x:c r="C6" s="6" t="s">
        <x:v>819</x:v>
      </x:c>
      <x:c r="D6" s="6" t="s">
        <x:v>820</x:v>
      </x:c>
      <x:c r="E6" s="6" t="s">
        <x:v>810</x:v>
      </x:c>
    </x:row>
    <x:row r="7" ht="32">
      <x:c r="A7" s="6" t="str">
        <x:v>PL-006</x:v>
      </x:c>
      <x:c r="B7" s="6" t="str">
        <x:v>Сухие желатиновые пластины</x:v>
      </x:c>
      <x:c r="C7" s="6" t="str">
        <x:v>PL-HIST-0049…0058</x:v>
      </x:c>
      <x:c r="D7" s="6" t="str">
        <x:v>Фотография освобождается от немедленной полевой химии: пластину можно купить, хранить, экспонировать и проявлять позже.</x:v>
      </x:c>
      <x:c r="E7" s="6" t="str">
        <x:v>основа заполнена</x:v>
      </x:c>
    </x:row>
    <x:row r="8">
      <x:c r="A8" t="s">
        <x:v>25</x:v>
      </x:c>
      <x:c r="B8" t="s">
        <x:v>821</x:v>
      </x:c>
      <x:c r="C8" t="s">
        <x:v>822</x:v>
      </x:c>
      <x:c r="D8" t="s">
        <x:v>823</x:v>
      </x:c>
      <x:c r="E8" t="s">
        <x:v>824</x:v>
      </x:c>
    </x:row>
  </x:sheetData>
  <x:pageMargins left="0.7" right="0.7" top="0.75" bottom="0.75" header="0.3" footer="0.3"/>
  <x:tableParts count="1">
    <x:tablePart xmlns:r="http://schemas.openxmlformats.org/officeDocument/2006/relationships" r:id="R9953f736891e4cb0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customWidth="1"/>
    <x:col min="2" max="2" width="42" customWidth="1"/>
    <x:col min="3" max="3" width="70" customWidth="1"/>
    <x:col min="4" max="4" width="42" customWidth="1"/>
    <x:col min="5" max="5" width="30" customWidth="1"/>
  </x:cols>
  <x:sheetData>
    <x:row r="1" ht="27.75" customHeight="1">
      <x:c r="A1" s="3" t="s">
        <x:v>59</x:v>
      </x:c>
      <x:c r="B1" s="3" t="s">
        <x:v>825</x:v>
      </x:c>
      <x:c r="C1" s="3" t="s">
        <x:v>826</x:v>
      </x:c>
      <x:c r="D1" s="3" t="s">
        <x:v>827</x:v>
      </x:c>
      <x:c r="E1" s="3" t="s">
        <x:v>828</x:v>
      </x:c>
    </x:row>
    <x:row r="2" ht="32">
      <x:c r="A2" s="6" t="s">
        <x:v>81</x:v>
      </x:c>
      <x:c r="B2" s="6" t="s">
        <x:v>82</x:v>
      </x:c>
      <x:c r="C2" s="6" t="s">
        <x:v>83</x:v>
      </x:c>
      <x:c r="D2" s="6" t="s">
        <x:v>829</x:v>
      </x:c>
      <x:c r="E2" s="6" t="s">
        <x:v>830</x:v>
      </x:c>
    </x:row>
    <x:row r="3" ht="32">
      <x:c r="A3" s="6" t="s">
        <x:v>118</x:v>
      </x:c>
      <x:c r="B3" s="6" t="s">
        <x:v>119</x:v>
      </x:c>
      <x:c r="C3" s="6" t="s">
        <x:v>120</x:v>
      </x:c>
      <x:c r="D3" s="6" t="s">
        <x:v>831</x:v>
      </x:c>
      <x:c r="E3" s="6" t="s">
        <x:v>832</x:v>
      </x:c>
    </x:row>
    <x:row r="4" ht="32">
      <x:c r="A4" s="6" t="s">
        <x:v>100</x:v>
      </x:c>
      <x:c r="B4" s="6" t="s">
        <x:v>101</x:v>
      </x:c>
      <x:c r="C4" s="6" t="s">
        <x:v>102</x:v>
      </x:c>
      <x:c r="D4" s="6" t="s">
        <x:v>833</x:v>
      </x:c>
      <x:c r="E4" s="6" t="s">
        <x:v>834</x:v>
      </x:c>
    </x:row>
    <x:row r="5" ht="32">
      <x:c r="A5" s="6" t="s">
        <x:v>189</x:v>
      </x:c>
      <x:c r="B5" s="6" t="s">
        <x:v>190</x:v>
      </x:c>
      <x:c r="C5" s="6" t="s">
        <x:v>191</x:v>
      </x:c>
      <x:c r="D5" s="6" t="s">
        <x:v>835</x:v>
      </x:c>
      <x:c r="E5" s="6" t="s">
        <x:v>836</x:v>
      </x:c>
    </x:row>
    <x:row r="6" ht="32">
      <x:c r="A6" s="6" t="s">
        <x:v>206</x:v>
      </x:c>
      <x:c r="B6" s="6" t="s">
        <x:v>207</x:v>
      </x:c>
      <x:c r="C6" s="6" t="s">
        <x:v>208</x:v>
      </x:c>
      <x:c r="D6" s="6" t="s">
        <x:v>837</x:v>
      </x:c>
      <x:c r="E6" s="6" t="s">
        <x:v>838</x:v>
      </x:c>
    </x:row>
    <x:row r="7" ht="16">
      <x:c r="A7" s="6" t="s">
        <x:v>223</x:v>
      </x:c>
      <x:c r="B7" s="6" t="s">
        <x:v>224</x:v>
      </x:c>
      <x:c r="C7" s="6" t="s">
        <x:v>225</x:v>
      </x:c>
      <x:c r="D7" s="6" t="s">
        <x:v>839</x:v>
      </x:c>
      <x:c r="E7" s="6" t="s">
        <x:v>840</x:v>
      </x:c>
    </x:row>
    <x:row r="8" ht="32">
      <x:c r="A8" s="6" t="s">
        <x:v>243</x:v>
      </x:c>
      <x:c r="B8" s="6" t="s">
        <x:v>244</x:v>
      </x:c>
      <x:c r="C8" s="6" t="s">
        <x:v>245</x:v>
      </x:c>
      <x:c r="D8" s="6" t="s">
        <x:v>841</x:v>
      </x:c>
      <x:c r="E8" s="6" t="s">
        <x:v>838</x:v>
      </x:c>
    </x:row>
    <x:row r="9" ht="32">
      <x:c r="A9" s="6" t="s">
        <x:v>260</x:v>
      </x:c>
      <x:c r="B9" s="6" t="s">
        <x:v>261</x:v>
      </x:c>
      <x:c r="C9" s="6" t="s">
        <x:v>262</x:v>
      </x:c>
      <x:c r="D9" s="6" t="s">
        <x:v>842</x:v>
      </x:c>
      <x:c r="E9" s="6" t="s">
        <x:v>843</x:v>
      </x:c>
    </x:row>
    <x:row r="10" ht="16">
      <x:c r="A10" s="6" t="s">
        <x:v>278</x:v>
      </x:c>
      <x:c r="B10" s="6" t="s">
        <x:v>279</x:v>
      </x:c>
      <x:c r="C10" s="6" t="s">
        <x:v>280</x:v>
      </x:c>
      <x:c r="D10" s="6" t="s">
        <x:v>844</x:v>
      </x:c>
      <x:c r="E10" s="6" t="s">
        <x:v>845</x:v>
      </x:c>
    </x:row>
    <x:row r="11" ht="32">
      <x:c r="A11" s="6" t="s">
        <x:v>310</x:v>
      </x:c>
      <x:c r="B11" s="6" t="s">
        <x:v>311</x:v>
      </x:c>
      <x:c r="C11" s="6" t="s">
        <x:v>312</x:v>
      </x:c>
      <x:c r="D11" s="6" t="s">
        <x:v>846</x:v>
      </x:c>
      <x:c r="E11" s="6" t="s">
        <x:v>847</x:v>
      </x:c>
    </x:row>
    <x:row r="12" ht="32">
      <x:c r="A12" s="6" t="s">
        <x:v>295</x:v>
      </x:c>
      <x:c r="B12" s="6" t="s">
        <x:v>296</x:v>
      </x:c>
      <x:c r="C12" s="6" t="s">
        <x:v>297</x:v>
      </x:c>
      <x:c r="D12" s="6" t="s">
        <x:v>848</x:v>
      </x:c>
      <x:c r="E12" s="6" t="s">
        <x:v>849</x:v>
      </x:c>
    </x:row>
    <x:row r="13" ht="32">
      <x:c r="A13" s="6" t="s">
        <x:v>426</x:v>
      </x:c>
      <x:c r="B13" s="6" t="s">
        <x:v>427</x:v>
      </x:c>
      <x:c r="C13" s="6" t="s">
        <x:v>428</x:v>
      </x:c>
      <x:c r="D13" s="6" t="s">
        <x:v>850</x:v>
      </x:c>
      <x:c r="E13" s="6" t="s">
        <x:v>851</x:v>
      </x:c>
    </x:row>
    <x:row r="14" ht="32">
      <x:c r="A14" s="6" t="s">
        <x:v>398</x:v>
      </x:c>
      <x:c r="B14" s="6" t="s">
        <x:v>399</x:v>
      </x:c>
      <x:c r="C14" s="6" t="s">
        <x:v>400</x:v>
      </x:c>
      <x:c r="D14" s="6" t="s">
        <x:v>852</x:v>
      </x:c>
      <x:c r="E14" s="6" t="s">
        <x:v>853</x:v>
      </x:c>
    </x:row>
    <x:row r="15" ht="32">
      <x:c r="A15" s="6" t="s">
        <x:v>854</x:v>
      </x:c>
      <x:c r="B15" s="6" t="s">
        <x:v>855</x:v>
      </x:c>
      <x:c r="C15" s="6" t="s">
        <x:v>856</x:v>
      </x:c>
      <x:c r="D15" s="6" t="s">
        <x:v>857</x:v>
      </x:c>
      <x:c r="E15" s="6" t="s">
        <x:v>858</x:v>
      </x:c>
    </x:row>
    <x:row r="16" ht="32">
      <x:c r="A16" s="6" t="s">
        <x:v>527</x:v>
      </x:c>
      <x:c r="B16" s="6" t="s">
        <x:v>528</x:v>
      </x:c>
      <x:c r="C16" s="6" t="s">
        <x:v>529</x:v>
      </x:c>
      <x:c r="D16" s="6" t="s">
        <x:v>859</x:v>
      </x:c>
      <x:c r="E16" s="6" t="s">
        <x:v>860</x:v>
      </x:c>
    </x:row>
    <x:row r="17" ht="32">
      <x:c r="A17" s="6" t="s">
        <x:v>381</x:v>
      </x:c>
      <x:c r="B17" s="6" t="s">
        <x:v>382</x:v>
      </x:c>
      <x:c r="C17" s="6" t="s">
        <x:v>383</x:v>
      </x:c>
      <x:c r="D17" s="6" t="s">
        <x:v>861</x:v>
      </x:c>
      <x:c r="E17" s="6" t="s">
        <x:v>853</x:v>
      </x:c>
    </x:row>
    <x:row r="18" ht="16">
      <x:c r="A18" s="6" t="s">
        <x:v>460</x:v>
      </x:c>
      <x:c r="B18" s="6" t="s">
        <x:v>461</x:v>
      </x:c>
      <x:c r="C18" s="6" t="s">
        <x:v>462</x:v>
      </x:c>
      <x:c r="D18" s="6" t="s">
        <x:v>862</x:v>
      </x:c>
      <x:c r="E18" s="6" t="s">
        <x:v>863</x:v>
      </x:c>
    </x:row>
    <x:row r="19" ht="32">
      <x:c r="A19" s="6" t="s">
        <x:v>553</x:v>
      </x:c>
      <x:c r="B19" s="6" t="s">
        <x:v>554</x:v>
      </x:c>
      <x:c r="C19" s="6" t="s">
        <x:v>555</x:v>
      </x:c>
      <x:c r="D19" s="6" t="s">
        <x:v>864</x:v>
      </x:c>
      <x:c r="E19" s="6" t="s">
        <x:v>832</x:v>
      </x:c>
    </x:row>
    <x:row r="20" ht="32">
      <x:c r="A20" s="6" t="s">
        <x:v>570</x:v>
      </x:c>
      <x:c r="B20" s="6" t="s">
        <x:v>571</x:v>
      </x:c>
      <x:c r="C20" s="6" t="s">
        <x:v>572</x:v>
      </x:c>
      <x:c r="D20" s="6" t="s">
        <x:v>865</x:v>
      </x:c>
      <x:c r="E20" s="6" t="s">
        <x:v>838</x:v>
      </x:c>
    </x:row>
    <x:row r="21" ht="32">
      <x:c r="A21" s="6" t="s">
        <x:v>539</x:v>
      </x:c>
      <x:c r="B21" s="6" t="s">
        <x:v>540</x:v>
      </x:c>
      <x:c r="C21" s="6" t="s">
        <x:v>541</x:v>
      </x:c>
      <x:c r="D21" s="6" t="s">
        <x:v>866</x:v>
      </x:c>
      <x:c r="E21" s="6" t="s">
        <x:v>838</x:v>
      </x:c>
    </x:row>
    <x:row r="22" ht="32">
      <x:c r="A22" s="6" t="s">
        <x:v>662</x:v>
      </x:c>
      <x:c r="B22" s="6" t="s">
        <x:v>663</x:v>
      </x:c>
      <x:c r="C22" s="6" t="s">
        <x:v>664</x:v>
      </x:c>
      <x:c r="D22" s="6" t="s">
        <x:v>867</x:v>
      </x:c>
      <x:c r="E22" s="6" t="s">
        <x:v>868</x:v>
      </x:c>
    </x:row>
    <x:row r="23" ht="32">
      <x:c r="A23" s="6" t="s">
        <x:v>713</x:v>
      </x:c>
      <x:c r="B23" s="6" t="s">
        <x:v>714</x:v>
      </x:c>
      <x:c r="C23" s="6" t="s">
        <x:v>715</x:v>
      </x:c>
      <x:c r="D23" s="6" t="s">
        <x:v>869</x:v>
      </x:c>
      <x:c r="E23" s="6" t="s">
        <x:v>858</x:v>
      </x:c>
    </x:row>
    <x:row r="24" ht="16">
      <x:c r="A24" s="6" t="s">
        <x:v>367</x:v>
      </x:c>
      <x:c r="B24" s="6" t="s">
        <x:v>368</x:v>
      </x:c>
      <x:c r="C24" s="6" t="s">
        <x:v>369</x:v>
      </x:c>
      <x:c r="D24" s="6" t="s">
        <x:v>870</x:v>
      </x:c>
      <x:c r="E24" s="6" t="s">
        <x:v>838</x:v>
      </x:c>
    </x:row>
    <x:row r="25" ht="32">
      <x:c r="A25" s="6" t="s">
        <x:v>487</x:v>
      </x:c>
      <x:c r="B25" s="6" t="s">
        <x:v>488</x:v>
      </x:c>
      <x:c r="C25" s="6" t="s">
        <x:v>489</x:v>
      </x:c>
      <x:c r="D25" s="6" t="s">
        <x:v>871</x:v>
      </x:c>
      <x:c r="E25" s="6" t="s">
        <x:v>872</x:v>
      </x:c>
    </x:row>
    <x:row r="26" ht="32">
      <x:c r="A26" s="6" t="s">
        <x:v>624</x:v>
      </x:c>
      <x:c r="B26" s="6" t="s">
        <x:v>625</x:v>
      </x:c>
      <x:c r="C26" s="6" t="s">
        <x:v>626</x:v>
      </x:c>
      <x:c r="D26" s="6" t="s">
        <x:v>873</x:v>
      </x:c>
      <x:c r="E26" s="6" t="s">
        <x:v>874</x:v>
      </x:c>
    </x:row>
    <x:row r="27" ht="32">
      <x:c r="A27" s="6" t="s">
        <x:v>875</x:v>
      </x:c>
      <x:c r="B27" s="6" t="s">
        <x:v>876</x:v>
      </x:c>
      <x:c r="C27" s="6" t="s">
        <x:v>877</x:v>
      </x:c>
      <x:c r="D27" s="6" t="s">
        <x:v>878</x:v>
      </x:c>
      <x:c r="E27" s="6" t="s">
        <x:v>879</x:v>
      </x:c>
    </x:row>
    <x:row r="28">
      <x:c r="A28" s="24" t="str">
        <x:v>SRC-027</x:v>
      </x:c>
      <x:c r="B28" s="24" t="str">
        <x:v>National Science and Media Museum — Kodak and Ilford camera factories</x:v>
      </x:c>
      <x:c r="C28" s="24" t="str">
        <x:v>https://www.scienceandmediamuseum.org.uk/objects-and-stories/kodak-ilford-camera-factories-1930s</x:v>
      </x:c>
      <x:c r="D28" s="24" t="str">
        <x:v>Maddox 1871, Burgess/Kennett/Bennett improvements, Liverpool Dry Plate Company 1874</x:v>
      </x:c>
      <x:c r="E28" s="24" t="str">
        <x:v>музейный источник</x:v>
      </x:c>
    </x:row>
    <x:row r="29">
      <x:c r="A29" s="24" t="str">
        <x:v>SRC-028</x:v>
      </x:c>
      <x:c r="B29" s="24" t="str">
        <x:v>National Science and Media Museum — A brief guide to photographs on glass</x:v>
      </x:c>
      <x:c r="C29" s="24" t="str">
        <x:v>https://blog.scienceandmediamuseum.org.uk/a-brief-guide-to-photographs-on-glass/</x:v>
      </x:c>
      <x:c r="D29" s="24" t="str">
        <x:v>dry plate 1871, manufacture 1878, replacement of wet collodion, storage benefits</x:v>
      </x:c>
      <x:c r="E29" s="24" t="str">
        <x:v>музейный блог</x:v>
      </x:c>
    </x:row>
    <x:row r="30">
      <x:c r="A30" s="24" t="str">
        <x:v>SRC-029</x:v>
      </x:c>
      <x:c r="B30" s="24" t="str">
        <x:v>Swiss Camera Museum — Gelatine bromide plates</x:v>
      </x:c>
      <x:c r="C30" s="24" t="str">
        <x:v>https://www.cameramuseum.ch/en/discover/permanent-exhibition/the-plate-era/gelatine-bromide-plates/</x:v>
      </x:c>
      <x:c r="D30" s="24" t="str">
        <x:v>Maddox 1871, Bennett 1878, heating emulsion, 1/25 second exposure</x:v>
      </x:c>
      <x:c r="E30" s="24" t="str">
        <x:v>музейный источник</x:v>
      </x:c>
    </x:row>
    <x:row r="31">
      <x:c r="A31" s="24" t="str">
        <x:v>SRC-030</x:v>
      </x:c>
      <x:c r="B31" s="24" t="str">
        <x:v>Cornell Library — Dawn's Early Light: Towards Modern Photography</x:v>
      </x:c>
      <x:c r="C31" s="24" t="str">
        <x:v>https://rmc.library.cornell.edu/DawnsEarlyLight/exhibition/modernphotography/index.html</x:v>
      </x:c>
      <x:c r="D31" s="24" t="str">
        <x:v>dry plate 1871/1878, faster exposure, motion, norm by late 1880s</x:v>
      </x:c>
      <x:c r="E31" s="24" t="str">
        <x:v>университетская выставка</x:v>
      </x:c>
    </x:row>
    <x:row r="32">
      <x:c r="A32" s="24" t="str">
        <x:v>SRC-031</x:v>
      </x:c>
      <x:c r="B32" s="24" t="str">
        <x:v>Kodak — History</x:v>
      </x:c>
      <x:c r="C32" s="24" t="str">
        <x:v>https://www.kodak.com/en/company/page/history/</x:v>
      </x:c>
      <x:c r="D32" s="24" t="str">
        <x:v>Eastman commercial dry plates in 1880, Eastman Dry Plate Company 1881</x:v>
      </x:c>
      <x:c r="E32" s="24" t="str">
        <x:v>официальная история компании</x:v>
      </x:c>
    </x:row>
    <x:row r="33">
      <x:c r="A33" s="24" t="str">
        <x:v>SRC-032</x:v>
      </x:c>
      <x:c r="B33" s="24" t="str">
        <x:v>Kodak — George Eastman History</x:v>
      </x:c>
      <x:c r="C33" s="24" t="str">
        <x:v>https://www.kodak.com/en/company/page/george-eastman-history/</x:v>
      </x:c>
      <x:c r="D33" s="24" t="str">
        <x:v>Eastman and Strong, Eastman Dry Plate Company on January 1, 1881</x:v>
      </x:c>
      <x:c r="E33" s="24" t="str">
        <x:v>официальная история компании</x:v>
      </x:c>
    </x:row>
    <x:row r="34">
      <x:c r="A34" s="24" t="str">
        <x:v>SRC-033</x:v>
      </x:c>
      <x:c r="B34" s="24" t="str">
        <x:v>Smithsonian Institution Archives — Gelatin Dry Plate Negatives</x:v>
      </x:c>
      <x:c r="C34" s="24" t="str">
        <x:v>https://siarchives.si.edu/blog/highlight-photo-cold-vault-gelatin-dry-plate-negatives</x:v>
      </x:c>
      <x:c r="D34" s="24" t="str">
        <x:v>dry plates as popular negative from 1880 to 1900, benefits versus wet collodion</x:v>
      </x:c>
      <x:c r="E34" s="24" t="str">
        <x:v>архивный музейный источник</x:v>
      </x:c>
    </x:row>
    <x:row r="35">
      <x:c r="A35" s="24" t="str">
        <x:v>SRC-034</x:v>
      </x:c>
      <x:c r="B35" s="24" t="str">
        <x:v>George Eastman Museum — Dry Plates in the Woods</x:v>
      </x:c>
      <x:c r="C35" s="24" t="str">
        <x:v>https://www.eastman.org/blog/dry-plates-woods-using-19th-century-photographic-processes-capture-letchworth-state-park</x:v>
      </x:c>
      <x:c r="D35" s="24" t="str">
        <x:v>dry plates coated with gelatin emulsion, practical freedom, Eastman's role</x:v>
      </x:c>
      <x:c r="E35" s="24" t="str">
        <x:v>музейный источник</x:v>
      </x:c>
    </x:row>
  </x:sheetData>
  <x:pageMargins left="0.7" right="0.7" top="0.75" bottom="0.75" header="0.3" footer="0.3"/>
  <x:tableParts count="1">
    <x:tablePart xmlns:r="http://schemas.openxmlformats.org/officeDocument/2006/relationships" r:id="Rabba396d6ed84b98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customWidth="1"/>
    <x:col min="2" max="2" width="57.83203125" customWidth="1"/>
    <x:col min="3" max="3" width="14.6640625" customWidth="1"/>
    <x:col min="4" max="4" width="28" customWidth="1"/>
    <x:col min="5" max="5" width="8.1640625" customWidth="1"/>
    <x:col min="6" max="6" width="10.6640625" customWidth="1"/>
    <x:col min="7" max="7" width="30.6640625" customWidth="1"/>
    <x:col min="8" max="8" width="40.1640625" customWidth="1"/>
  </x:cols>
  <x:sheetData>
    <x:row r="1" ht="27.75" customHeight="1">
      <x:c r="A1" s="10" t="s">
        <x:v>48</x:v>
      </x:c>
      <x:c r="B1" s="10" t="s">
        <x:v>56</x:v>
      </x:c>
      <x:c r="C1" s="10" t="s">
        <x:v>11</x:v>
      </x:c>
      <x:c r="D1" s="10" t="s">
        <x:v>759</x:v>
      </x:c>
      <x:c r="E1" s="10" t="s">
        <x:v>880</x:v>
      </x:c>
      <x:c r="F1" s="10" t="s">
        <x:v>881</x:v>
      </x:c>
      <x:c r="G1" s="11" t="s">
        <x:v>34</x:v>
      </x:c>
      <x:c r="H1" s="11" t="s">
        <x:v>68</x:v>
      </x:c>
    </x:row>
    <x:row r="2" ht="16">
      <x:c r="A2" s="6" t="s">
        <x:v>407</x:v>
      </x:c>
      <x:c r="B2" s="6" t="s">
        <x:v>414</x:v>
      </x:c>
      <x:c r="C2" s="6" t="s">
        <x:v>13</x:v>
      </x:c>
      <x:c r="D2" s="6" t="s">
        <x:v>12</x:v>
      </x:c>
      <x:c r="E2" s="6">
        <x:v>1</x:v>
      </x:c>
      <x:c r="F2" s="6">
        <x:v>1</x:v>
      </x:c>
      <x:c r="G2" t="s">
        <x:v>35</x:v>
      </x:c>
      <x:c r="H2" t="s">
        <x:v>152</x:v>
      </x:c>
    </x:row>
    <x:row r="3" ht="16">
      <x:c r="A3" s="6" t="s">
        <x:v>91</x:v>
      </x:c>
      <x:c r="B3" s="6" t="s">
        <x:v>326</x:v>
      </x:c>
      <x:c r="C3" s="6" t="s">
        <x:v>15</x:v>
      </x:c>
      <x:c r="D3" s="6" t="s">
        <x:v>14</x:v>
      </x:c>
      <x:c r="E3" s="6">
        <x:v>2</x:v>
      </x:c>
      <x:c r="F3" s="6">
        <x:v>2</x:v>
      </x:c>
      <x:c r="G3" t="s">
        <x:v>36</x:v>
      </x:c>
      <x:c r="H3" t="s">
        <x:v>166</x:v>
      </x:c>
    </x:row>
    <x:row r="4" ht="16">
      <x:c r="A4" s="6" t="s">
        <x:v>169</x:v>
      </x:c>
      <x:c r="B4" s="6" t="s">
        <x:v>661</x:v>
      </x:c>
      <x:c r="C4" s="6" t="s">
        <x:v>17</x:v>
      </x:c>
      <x:c r="D4" s="6" t="s">
        <x:v>16</x:v>
      </x:c>
      <x:c r="E4" s="6">
        <x:v>3</x:v>
      </x:c>
      <x:c r="F4" s="6">
        <x:v>3</x:v>
      </x:c>
      <x:c r="G4" t="s">
        <x:v>37</x:v>
      </x:c>
      <x:c r="H4" t="s">
        <x:v>493</x:v>
      </x:c>
    </x:row>
    <x:row r="5" ht="16">
      <x:c r="A5" s="6" t="s">
        <x:v>71</x:v>
      </x:c>
      <x:c r="B5" s="6" t="s">
        <x:v>397</x:v>
      </x:c>
      <x:c r="C5" s="6" t="s">
        <x:v>19</x:v>
      </x:c>
      <x:c r="D5" s="6" t="s">
        <x:v>18</x:v>
      </x:c>
      <x:c r="E5" s="6">
        <x:v>4</x:v>
      </x:c>
      <x:c r="F5" s="6">
        <x:v>4</x:v>
      </x:c>
      <x:c r="G5" t="s">
        <x:v>38</x:v>
      </x:c>
      <x:c r="H5" t="s">
        <x:v>231</x:v>
      </x:c>
    </x:row>
    <x:row r="6" ht="32">
      <x:c r="A6" s="6" t="s">
        <x:v>319</x:v>
      </x:c>
      <x:c r="B6" s="6" t="s">
        <x:v>753</x:v>
      </x:c>
      <x:c r="C6" s="6" t="s">
        <x:v>21</x:v>
      </x:c>
      <x:c r="D6" s="6" t="s">
        <x:v>20</x:v>
      </x:c>
      <x:c r="E6" s="6">
        <x:v>5</x:v>
      </x:c>
      <x:c r="F6" s="6">
        <x:v>5</x:v>
      </x:c>
      <x:c r="G6" t="s">
        <x:v>39</x:v>
      </x:c>
      <x:c r="H6" t="s">
        <x:v>250</x:v>
      </x:c>
    </x:row>
    <x:row r="7" ht="32">
      <x:c r="A7" s="6"/>
      <x:c r="B7" s="6" t="s">
        <x:v>80</x:v>
      </x:c>
      <x:c r="C7" s="6" t="s">
        <x:v>23</x:v>
      </x:c>
      <x:c r="D7" s="6" t="s">
        <x:v>22</x:v>
      </x:c>
      <x:c r="E7" s="6"/>
      <x:c r="F7" s="6"/>
      <x:c r="G7" t="s">
        <x:v>40</x:v>
      </x:c>
      <x:c r="H7" t="s">
        <x:v>268</x:v>
      </x:c>
    </x:row>
    <x:row r="8" ht="16">
      <x:c r="A8" s="6"/>
      <x:c r="B8" s="6" t="s">
        <x:v>294</x:v>
      </x:c>
      <x:c r="C8" s="6" t="s">
        <x:v>25</x:v>
      </x:c>
      <x:c r="D8" s="6" t="s">
        <x:v>24</x:v>
      </x:c>
      <x:c r="E8" s="6"/>
      <x:c r="F8" s="6"/>
      <x:c r="G8" t="s">
        <x:v>41</x:v>
      </x:c>
      <x:c r="H8" t="s">
        <x:v>250</x:v>
      </x:c>
    </x:row>
    <x:row r="9" ht="32">
      <x:c r="A9" s="6"/>
      <x:c r="B9" s="6" t="s">
        <x:v>552</x:v>
      </x:c>
      <x:c r="C9" s="6" t="s">
        <x:v>27</x:v>
      </x:c>
      <x:c r="D9" s="6" t="s">
        <x:v>26</x:v>
      </x:c>
      <x:c r="E9" s="6"/>
      <x:c r="F9" s="6"/>
      <x:c r="G9" t="s">
        <x:v>42</x:v>
      </x:c>
      <x:c r="H9" t="s">
        <x:v>302</x:v>
      </x:c>
    </x:row>
    <x:row r="10" ht="16">
      <x:c r="A10" s="6"/>
      <x:c r="B10" s="6" t="s">
        <x:v>242</x:v>
      </x:c>
      <x:c r="C10" s="6" t="s">
        <x:v>29</x:v>
      </x:c>
      <x:c r="D10" s="6" t="s">
        <x:v>28</x:v>
      </x:c>
      <x:c r="E10" s="6"/>
      <x:c r="F10" s="6"/>
      <x:c r="G10" t="s">
        <x:v>43</x:v>
      </x:c>
      <x:c r="H10" t="s">
        <x:v>331</x:v>
      </x:c>
    </x:row>
    <x:row r="11" ht="16">
      <x:c r="A11" s="6"/>
      <x:c r="B11" s="6" t="s">
        <x:v>205</x:v>
      </x:c>
      <x:c r="C11" s="6"/>
      <x:c r="D11" s="6" t="s">
        <x:v>30</x:v>
      </x:c>
      <x:c r="E11" s="6"/>
      <x:c r="F11" s="6"/>
      <x:c r="G11" t="s">
        <x:v>44</x:v>
      </x:c>
      <x:c r="H11" t="s">
        <x:v>345</x:v>
      </x:c>
    </x:row>
    <x:row r="12" ht="16">
      <x:c r="A12" s="6"/>
      <x:c r="B12" s="6"/>
      <x:c r="C12" s="6"/>
      <x:c r="D12" s="6" t="s">
        <x:v>31</x:v>
      </x:c>
      <x:c r="E12" s="6"/>
      <x:c r="F12" s="6"/>
      <x:c r="G12" t="s">
        <x:v>45</x:v>
      </x:c>
      <x:c r="H12" t="s">
        <x:v>418</x:v>
      </x:c>
    </x:row>
    <x:row r="13" ht="16">
      <x:c r="A13" s="6"/>
      <x:c r="B13" s="6"/>
      <x:c r="C13" s="6"/>
      <x:c r="D13" s="6" t="s">
        <x:v>32</x:v>
      </x:c>
      <x:c r="E13" s="6"/>
      <x:c r="F13" s="6"/>
      <x:c r="H13" t="s">
        <x:v>432</x:v>
      </x:c>
    </x:row>
    <x:row r="14" ht="16">
      <x:c r="A14" s="6"/>
      <x:c r="B14" s="6"/>
      <x:c r="C14" s="6"/>
      <x:c r="D14" s="6" t="s">
        <x:v>33</x:v>
      </x:c>
      <x:c r="E14" s="6"/>
      <x:c r="F14" s="6"/>
      <x:c r="H14" t="s">
        <x:v>442</x:v>
      </x:c>
    </x:row>
    <x:row r="15" ht="15">
      <x:c r="A15" s="6"/>
      <x:c r="B15" s="6"/>
      <x:c r="C15" s="6"/>
      <x:c r="D15" s="6"/>
      <x:c r="E15" s="6"/>
      <x:c r="F15" s="6"/>
      <x:c r="H15" t="s">
        <x:v>503</x:v>
      </x:c>
    </x:row>
    <x:row r="16" ht="15">
      <x:c r="A16" s="6"/>
      <x:c r="B16" s="6"/>
      <x:c r="C16" s="6"/>
      <x:c r="D16" s="6"/>
      <x:c r="E16" s="6"/>
      <x:c r="F16" s="6"/>
      <x:c r="H16" t="s">
        <x:v>518</x:v>
      </x:c>
    </x:row>
    <x:row r="17" ht="15">
      <x:c r="A17" s="6"/>
      <x:c r="B17" s="6"/>
      <x:c r="C17" s="6"/>
      <x:c r="D17" s="6"/>
      <x:c r="E17" s="6"/>
      <x:c r="F17" s="6"/>
      <x:c r="H17" t="s">
        <x:v>560</x:v>
      </x:c>
    </x:row>
    <x:row r="18" ht="15">
      <x:c r="A18" s="6"/>
      <x:c r="B18" s="6"/>
      <x:c r="C18" s="6"/>
      <x:c r="D18" s="6"/>
      <x:c r="E18" s="6"/>
      <x:c r="F18" s="6"/>
      <x:c r="H18" t="s">
        <x:v>577</x:v>
      </x:c>
    </x:row>
    <x:row r="19" ht="15">
      <x:c r="A19" s="6"/>
      <x:c r="B19" s="6"/>
      <x:c r="C19" s="6"/>
      <x:c r="D19" s="6"/>
      <x:c r="E19" s="6"/>
      <x:c r="F19" s="6"/>
      <x:c r="H19" t="s">
        <x:v>588</x:v>
      </x:c>
    </x:row>
    <x:row r="20" ht="15">
      <x:c r="A20" s="6"/>
      <x:c r="B20" s="6"/>
      <x:c r="C20" s="6"/>
      <x:c r="D20" s="6"/>
      <x:c r="E20" s="6"/>
      <x:c r="F20" s="6"/>
      <x:c r="H20" t="s">
        <x:v>602</x:v>
      </x:c>
    </x:row>
    <x:row r="21" ht="15">
      <x:c r="A21" s="6"/>
      <x:c r="B21" s="6"/>
      <x:c r="C21" s="6"/>
      <x:c r="D21" s="6"/>
      <x:c r="E21" s="6"/>
      <x:c r="F21" s="6"/>
      <x:c r="H21" t="s">
        <x:v>681</x:v>
      </x:c>
    </x:row>
    <x:row r="22" ht="15">
      <x:c r="A22" s="6"/>
      <x:c r="B22" s="6"/>
      <x:c r="C22" s="6"/>
      <x:c r="D22" s="6"/>
      <x:c r="E22" s="6"/>
      <x:c r="F22" s="6"/>
      <x:c r="H22" t="s">
        <x:v>691</x:v>
      </x:c>
    </x:row>
    <x:row r="23" ht="15">
      <x:c r="A23" s="6"/>
      <x:c r="B23" s="6"/>
      <x:c r="C23" s="6"/>
      <x:c r="D23" s="6"/>
      <x:c r="E23" s="6"/>
      <x:c r="F23" s="6"/>
      <x:c r="H23" t="s">
        <x:v>702</x:v>
      </x:c>
    </x:row>
    <x:row r="24" ht="15">
      <x:c r="A24" s="6"/>
      <x:c r="B24" s="6"/>
      <x:c r="C24" s="6"/>
      <x:c r="D24" s="6"/>
      <x:c r="E24" s="6"/>
      <x:c r="F24" s="6"/>
      <x:c r="H24" t="s">
        <x:v>719</x:v>
      </x:c>
    </x:row>
    <x:row r="25" ht="15">
      <x:c r="A25" s="6"/>
      <x:c r="B25" s="6"/>
      <x:c r="C25" s="6"/>
      <x:c r="D25" s="6"/>
      <x:c r="E25" s="6"/>
      <x:c r="F25" s="6"/>
      <x:c r="H25" t="s">
        <x:v>743</x:v>
      </x:c>
    </x:row>
    <x:row r="26" ht="15">
      <x:c r="A26" s="6"/>
      <x:c r="B26" s="6"/>
      <x:c r="C26" s="6"/>
      <x:c r="D26" s="6"/>
      <x:c r="E26" s="6"/>
      <x:c r="F26" s="6"/>
      <x:c r="H26" t="s">
        <x:v>758</x:v>
      </x:c>
    </x:row>
    <x:row r="27" ht="15">
      <x:c r="A27" s="6"/>
      <x:c r="B27" s="6"/>
      <x:c r="C27" s="6"/>
      <x:c r="D27" s="6"/>
      <x:c r="E27" s="6"/>
      <x:c r="F27" s="6"/>
      <x:c r="H27" s="24" t="str">
        <x:v>Сухие желатиновые пластины / химия</x:v>
      </x:c>
    </x:row>
    <x:row r="28" ht="15">
      <x:c r="A28" s="6"/>
      <x:c r="B28" s="6"/>
      <x:c r="C28" s="6"/>
      <x:c r="D28" s="6"/>
      <x:c r="E28" s="6"/>
      <x:c r="F28" s="6"/>
      <x:c r="H28" s="24" t="str">
        <x:v>Сухие желатиновые пластины / коммерциализация</x:v>
      </x:c>
    </x:row>
    <x:row r="29" ht="15">
      <x:c r="A29" s="6"/>
      <x:c r="B29" s="6"/>
      <x:c r="C29" s="6"/>
      <x:c r="D29" s="6"/>
      <x:c r="E29" s="6"/>
      <x:c r="F29" s="6"/>
      <x:c r="H29" s="24" t="str">
        <x:v>Сухие желатиновые пластины / повышение чувствительности</x:v>
      </x:c>
    </x:row>
    <x:row r="30" ht="15">
      <x:c r="A30" s="6"/>
      <x:c r="B30" s="6"/>
      <x:c r="C30" s="6"/>
      <x:c r="D30" s="6"/>
      <x:c r="E30" s="6"/>
      <x:c r="F30" s="6"/>
      <x:c r="H30" s="24" t="str">
        <x:v>Сухие желатиновые пластины / переход от мокрого коллодия</x:v>
      </x:c>
    </x:row>
    <x:row r="31" ht="15">
      <x:c r="A31" s="6"/>
      <x:c r="B31" s="6"/>
      <x:c r="C31" s="6"/>
      <x:c r="D31" s="6"/>
      <x:c r="E31" s="6"/>
      <x:c r="F31" s="6"/>
      <x:c r="H31" s="24" t="str">
        <x:v>Сухие желатиновые пластины / скорость и движение</x:v>
      </x:c>
    </x:row>
    <x:row r="32" ht="15">
      <x:c r="A32" s="6"/>
      <x:c r="B32" s="6"/>
      <x:c r="C32" s="6"/>
      <x:c r="D32" s="6"/>
      <x:c r="E32" s="6"/>
      <x:c r="F32" s="6"/>
      <x:c r="H32" s="24" t="str">
        <x:v>Сухие желатиновые пластины / американская индустрия</x:v>
      </x:c>
    </x:row>
    <x:row r="33" ht="15">
      <x:c r="A33" s="6"/>
      <x:c r="B33" s="6"/>
      <x:c r="C33" s="6"/>
      <x:c r="D33" s="6"/>
      <x:c r="E33" s="6"/>
      <x:c r="F33" s="6"/>
      <x:c r="H33" s="24" t="str">
        <x:v>Сухие желатиновые пластины / бизнес и масштабирование</x:v>
      </x:c>
    </x:row>
    <x:row r="34" ht="15">
      <x:c r="A34" s="6"/>
      <x:c r="B34" s="6"/>
      <x:c r="C34" s="6"/>
      <x:c r="D34" s="6"/>
      <x:c r="E34" s="6"/>
      <x:c r="F34" s="6"/>
      <x:c r="H34" s="24" t="str">
        <x:v>Сухие желатиновые пластины / доминирующая практика</x:v>
      </x:c>
    </x:row>
    <x:row r="35" ht="15">
      <x:c r="A35" s="6"/>
      <x:c r="B35" s="6"/>
      <x:c r="C35" s="6"/>
      <x:c r="D35" s="6"/>
      <x:c r="E35" s="6"/>
      <x:c r="F35" s="6"/>
      <x:c r="H35" s="24" t="str">
        <x:v>Сухие желатиновые пластины / мобильность</x:v>
      </x:c>
    </x:row>
    <x:row r="36" ht="15">
      <x:c r="A36" s="6"/>
      <x:c r="B36" s="6"/>
      <x:c r="C36" s="6"/>
      <x:c r="D36" s="6"/>
      <x:c r="E36" s="6"/>
      <x:c r="F36" s="6"/>
      <x:c r="H36" s="24" t="str">
        <x:v>Сухие желатиновые пластины / мост к плёнке</x:v>
      </x:c>
    </x:row>
    <x:row r="37" ht="15">
      <x:c r="A37" s="6"/>
      <x:c r="B37" s="6"/>
      <x:c r="C37" s="6"/>
      <x:c r="D37" s="6"/>
      <x:c r="E37" s="6"/>
      <x:c r="F37" s="6"/>
    </x:row>
    <x:row r="38" ht="15">
      <x:c r="A38" s="6"/>
      <x:c r="B38" s="6"/>
      <x:c r="C38" s="6"/>
      <x:c r="D38" s="6"/>
      <x:c r="E38" s="6"/>
      <x:c r="F38" s="6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customWidth="1"/>
    <x:col min="2" max="2" width="165" customWidth="1"/>
  </x:cols>
  <x:sheetData>
    <x:row r="1" ht="30" customHeight="1">
      <x:c r="A1" s="32" t="str">
        <x:v>PHOTO LAB — History Map Master v0.3</x:v>
      </x:c>
      <x:c r="B1" s="32"/>
    </x:row>
    <x:row r="2" ht="16">
      <x:c r="A2" s="33" t="str">
        <x:v>Назначение</x:v>
      </x:c>
      <x:c r="B2" s="29" t="str">
        <x:v>Исследовательская база для будущей интерактивной карты развития фотографии: география + время + ветки технологий + привязка к урокам.</x:v>
      </x:c>
    </x:row>
    <x:row r="3" ht="16">
      <x:c r="A3" s="33" t="str">
        <x:v>Охват v0.3</x:v>
      </x:c>
      <x:c r="B3" s="29" t="str">
        <x:v>От оптических предпосылок камеры-обскуры до мокрого коллодия и сухих желатиновых пластин; основа для PL-001–PL-006.</x:v>
      </x:c>
    </x:row>
    <x:row r="4" ht="16">
      <x:c r="A4" s="33" t="str">
        <x:v>Принцип</x:v>
      </x:c>
      <x:c r="B4" s="29" t="str">
        <x:v>Каждый факт должен отвечать на 5 вопросов: что произошло, где, кто связан, почему важно, чем подтверждено.</x:v>
      </x:c>
    </x:row>
    <x:row r="5" ht="16">
      <x:c r="A5" s="33" t="str">
        <x:v>Как пользоваться</x:v>
      </x:c>
      <x:c r="B5" s="29" t="str">
        <x:v>Фильтровать лист 01_Master_Facts по уроку, ветке развития, статусу ветки, типу узла, стране или уровню уверенности.</x:v>
      </x:c>
    </x:row>
    <x:row r="6" ht="16">
      <x:c r="A6" s="33" t="str">
        <x:v>Важно</x:v>
      </x:c>
      <x:c r="B6" s="29" t="str">
        <x:v>Поля «Проверить позже» и «Уверенность 1–5» оставлены специально: спорные даты и слабые источники не должны попадать в финальную карту без доработки.</x:v>
      </x:c>
    </x:row>
    <x:row r="7" ht="16">
      <x:c r="A7" s="33" t="str">
        <x:v>Правило веток</x:v>
      </x:c>
      <x:c r="B7" s="29" t="str">
        <x:v>Ветка развития = одна из 13 крупных линий из 02_Branches. Для PL-006 сухие пластины пока идут внутри крупной ветки «Негатив-позитив», а детали фиксируются в подветках.</x:v>
      </x:c>
    </x:row>
    <x:row r="8" ht="16">
      <x:c r="A8" s="33" t="str">
        <x:v>Правило подветок</x:v>
      </x:c>
      <x:c r="B8" s="29" t="str">
        <x:v>Подветка (детали) = уточнение внутри крупной ветки: химия, камера, распространение, фотокнига, медицинское применение, сухие желатиновые пластины и т.п.</x:v>
      </x:c>
    </x:row>
    <x:row r="9">
      <x:c r="A9" s="24" t="str">
        <x:v>Правило типа узла</x:v>
      </x:c>
      <x:c r="B9" s="24" t="str">
        <x:v>Тип узла = назначение факта на карте: технология, предпосылка, инструмент, публикация, терминология, применение, распространение, связь/переход и т.п.</x:v>
      </x:c>
    </x:row>
    <x:row r="10">
      <x:c r="A10" s="24" t="str">
        <x:v>Единственный источник истины по урокам</x:v>
      </x:c>
      <x:c r="B10" s="24" t="str">
        <x:v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v>
      </x:c>
    </x:row>
    <x:row r="11">
      <x:c r="A11" s="24" t="str">
        <x:v>Что изменено в v0.2.1</x:v>
      </x:c>
      <x:c r="B11" s="24" t="str">
        <x:v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v>
      </x:c>
    </x:row>
    <x:row r="12">
      <x:c r="A12" s="24" t="str">
        <x:v>Что изменено в v0.3</x:v>
      </x:c>
      <x:c r="B12" s="24" t="str">
        <x:v>Заполнен PL-006: добавлены PL-HIST-0049…0058 по сухим желатиновым пластинам, добавлены источники SRC-027…SRC-034, обновлены 02_Branches, 03_Lessons_Map, 06_Lists и Dashboard.</x:v>
      </x:c>
    </x:row>
    <x:row r="13">
      <x:c r="A13" s="24" t="str">
        <x:v>Следующий шаг</x:v>
      </x:c>
      <x:c r="B13" s="24" t="str">
        <x:v>Исследовательское расширение PL-007: рулонная плёнка, Eastman-Walker roll holder, Kodak camera 1888 и массовая любительская фотография.</x:v>
      </x:c>
    </x:row>
  </x:sheetData>
  <x:mergeCells>
    <x:mergeCell ref="A1:B1"/>
  </x:mergeCells>
  <x:pageMargins left="0.7" right="0.7" top="0.75" bottom="0.75" header="0.3" footer="0.3"/>
</x:worksheet>
</file>