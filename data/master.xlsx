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1a646be8db4c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7b65618f489f4510"/>
    <x:sheet xmlns:r="http://schemas.openxmlformats.org/officeDocument/2006/relationships" name="01_Master_Facts" sheetId="2" r:id="R259021171527450b"/>
    <x:sheet xmlns:r="http://schemas.openxmlformats.org/officeDocument/2006/relationships" name="02_Branches" sheetId="3" r:id="R040538a982d44d40"/>
    <x:sheet xmlns:r="http://schemas.openxmlformats.org/officeDocument/2006/relationships" name="03_Lessons_Map" sheetId="4" r:id="Rb241d7b180e14328"/>
    <x:sheet xmlns:r="http://schemas.openxmlformats.org/officeDocument/2006/relationships" name="04_Sources" sheetId="5" r:id="R7ac3a0af094f447d"/>
    <x:sheet xmlns:r="http://schemas.openxmlformats.org/officeDocument/2006/relationships" name="06_Lists" sheetId="6" r:id="Ra58848e684414d98"/>
    <x:sheet xmlns:r="http://schemas.openxmlformats.org/officeDocument/2006/relationships" name="00_README" sheetId="7" r:id="Rf60cfdcb4f114e57"/>
  </x:sheets>
</x:workbook>
</file>

<file path=xl/sharedStrings.xml><?xml version="1.0" encoding="utf-8"?>
<x:sst xmlns:x="http://schemas.openxmlformats.org/spreadsheetml/2006/main">
  <x:si>
    <x:t xml:space="preserve">KPI</x:t>
  </x:si>
  <x:si>
    <x:t xml:space="preserve">Значение</x:t>
  </x:si>
  <x:si>
    <x:t xml:space="preserve">Комментарий</x:t>
  </x:si>
  <x:si>
    <x:t xml:space="preserve">Всего исторических узлов</x:t>
  </x:si>
  <x:si>
    <x:t xml:space="preserve">Количество строк в 01_Master_Facts</x:t>
  </x:si>
  <x:si>
    <x:t xml:space="preserve">Узлов с важностью 5</x:t>
  </x:si>
  <x:si>
    <x:t xml:space="preserve">Критические для карты и уроков</x:t>
  </x:si>
  <x:si>
    <x:t xml:space="preserve">Строк с пометкой «проверить позже»</x:t>
  </x:si>
  <x:si>
    <x:t xml:space="preserve">Живая формула: считает непустые ячейки в «Проверить позже»</x:t>
  </x:si>
  <x:si>
    <x:t xml:space="preserve">Ветка развития</x:t>
  </x:si>
  <x:si>
    <x:t xml:space="preserve">Количество узлов</x:t>
  </x:si>
  <x:si>
    <x:t xml:space="preserve">Урок</x:t>
  </x:si>
  <x:si>
    <x:t xml:space="preserve">Оптика / камера-обскура</x:t>
  </x:si>
  <x:si>
    <x:t xml:space="preserve">Оптические инструменты</x:t>
  </x:si>
  <x:si>
    <x:t xml:space="preserve">Фотохимия</x:t>
  </x:si>
  <x:si>
    <x:t xml:space="preserve">Гелиография</x:t>
  </x:si>
  <x:si>
    <x:t xml:space="preserve">Дагеротип</x:t>
  </x:si>
  <x:si>
    <x:t xml:space="preserve">Фотогенный рисунок / фотограмма</x:t>
  </x:si>
  <x:si>
    <x:t xml:space="preserve">Негатив-позитив</x:t>
  </x:si>
  <x:si>
    <x:t xml:space="preserve">Фиксаж / терминология</x:t>
  </x:si>
  <x:si>
    <x:t xml:space="preserve">Печать / тиражирование</x:t>
  </x:si>
  <x:si>
    <x:t xml:space="preserve">Мокрый коллодий</x:t>
  </x:si>
  <x:si>
    <x:t xml:space="preserve">Уникальный позитив</x:t>
  </x:si>
  <x:si>
    <x:t xml:space="preserve">Цвет</x:t>
  </x:si>
  <x:si>
    <x:t xml:space="preserve">Проекция / распространение</x:t>
  </x:si>
  <x:si>
    <x:t xml:space="preserve">Тип узла</x:t>
  </x:si>
  <x:si>
    <x:t xml:space="preserve">Фундаментальная предпосылка</x:t>
  </x:si>
  <x:si>
    <x:t xml:space="preserve">Технология / процесс</x:t>
  </x:si>
  <x:si>
    <x:t xml:space="preserve">Инструмент / устройство</x:t>
  </x:si>
  <x:si>
    <x:t xml:space="preserve">Публикация / объявление</x:t>
  </x:si>
  <x:si>
    <x:t xml:space="preserve">Терминология / язык</x:t>
  </x:si>
  <x:si>
    <x:t xml:space="preserve">Связь / переход</x:t>
  </x:si>
  <x:si>
    <x:t xml:space="preserve">Тиражирование / публикация</x:t>
  </x:si>
  <x:si>
    <x:t xml:space="preserve">Распространение / коммерциализация</x:t>
  </x:si>
  <x:si>
    <x:t xml:space="preserve">Научное применение / пример</x:t>
  </x:si>
  <x:si>
    <x:t xml:space="preserve">Применение / жанр</x:t>
  </x:si>
  <x:si>
    <x:t xml:space="preserve">Ключевой исторический узел</x:t>
  </x:si>
  <x:si>
    <x:t xml:space="preserve">ID</x:t>
  </x:si>
  <x:si>
    <x:t xml:space="preserve">Период / дата</x:t>
  </x:si>
  <x:si>
    <x:t xml:space="preserve">Точность даты</x:t>
  </x:si>
  <x:si>
    <x:t xml:space="preserve">Страна</x:t>
  </x:si>
  <x:si>
    <x:t xml:space="preserve">Город / регион</x:t>
  </x:si>
  <x:si>
    <x:t xml:space="preserve">Персона / группа</x:t>
  </x:si>
  <x:si>
    <x:t xml:space="preserve">Событие</x:t>
  </x:si>
  <x:si>
    <x:t xml:space="preserve">Что изменилось</x:t>
  </x:si>
  <x:si>
    <x:t xml:space="preserve">Предыдущая связь</x:t>
  </x:si>
  <x:si>
    <x:t xml:space="preserve">Следующая связь</x:t>
  </x:si>
  <x:si>
    <x:t xml:space="preserve">Статус ветки</x:t>
  </x:si>
  <x:si>
    <x:t xml:space="preserve">Важность 1–5</x:t>
  </x:si>
  <x:si>
    <x:t xml:space="preserve">Привязка к уроку</x:t>
  </x:si>
  <x:si>
    <x:t xml:space="preserve">Источник ID</x:t>
  </x:si>
  <x:si>
    <x:t xml:space="preserve">Название источника</x:t>
  </x:si>
  <x:si>
    <x:t xml:space="preserve">URL источника</x:t>
  </x:si>
  <x:si>
    <x:t xml:space="preserve">Уверенность 1–5</x:t>
  </x:si>
  <x:si>
    <x:t xml:space="preserve">Комментарий для лекции</x:t>
  </x:si>
  <x:si>
    <x:t xml:space="preserve">Визуальная идея для карты</x:t>
  </x:si>
  <x:si>
    <x:t xml:space="preserve">Теги</x:t>
  </x:si>
  <x:si>
    <x:t xml:space="preserve">Проверить позже</x:t>
  </x:si>
  <x:si>
    <x:t xml:space="preserve">Координаты (lat, lon)</x:t>
  </x:si>
  <x:si>
    <x:t xml:space="preserve">Подветка (детали)</x:t>
  </x:si>
  <x:si>
    <x:t xml:space="preserve">Флагман урока (да/нет)</x:t>
  </x:si>
  <x:si>
    <x:t xml:space="preserve">PL-HIST-0001</x:t>
  </x:si>
  <x:si>
    <x:t xml:space="preserve">ок. 1011–1021</x:t>
  </x:si>
  <x:si>
    <x:t xml:space="preserve">диапазон</x:t>
  </x:si>
  <x:si>
    <x:t xml:space="preserve">Египет / исламский научный мир</x:t>
  </x:si>
  <x:si>
    <x:t xml:space="preserve">Каир / Басра (контекст учёного)</x:t>
  </x:si>
  <x:si>
    <x:t xml:space="preserve">Ибн аль-Хайсам (Альхазен)</x:t>
  </x:si>
  <x:si>
    <x:t xml:space="preserve">В «Книге оптики» системно исследует свет, зрение и опыт тёмной комнаты с малым отверстием.</x:t>
  </x:si>
  <x:si>
    <x:t xml:space="preserve">Камера-обскура / pinhole image</x:t>
  </x:si>
  <x:si>
    <x:t xml:space="preserve">Фотографии ещё нет, но появляется научная база: свет распространяется прямыми линиями и может строить изображение.</x:t>
  </x:si>
  <x:si>
    <x:t xml:space="preserve">Античная оптика и астрономические наблюдения</x:t>
  </x:si>
  <x:si>
    <x:t xml:space="preserve">Европейская оптика, камера-обскура как инструмент наблюдения</x:t>
  </x:si>
  <x:si>
    <x:t xml:space="preserve">Оптическая предпосылка</x:t>
  </x:si>
  <x:si>
    <x:t xml:space="preserve">PL-001</x:t>
  </x:si>
  <x:si>
    <x:t xml:space="preserve">SRC-001</x:t>
  </x:si>
  <x:si>
    <x:t xml:space="preserve">AramcoWorld — Ibn al-Haytham: Testing is Believing</x:t>
  </x:si>
  <x:si>
    <x:t xml:space="preserve">https://www.aramcoworld.com/en/articles/2023/ibn-al-haytham-testing-is-believing</x:t>
  </x:si>
  <x:si>
    <x:t xml:space="preserve">Важно сказать аккуратно: он не изобрёл фотографию, а дал фундамент для понимания изображения светом.</x:t>
  </x:si>
  <x:si>
    <x:t xml:space="preserve">Стартовая точка карты: луч света входит в тёмную комнату и строит перевёрнутое изображение.</x:t>
  </x:si>
  <x:si>
    <x:t xml:space="preserve">#оптика #камера-обскура #ИбнАльХайсам #PL001</x:t>
  </x:si>
  <x:si>
    <x:t xml:space="preserve">Уточнить формулировку места: не привязывать к современной стране слишком жёстко.</x:t>
  </x:si>
  <x:si>
    <x:t xml:space="preserve">30.0444, 31.2357</x:t>
  </x:si>
  <x:si>
    <x:t xml:space="preserve">да</x:t>
  </x:si>
  <x:si>
    <x:t xml:space="preserve">PL-HIST-0002</x:t>
  </x:si>
  <x:si>
    <x:t xml:space="preserve">1545</x:t>
  </x:si>
  <x:si>
    <x:t xml:space="preserve">год</x:t>
  </x:si>
  <x:si>
    <x:t xml:space="preserve">Нидерланды / Священная Римская империя</x:t>
  </x:si>
  <x:si>
    <x:t xml:space="preserve">Лёвен / Фрисландия (контекст публикации)</x:t>
  </x:si>
  <x:si>
    <x:t xml:space="preserve">Гемма Фризиус</x:t>
  </x:si>
  <x:si>
    <x:t xml:space="preserve">Публикует один из ранних известных рисунков камеры-обскуры, использованной для наблюдения солнечного затмения.</x:t>
  </x:si>
  <x:si>
    <x:t xml:space="preserve">Камера-обскура как астрономический инструмент</x:t>
  </x:si>
  <x:si>
    <x:t xml:space="preserve">Принцип тёмной комнаты становится не только философским описанием, но и изображаемым инструментом наблюдения.</x:t>
  </x:si>
  <x:si>
    <x:t xml:space="preserve">Ибн аль-Хайсам и средневековая оптика</x:t>
  </x:si>
  <x:si>
    <x:t xml:space="preserve">Линза и художественное применение камеры-обскуры</x:t>
  </x:si>
  <x:si>
    <x:t xml:space="preserve">SRC-003</x:t>
  </x:si>
  <x:si>
    <x:t xml:space="preserve">Max Planck Institute — Camera Obscura PDF</x:t>
  </x:si>
  <x:si>
    <x:t xml:space="preserve">https://www.mpiwg-berlin.mpg.de/sites/default/files/Preprints/P307.pdf</x:t>
  </x:si>
  <x:si>
    <x:t xml:space="preserve">Можно использовать как промежуточный узел: камера-обскура служит не фотографии, а безопасному наблюдению солнца.</x:t>
  </x:si>
  <x:si>
    <x:t xml:space="preserve">Иконка солнечного затмения + тёмная комната.</x:t>
  </x:si>
  <x:si>
    <x:t xml:space="preserve">#оптика #астрономия #камера-обскура</x:t>
  </x:si>
  <x:si>
    <x:t xml:space="preserve">Нужен первичный источник/точная ссылка на публикацию Frisius.</x:t>
  </x:si>
  <x:si>
    <x:t xml:space="preserve">50.8798, 4.7005</x:t>
  </x:si>
  <x:si>
    <x:t xml:space="preserve">PL-HIST-0003</x:t>
  </x:si>
  <x:si>
    <x:t xml:space="preserve">1550</x:t>
  </x:si>
  <x:si>
    <x:t xml:space="preserve">Италия</x:t>
  </x:si>
  <x:si>
    <x:t xml:space="preserve">Павия / Италия</x:t>
  </x:si>
  <x:si>
    <x:t xml:space="preserve">Джероламо Кардано</x:t>
  </x:si>
  <x:si>
    <x:t xml:space="preserve">Описывает использование стеклянной линзы в камере-обскуре для улучшения изображения.</x:t>
  </x:si>
  <x:si>
    <x:t xml:space="preserve">Линза в камере-обскуре</x:t>
  </x:si>
  <x:si>
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</x:si>
  <x:si>
    <x:t xml:space="preserve">Пинхол / тёмная комната</x:t>
  </x:si>
  <x:si>
    <x:t xml:space="preserve">Della Porta и популяризация камеры-обскуры</x:t>
  </x:si>
  <x:si>
    <x:t xml:space="preserve">SRC-002</x:t>
  </x:si>
  <x:si>
    <x:t xml:space="preserve">IMSS / Museo Galileo — Camera Obscura</x:t>
  </x:si>
  <x:si>
    <x:t xml:space="preserve">https://redi.imss.fi.it/inventions/index.php/Camera_Obscura</x:t>
  </x:si>
  <x:si>
    <x:t xml:space="preserve">Для новичка: отверстие даёт картинку, линза делает её ярче и удобнее.</x:t>
  </x:si>
  <x:si>
    <x:t xml:space="preserve">На линии добавить маленькую линзу перед тёмной комнатой.</x:t>
  </x:si>
  <x:si>
    <x:t xml:space="preserve">#оптика #линза #камера</x:t>
  </x:si>
  <x:si>
    <x:t xml:space="preserve">45.1847, 9.1582</x:t>
  </x:si>
  <x:si>
    <x:t xml:space="preserve">PL-HIST-0004</x:t>
  </x:si>
  <x:si>
    <x:t xml:space="preserve">1558</x:t>
  </x:si>
  <x:si>
    <x:t xml:space="preserve">Неаполь</x:t>
  </x:si>
  <x:si>
    <x:t xml:space="preserve">Джамбаттиста делла Порта</x:t>
  </x:si>
  <x:si>
    <x:t xml:space="preserve">В «Magia Naturalis» описывает камеру-обскуру как зрелищный и практический инструмент наблюдения/рисования.</x:t>
  </x:si>
  <x:si>
    <x:t xml:space="preserve">Камера-обскура как инструмент художника</x:t>
  </x:si>
  <x:si>
    <x:t xml:space="preserve">Камера-обскура входит в европейскую культуру изображения: становится помощником перспективы и точного рисунка.</x:t>
  </x:si>
  <x:si>
    <x:t xml:space="preserve">Кардано и линза</x:t>
  </x:si>
  <x:si>
    <x:t xml:space="preserve">Kepler, портативные камеры-обскуры</x:t>
  </x:si>
  <x:si>
    <x:t xml:space="preserve">Здесь можно показать мост от науки к искусству: камера ещё не фотографирует, но уже помогает изображать реальность.</x:t>
  </x:si>
  <x:si>
    <x:t xml:space="preserve">Иконка художника, который обводит проекцию.</x:t>
  </x:si>
  <x:si>
    <x:t xml:space="preserve">#оптика #искусство #DellaPorta</x:t>
  </x:si>
  <x:si>
    <x:t xml:space="preserve">40.8518, 14.2681</x:t>
  </x:si>
  <x:si>
    <x:t xml:space="preserve">PL-HIST-0005</x:t>
  </x:si>
  <x:si>
    <x:t xml:space="preserve">1604</x:t>
  </x:si>
  <x:si>
    <x:t xml:space="preserve">Германия</x:t>
  </x:si>
  <x:si>
    <x:t xml:space="preserve">Прага / Линц (контекст Kepler)</x:t>
  </x:si>
  <x:si>
    <x:t xml:space="preserve">Иоганн Кеплер</x:t>
  </x:si>
  <x:si>
    <x:t xml:space="preserve">Использует/закрепляет термин «camera obscura» и анализирует формирование оптического изображения.</x:t>
  </x:si>
  <x:si>
    <x:t xml:space="preserve">Camera obscura</x:t>
  </x:si>
  <x:si>
    <x:t xml:space="preserve">Понятие получает устойчивое научное имя и входит в язык оптики.</x:t>
  </x:si>
  <x:si>
    <x:t xml:space="preserve">Renaissance descriptions of camera obscura</x:t>
  </x:si>
  <x:si>
    <x:t xml:space="preserve">Kepler's Dioptrice and portable camera obscura</x:t>
  </x:si>
  <x:si>
    <x:t xml:space="preserve">На карте можно показать, что слова тоже важны: когда явление получает имя, его проще передавать и развивать.</x:t>
  </x:si>
  <x:si>
    <x:t xml:space="preserve">Плашка-термин: CAMERA OBSCURA.</x:t>
  </x:si>
  <x:si>
    <x:t xml:space="preserve">#оптика #Kepler #термин</x:t>
  </x:si>
  <x:si>
    <x:t xml:space="preserve">50.0755, 14.4378</x:t>
  </x:si>
  <x:si>
    <x:t xml:space="preserve">Оптика / терминология</x:t>
  </x:si>
  <x:si>
    <x:t xml:space="preserve">PL-HIST-0006</x:t>
  </x:si>
  <x:si>
    <x:t xml:space="preserve">1611</x:t>
  </x:si>
  <x:si>
    <x:t xml:space="preserve">Линц / Прага</x:t>
  </x:si>
  <x:si>
    <x:t xml:space="preserve">В «Dioptrice» развивает понимание линз, проекции и улучшения изображения в оптических системах.</x:t>
  </x:si>
  <x:si>
    <x:t xml:space="preserve">Линзовая камера-обскура</x:t>
  </x:si>
  <x:si>
    <x:t xml:space="preserve">Будущая камера всё больше зависит от оптики: линзы дают контроль над изображением.</x:t>
  </x:si>
  <x:si>
    <x:t xml:space="preserve">Термин camera obscura</x:t>
  </x:si>
  <x:si>
    <x:t xml:space="preserve">Портативные камеры-обскуры и объективы</x:t>
  </x:si>
  <x:si>
    <x:t xml:space="preserve">Не перегружать урок формулами; объяснить как «переход от дырочки к оптической системе».</x:t>
  </x:si>
  <x:si>
    <x:t xml:space="preserve">Схема: отверстие → линза → более яркая проекция.</x:t>
  </x:si>
  <x:si>
    <x:t xml:space="preserve">#оптика #линзы #Kepler</x:t>
  </x:si>
  <x:si>
    <x:t xml:space="preserve">Подтвердить конкретные формулировки по первичному тексту Dioptrice.</x:t>
  </x:si>
  <x:si>
    <x:t xml:space="preserve">48.3069, 14.2858</x:t>
  </x:si>
  <x:si>
    <x:t xml:space="preserve">Оптика / камера</x:t>
  </x:si>
  <x:si>
    <x:t xml:space="preserve">PL-HIST-0007</x:t>
  </x:si>
  <x:si>
    <x:t xml:space="preserve">ок. 1620</x:t>
  </x:si>
  <x:si>
    <x:t xml:space="preserve">примерно</x:t>
  </x:si>
  <x:si>
    <x:t xml:space="preserve">Австрия / Германия</x:t>
  </x:si>
  <x:si>
    <x:t xml:space="preserve">Верхняя Австрия</x:t>
  </x:si>
  <x:si>
    <x:t xml:space="preserve">Использует переносную камеру-обскуру в виде палатки для наблюдения и зарисовок ландшафта.</x:t>
  </x:si>
  <x:si>
    <x:t xml:space="preserve">Портативная camera obscura</x:t>
  </x:si>
  <x:si>
    <x:t xml:space="preserve">Камера-обскура становится мобильной: это важный шаг к переносной камере.</x:t>
  </x:si>
  <x:si>
    <x:t xml:space="preserve">Zahn and portable camera designs</x:t>
  </x:si>
  <x:si>
    <x:t xml:space="preserve">Хороший визуальный эпизод для рилса: учёный в тёмной палатке ловит изображение мира.</x:t>
  </x:si>
  <x:si>
    <x:t xml:space="preserve">Карта: линия от комнаты к переносной палатке.</x:t>
  </x:si>
  <x:si>
    <x:t xml:space="preserve">#камера-обскура #портативность #Kepler</x:t>
  </x:si>
  <x:si>
    <x:t xml:space="preserve">Проверить год и источники письма Henry Wotton.</x:t>
  </x:si>
  <x:si>
    <x:t xml:space="preserve">PL-HIST-0008</x:t>
  </x:si>
  <x:si>
    <x:t xml:space="preserve">1685</x:t>
  </x:si>
  <x:si>
    <x:t xml:space="preserve">Вюрцбург</x:t>
  </x:si>
  <x:si>
    <x:t xml:space="preserve">Иоганн Цан</x:t>
  </x:si>
  <x:si>
    <x:t xml:space="preserve">Публикует схемы переносных камер-обскур и оптических устройств в «Oculus Artificialis».</x:t>
  </x:si>
  <x:si>
    <x:t xml:space="preserve">Портативная / зеркальная camera obscura</x:t>
  </x:si>
  <x:si>
    <x:t xml:space="preserve">Идея камеры становится почти предметной: устройство уже похоже на будущий фотоаппарат, но без химической фиксации.</x:t>
  </x:si>
  <x:si>
    <x:t xml:space="preserve">Портативные камеры-обскуры XVII века</x:t>
  </x:si>
  <x:si>
    <x:t xml:space="preserve">Фотохимия XVIII века</x:t>
  </x:si>
  <x:si>
    <x:t xml:space="preserve">SRC-004</x:t>
  </x:si>
  <x:si>
    <x:t xml:space="preserve">Public Domain Review — Johann Zahn's Oculus Artificialis</x:t>
  </x:si>
  <x:si>
    <x:t xml:space="preserve">https://publicdomainreview.org/collection/images-from-johann-zahn-s-oculus-artificialis-1685</x:t>
  </x:si>
  <x:si>
    <x:t xml:space="preserve">Можно показать как «корпус камеры появился раньше фотографии».</x:t>
  </x:si>
  <x:si>
    <x:t xml:space="preserve">Иконка деревянной камеры с зеркалом.</x:t>
  </x:si>
  <x:si>
    <x:t xml:space="preserve">#камера #Zahn #оптика</x:t>
  </x:si>
  <x:si>
    <x:t xml:space="preserve">49.7913, 9.9534</x:t>
  </x:si>
  <x:si>
    <x:t xml:space="preserve">PL-HIST-0009</x:t>
  </x:si>
  <x:si>
    <x:t xml:space="preserve">1727</x:t>
  </x:si>
  <x:si>
    <x:t xml:space="preserve">Альтдорф / Галле</x:t>
  </x:si>
  <x:si>
    <x:t xml:space="preserve">Иоганн Генрих Шульце</x:t>
  </x:si>
  <x:si>
    <x:t xml:space="preserve">Публикует научное исследование: соли серебра темнеют под действием света, а не тепла.</x:t>
  </x:si>
  <x:si>
    <x:t xml:space="preserve">Серебряные соли</x:t>
  </x:si>
  <x:si>
    <x:t xml:space="preserve">Появляется химическая половина фотографии: материал может реагировать на свет.</x:t>
  </x:si>
  <x:si>
    <x:t xml:space="preserve">Алхимические наблюдения потемнения серебра</x:t>
  </x:si>
  <x:si>
    <x:t xml:space="preserve">Scheele, Wedgwood, Niépce</x:t>
  </x:si>
  <x:si>
    <x:t xml:space="preserve">Химическая предпосылка</x:t>
  </x:si>
  <x:si>
    <x:t xml:space="preserve">PL-002</x:t>
  </x:si>
  <x:si>
    <x:t xml:space="preserve">SRC-005</x:t>
  </x:si>
  <x:si>
    <x:t xml:space="preserve">Swiss Camera Museum — Johann Heinrich Schulze</x:t>
  </x:si>
  <x:si>
    <x:t xml:space="preserve">https://www.cameramuseum.ch/en/discover/permanent-exhibition/the-origins-of-photography/the-precursors-johann-heinrich-schulze/</x:t>
  </x:si>
  <x:si>
    <x:t xml:space="preserve">Это ключевой мост: камера уже строила изображение, но теперь появился материал, который свет может менять.</x:t>
  </x:si>
  <x:si>
    <x:t xml:space="preserve">Серебряная колба/бутылка, на которой свет оставляет след.</x:t>
  </x:si>
  <x:si>
    <x:t xml:space="preserve">#фотохимия #серебро #Schulze #PL002</x:t>
  </x:si>
  <x:si>
    <x:t xml:space="preserve">49.3833, 11.3833</x:t>
  </x:si>
  <x:si>
    <x:t xml:space="preserve">PL-HIST-0010</x:t>
  </x:si>
  <x:si>
    <x:t xml:space="preserve">1777</x:t>
  </x:si>
  <x:si>
    <x:t xml:space="preserve">Швеция</x:t>
  </x:si>
  <x:si>
    <x:t xml:space="preserve">Кёпинг / Стокгольм (контекст)</x:t>
  </x:si>
  <x:si>
    <x:t xml:space="preserve">Карл Вильгельм Шееле</x:t>
  </x:si>
  <x:si>
    <x:t xml:space="preserve">Изучает свойства хлорида серебра: потемнение на свету и роль аммиака для растворения/стабилизации соединений серебра.</x:t>
  </x:si>
  <x:si>
    <x:t xml:space="preserve">Silver chloride / ammonia</x:t>
  </x:si>
  <x:si>
    <x:t xml:space="preserve">Фиксация становится главным нерешённым вопросом: как сделать след света устойчивым.</x:t>
  </x:si>
  <x:si>
    <x:t xml:space="preserve">Schulze and silver salts</x:t>
  </x:si>
  <x:si>
    <x:t xml:space="preserve">Wedgwood and Davy, then Niépce</x:t>
  </x:si>
  <x:si>
    <x:t xml:space="preserve">SRC-006</x:t>
  </x:si>
  <x:si>
    <x:t xml:space="preserve">Science History Institute — Silver and Sunlight</x:t>
  </x:si>
  <x:si>
    <x:t xml:space="preserve">https://www.sciencehistory.org/stories/magazine/silver-and-sunlight/</x:t>
  </x:si>
  <x:si>
    <x:t xml:space="preserve">Новичку объяснить: мало получить изображение — нужно остановить дальнейшее потемнение.</x:t>
  </x:si>
  <x:si>
    <x:t xml:space="preserve">Иконка: след света + знак «зафиксировать».</x:t>
  </x:si>
  <x:si>
    <x:t xml:space="preserve">#фотохимия #фиксаж #серебро</x:t>
  </x:si>
  <x:si>
    <x:t xml:space="preserve">Уточнить связь Scheele с практическим фиксированием: не преувеличивать.</x:t>
  </x:si>
  <x:si>
    <x:t xml:space="preserve">59.5117, 15.9992</x:t>
  </x:si>
  <x:si>
    <x:t xml:space="preserve">Фотохимия / фиксация</x:t>
  </x:si>
  <x:si>
    <x:t xml:space="preserve">PL-HIST-0011</x:t>
  </x:si>
  <x:si>
    <x:t xml:space="preserve">ок. 1800</x:t>
  </x:si>
  <x:si>
    <x:t xml:space="preserve">Великобритания</x:t>
  </x:si>
  <x:si>
    <x:t xml:space="preserve">Этрурия / Стаффордшир</x:t>
  </x:si>
  <x:si>
    <x:t xml:space="preserve">Томас Веджвуд</x:t>
  </x:si>
  <x:si>
    <x:t xml:space="preserve">Проводит опыты с бумагой/кожей, обработанными нитратом серебра, пытаясь получать изображения светом.</x:t>
  </x:si>
  <x:si>
    <x:t xml:space="preserve">Серебряный нитрат на бумаге/коже</x:t>
  </x:si>
  <x:si>
    <x:t xml:space="preserve">Появляется идея фотографического изображения, но проблема сохранения ещё не решена.</x:t>
  </x:si>
  <x:si>
    <x:t xml:space="preserve">Schulze and Scheele</x:t>
  </x:si>
  <x:si>
    <x:t xml:space="preserve">Davy publication, Niépce's experiments</x:t>
  </x:si>
  <x:si>
    <x:t xml:space="preserve">Тупиковая / не получила развития</x:t>
  </x:si>
  <x:si>
    <x:t xml:space="preserve">SRC-007</x:t>
  </x:si>
  <x:si>
    <x:t xml:space="preserve">Swiss Camera Museum — Thomas Wedgwood</x:t>
  </x:si>
  <x:si>
    <x:t xml:space="preserve">https://www.cameramuseum.ch/en/discover/permanent-exhibition/the-origins-of-photography/the-precursors-thomas-wedgwood/</x:t>
  </x:si>
  <x:si>
    <x:t xml:space="preserve">Хорошо показать как честную неудачу: попытка почти фотографическая, но изображение исчезает.</x:t>
  </x:si>
  <x:si>
    <x:t xml:space="preserve">Пунктирная линия: «почти получилось, но не закрепилось».</x:t>
  </x:si>
  <x:si>
    <x:t xml:space="preserve">#Wedgwood #фотохимия #неудача</x:t>
  </x:si>
  <x:si>
    <x:t xml:space="preserve">53.0027, -2.1794</x:t>
  </x:si>
  <x:si>
    <x:t xml:space="preserve">Фотохимия / первая фиксация</x:t>
  </x:si>
  <x:si>
    <x:t xml:space="preserve">PL-HIST-0012</x:t>
  </x:si>
  <x:si>
    <x:t xml:space="preserve">1802</x:t>
  </x:si>
  <x:si>
    <x:t xml:space="preserve">Лондон / Бристоль</x:t>
  </x:si>
  <x:si>
    <x:t xml:space="preserve">Хамфри Дэви и Томас Веджвуд</x:t>
  </x:si>
  <x:si>
    <x:t xml:space="preserve">Дэви публикует отчёт о методе копирования изображений светом на нитрате серебра.</x:t>
  </x:si>
  <x:si>
    <x:t xml:space="preserve">Photogenic copying on silver nitrate</x:t>
  </x:si>
  <x:si>
    <x:t xml:space="preserve">Первые эксперименты становятся опубликованным знанием, но без полноценного фиксирования изображения.</x:t>
  </x:si>
  <x:si>
    <x:t xml:space="preserve">Wedgwood experiments</x:t>
  </x:si>
  <x:si>
    <x:t xml:space="preserve">Niépce and Talbot later address permanence</x:t>
  </x:si>
  <x:si>
    <x:t xml:space="preserve">SRC-008</x:t>
  </x:si>
  <x:si>
    <x:t xml:space="preserve">Bodleian — Talbot Catalogue: Photogenic Drawing</x:t>
  </x:si>
  <x:si>
    <x:t xml:space="preserve">https://talbot.bodleian.ox.ac.uk/2017/02/17/an-account-of-the-processes-employed-in-photogenic-drawing/</x:t>
  </x:si>
  <x:si>
    <x:t xml:space="preserve">В лекции: до Ньепса уже были люди, которые понимали направление, но не решили задачу постоянства.</x:t>
  </x:si>
  <x:si>
    <x:t xml:space="preserve">Иконка публикации/лист бумаги, который постепенно темнеет.</x:t>
  </x:si>
  <x:si>
    <x:t xml:space="preserve">#Davy #Wedgwood #публикация</x:t>
  </x:si>
  <x:si>
    <x:t xml:space="preserve">Добавить первичный PDF/текст Journal of the Royal Institution при углублении.</x:t>
  </x:si>
  <x:si>
    <x:t xml:space="preserve">51.5074, -0.1278</x:t>
  </x:si>
  <x:si>
    <x:t xml:space="preserve">Фотохимия / публикация</x:t>
  </x:si>
  <x:si>
    <x:t xml:space="preserve">PL-HIST-0013</x:t>
  </x:si>
  <x:si>
    <x:t xml:space="preserve">1806–1807</x:t>
  </x:si>
  <x:si>
    <x:t xml:space="preserve">Лондон</x:t>
  </x:si>
  <x:si>
    <x:t xml:space="preserve">Уильям Хайд Волластон</x:t>
  </x:si>
  <x:si>
    <x:t xml:space="preserve">Патентует и называет camera lucida — оптический прибор для точного рисования.</x:t>
  </x:si>
  <x:si>
    <x:t xml:space="preserve">Camera lucida</x:t>
  </x:si>
  <x:si>
    <x:t xml:space="preserve">Показывает, что до фотографии общество уже искало способы механизировать точность изображения.</x:t>
  </x:si>
  <x:si>
    <x:t xml:space="preserve">Camera obscura drawing tools</x:t>
  </x:si>
  <x:si>
    <x:t xml:space="preserve">Photography will replace drawing aids for some purposes</x:t>
  </x:si>
  <x:si>
    <x:t xml:space="preserve">межурочный узел</x:t>
  </x:si>
  <x:si>
    <x:t xml:space="preserve">SRC-009</x:t>
  </x:si>
  <x:si>
    <x:t xml:space="preserve">Smithsonian NMAH — Camera Lucida</x:t>
  </x:si>
  <x:si>
    <x:t xml:space="preserve">https://americanhistory.si.edu/collections/object/nmah_1184286</x:t>
  </x:si>
  <x:si>
    <x:t xml:space="preserve">Это не фотография, но очень полезный узел: люди хотели точного изображения до химической фотографии.</x:t>
  </x:si>
  <x:si>
    <x:t xml:space="preserve">Иконка призмы и руки художника.</x:t>
  </x:si>
  <x:si>
    <x:t xml:space="preserve">#оптика #camera-lucida #рисование</x:t>
  </x:si>
  <x:si>
    <x:t xml:space="preserve">PL-HIST-0014</x:t>
  </x:si>
  <x:si>
    <x:t xml:space="preserve">1816</x:t>
  </x:si>
  <x:si>
    <x:t xml:space="preserve">Франция</x:t>
  </x:si>
  <x:si>
    <x:t xml:space="preserve">Сен-Лу-де-Варенн / Ле-Гра</x:t>
  </x:si>
  <x:si>
    <x:t xml:space="preserve">Нисефор Ньепс</x:t>
  </x:si>
  <x:si>
    <x:t xml:space="preserve">Получает исчезающие негативные изображения в камере-обскуре на бумаге с солями серебра.</x:t>
  </x:si>
  <x:si>
    <x:t xml:space="preserve">Silver chloride paper negative</x:t>
  </x:si>
  <x:si>
    <x:t xml:space="preserve">Ньепс впервые подходит к реальной камере-фотографии, но изображение ещё не устойчиво.</x:t>
  </x:si>
  <x:si>
    <x:t xml:space="preserve">Wedgwood/Davy experiments</x:t>
  </x:si>
  <x:si>
    <x:t xml:space="preserve">Niépce switches to bitumen heliography</x:t>
  </x:si>
  <x:si>
    <x:t xml:space="preserve">Переходная технология</x:t>
  </x:si>
  <x:si>
    <x:t xml:space="preserve">SRC-011</x:t>
  </x:si>
  <x:si>
    <x:t xml:space="preserve">Maison Nicéphore Niépce — First experiments</x:t>
  </x:si>
  <x:si>
    <x:t xml:space="preserve">https://bicentennial-of-photography.org/niepce-and-the-invention-of-photography-niepce-s-first-experiments/</x:t>
  </x:si>
  <x:si>
    <x:t xml:space="preserve">Важно: это не первый сохранившийся снимок, а первая стадия Ньепса — изображение было, но исчезало.</x:t>
  </x:si>
  <x:si>
    <x:t xml:space="preserve">Светлая линия появляется на бумаге и затем исчезает.</x:t>
  </x:si>
  <x:si>
    <x:t xml:space="preserve">#Niépce #1816 #PL002 #негатив</x:t>
  </x:si>
  <x:si>
    <x:t xml:space="preserve">46.7828, 4.8892</x:t>
  </x:si>
  <x:si>
    <x:t xml:space="preserve">Первая фиксация / проблема постоянства</x:t>
  </x:si>
  <x:si>
    <x:t xml:space="preserve">PL-HIST-0015</x:t>
  </x:si>
  <x:si>
    <x:t xml:space="preserve">1822–1825</x:t>
  </x:si>
  <x:si>
    <x:t xml:space="preserve">Развивает гелиографию: использует светочувствительный битум для создания устойчивых изображений/копий гравюр.</x:t>
  </x:si>
  <x:si>
    <x:t xml:space="preserve">Bitumen of Judea on metal/stone</x:t>
  </x:si>
  <x:si>
    <x:t xml:space="preserve">Путь меняется: вместо серебряных солей Ньепс ищет материал, который свет делает не темнее, а твёрже/нерастворимее.</x:t>
  </x:si>
  <x:si>
    <x:t xml:space="preserve">1816 silver-salt negatives</x:t>
  </x:si>
  <x:si>
    <x:t xml:space="preserve">View from the Window at Le Gras</x:t>
  </x:si>
  <x:si>
    <x:t xml:space="preserve">SRC-010</x:t>
  </x:si>
  <x:si>
    <x:t xml:space="preserve">Harry Ransom Center — The Niépce Heliograph</x:t>
  </x:si>
  <x:si>
    <x:t xml:space="preserve">https://www.hrc.utexas.edu/niepce-heliograph/</x:t>
  </x:si>
  <x:si>
    <x:t xml:space="preserve">Для лекции: Ньепс думал не только о камере, но и о механическом копировании изображений.</x:t>
  </x:si>
  <x:si>
    <x:t xml:space="preserve">Узел «гелиография»: солнце превращает покрытие в устойчивый след.</x:t>
  </x:si>
  <x:si>
    <x:t xml:space="preserve">#гелиография #Niépce #битум</x:t>
  </x:si>
  <x:si>
    <x:t xml:space="preserve">Проверить дату 1822 для несохранившейся heliograph copy.</x:t>
  </x:si>
  <x:si>
    <x:t xml:space="preserve">PL-HIST-0016</x:t>
  </x:si>
  <x:si>
    <x:t xml:space="preserve">1826 / 1827</x:t>
  </x:si>
  <x:si>
    <x:t xml:space="preserve">спорно/уточнить</x:t>
  </x:si>
  <x:si>
    <x:t xml:space="preserve">Ле-Гра, Сен-Лу-де-Варенн</x:t>
  </x:si>
  <x:si>
    <x:t xml:space="preserve">Создаёт «Вид из окна в Ле-Гра» — самое раннее сохранившееся изображение, полученное с помощью камеры-обскуры.</x:t>
  </x:si>
  <x:si>
    <x:t xml:space="preserve">Heliograph on pewter plate</x:t>
  </x:si>
  <x:si>
    <x:t xml:space="preserve">Изображение впервые не просто возникло, а сохранилось до наших дней.</x:t>
  </x:si>
  <x:si>
    <x:t xml:space="preserve">Heliographic experiments</x:t>
  </x:si>
  <x:si>
    <x:t xml:space="preserve">Partnership with Daguerre</x:t>
  </x:si>
  <x:si>
    <x:t xml:space="preserve">Главная линия</x:t>
  </x:si>
  <x:si>
    <x:t xml:space="preserve">Дата встречается как 1826 или 1827; в таблице оставляем спорной/уточняемой.</x:t>
  </x:si>
  <x:si>
    <x:t xml:space="preserve">Главный узел PL-002: окно, свет, металлическая пластина.</x:t>
  </x:si>
  <x:si>
    <x:t xml:space="preserve">#Niépce #перваяфотография #гелиография #PL002</x:t>
  </x:si>
  <x:si>
    <x:t xml:space="preserve">Уточнить редакционную дату: Harvard даёт 1826, HRC — 1827.</x:t>
  </x:si>
  <x:si>
    <x:t xml:space="preserve">Гелиография / первая сохранившаяся фотография</x:t>
  </x:si>
  <x:si>
    <x:t xml:space="preserve">PL-HIST-0017</x:t>
  </x:si>
  <x:si>
    <x:t xml:space="preserve">1829</x:t>
  </x:si>
  <x:si>
    <x:t xml:space="preserve">Париж / Сен-Лу-де-Варенн</x:t>
  </x:si>
  <x:si>
    <x:t xml:space="preserve">Нисефор Ньепс и Луи Дагер</x:t>
  </x:si>
  <x:si>
    <x:t xml:space="preserve">Ньепс и Дагер вступают в формальное партнёрство для развития фотографического процесса.</x:t>
  </x:si>
  <x:si>
    <x:t xml:space="preserve">Heliography → daguerreotype lineage</x:t>
  </x:si>
  <x:si>
    <x:t xml:space="preserve">Линия Ньепса соединяется с практическими улучшениями Дагера.</x:t>
  </x:si>
  <x:si>
    <x:t xml:space="preserve">Niépce heliography</x:t>
  </x:si>
  <x:si>
    <x:t xml:space="preserve">Daguerreotype announcement</x:t>
  </x:si>
  <x:si>
    <x:t xml:space="preserve">PL-003</x:t>
  </x:si>
  <x:si>
    <x:t xml:space="preserve">Это не просто смена фамилии: здесь начинается связка Ньепс → Дагер.</x:t>
  </x:si>
  <x:si>
    <x:t xml:space="preserve">Линия на карте: Ле-Гра → Париж.</x:t>
  </x:si>
  <x:si>
    <x:t xml:space="preserve">#Niépce #Daguerre #Франция #PL003</x:t>
  </x:si>
  <x:si>
    <x:t xml:space="preserve">48.8566, 2.3522</x:t>
  </x:si>
  <x:si>
    <x:t xml:space="preserve">Передача идеи / развитие процесса</x:t>
  </x:si>
  <x:si>
    <x:t xml:space="preserve">PL-HIST-0018</x:t>
  </x:si>
  <x:si>
    <x:t xml:space="preserve">1833</x:t>
  </x:si>
  <x:si>
    <x:t xml:space="preserve">Сен-Лу-де-Варенн</x:t>
  </x:si>
  <x:si>
    <x:t xml:space="preserve">Нисефор Ньепс / Луи Дагер</x:t>
  </x:si>
  <x:si>
    <x:t xml:space="preserve">После смерти Ньепса Дагер продолжает работы и в итоге доводит процесс до публичного объявления.</x:t>
  </x:si>
  <x:si>
    <x:t xml:space="preserve">Daguerreotype lineage</x:t>
  </x:si>
  <x:si>
    <x:t xml:space="preserve">Фотография становится историей не одного человека, а продолжения незавершённой разработки.</x:t>
  </x:si>
  <x:si>
    <x:t xml:space="preserve">Partnership 1829</x:t>
  </x:si>
  <x:si>
    <x:t xml:space="preserve">1839 public announcement</x:t>
  </x:si>
  <x:si>
    <x:t xml:space="preserve">Для сериала: Ньепс не увидел публичного триумфа фотографии.</x:t>
  </x:si>
  <x:si>
    <x:t xml:space="preserve">Линия прерывается у Ньепса и продолжается к Дагеру.</x:t>
  </x:si>
  <x:si>
    <x:t xml:space="preserve">#Niépce #Daguerre #история</x:t>
  </x:si>
  <x:si>
    <x:t xml:space="preserve">PL-HIST-0019</x:t>
  </x:si>
  <x:si>
    <x:t xml:space="preserve">1834</x:t>
  </x:si>
  <x:si>
    <x:t xml:space="preserve">Лэкок-Эбби</x:t>
  </x:si>
  <x:si>
    <x:t xml:space="preserve">Уильям Генри Фокс Тальбот</x:t>
  </x:si>
  <x:si>
    <x:t xml:space="preserve">Создаёт фотогенные рисунки: предметы кладутся на светочувствительную бумагу и оставляют силуэт.</x:t>
  </x:si>
  <x:si>
    <x:t xml:space="preserve">Photogenic drawing</x:t>
  </x:si>
  <x:si>
    <x:t xml:space="preserve">Параллельно французской линии появляется британская ветка: изображение через негативный след на бумаге.</x:t>
  </x:si>
  <x:si>
    <x:t xml:space="preserve">Wedgwood/Davy and silver salts</x:t>
  </x:si>
  <x:si>
    <x:t xml:space="preserve">Calotype and negative-positive process</x:t>
  </x:si>
  <x:si>
    <x:t xml:space="preserve">PL-004</x:t>
  </x:si>
  <x:si>
    <x:t xml:space="preserve">SRC-023</x:t>
  </x:si>
  <x:si>
    <x:t xml:space="preserve">National Gallery of Canada — The Calotype Process</x:t>
  </x:si>
  <x:si>
    <x:t xml:space="preserve">https://www.gallery.ca/photo-blog/the-calotype-process</x:t>
  </x:si>
  <x:si>
    <x:t xml:space="preserve">Важно показать как параллельную работу, а не как продолжение Дагера.</x:t>
  </x:si>
  <x:si>
    <x:t xml:space="preserve">Отдельная линия Великобритания: лист растения на бумаге.</x:t>
  </x:si>
  <x:si>
    <x:t xml:space="preserve">#Talbot #photogenic-drawing #PL004</x:t>
  </x:si>
  <x:si>
    <x:t xml:space="preserve">51.4136, -2.118</x:t>
  </x:si>
  <x:si>
    <x:t xml:space="preserve">PL-HIST-0020</x:t>
  </x:si>
  <x:si>
    <x:t xml:space="preserve">1835</x:t>
  </x:si>
  <x:si>
    <x:t xml:space="preserve">Делает ранние маленькие камерные негативы, включая вид окна в Лэкок-Эбби.</x:t>
  </x:si>
  <x:si>
    <x:t xml:space="preserve">Paper negative in camera</x:t>
  </x:si>
  <x:si>
    <x:t xml:space="preserve">Тальбот переносит идею фотогенного рисунка в камеру: бумага становится негативом будущей копии.</x:t>
  </x:si>
  <x:si>
    <x:t xml:space="preserve">Photogenic drawings</x:t>
  </x:si>
  <x:si>
    <x:t xml:space="preserve">1839 publication and 1841 calotype</x:t>
  </x:si>
  <x:si>
    <x:t xml:space="preserve">SRC-016</x:t>
  </x:si>
  <x:si>
    <x:t xml:space="preserve">The Met — William Henry Fox Talbot</x:t>
  </x:si>
  <x:si>
    <x:t xml:space="preserve">https://www.metmuseum.org/essays/william-henry-fox-talbot-1800-1877-and-the-invention-of-photography</x:t>
  </x:si>
  <x:si>
    <x:t xml:space="preserve">Можно объяснить: у Тальбота фотография думает не как «одна пластинка», а как система копирования.</x:t>
  </x:si>
  <x:si>
    <x:t xml:space="preserve">Окно Лэкок-Эбби как британская пара к окну Ньепса.</x:t>
  </x:si>
  <x:si>
    <x:t xml:space="preserve">#Talbot #окно #негатив #PL004</x:t>
  </x:si>
  <x:si>
    <x:t xml:space="preserve">Проверить источник для конкретной даты и объекта Oriel Window.</x:t>
  </x:si>
  <x:si>
    <x:t xml:space="preserve">PL-HIST-0021</x:t>
  </x:si>
  <x:si>
    <x:t xml:space="preserve">1837</x:t>
  </x:si>
  <x:si>
    <x:t xml:space="preserve">Париж</x:t>
  </x:si>
  <x:si>
    <x:t xml:space="preserve">Луи Дагер</x:t>
  </x:si>
  <x:si>
    <x:t xml:space="preserve">Дагер получает более практичный прямой позитив на серебряной пластине и сокращает экспозицию по сравнению с Ньепсом.</x:t>
  </x:si>
  <x:si>
    <x:t xml:space="preserve">Silver-plated copper plate / direct positive</x:t>
  </x:si>
  <x:si>
    <x:t xml:space="preserve">Фотография становится резче, быстрее и технически убедительнее, но остаётся уникальным изображением.</x:t>
  </x:si>
  <x:si>
    <x:t xml:space="preserve">Niépce-Daguerre partnership</x:t>
  </x:si>
  <x:si>
    <x:t xml:space="preserve">1839 Académie announcement</x:t>
  </x:si>
  <x:si>
    <x:t xml:space="preserve">Исторически важная ограниченная ветка</x:t>
  </x:si>
  <x:si>
    <x:t xml:space="preserve">SRC-013</x:t>
  </x:si>
  <x:si>
    <x:t xml:space="preserve">The Met — Daguerre and the Invention of Photography</x:t>
  </x:si>
  <x:si>
    <x:t xml:space="preserve">https://www.metmuseum.org/essays/daguerre-1787-1851-and-the-invention-of-photography</x:t>
  </x:si>
  <x:si>
    <x:t xml:space="preserve">В таблице фиксируем как техническую подготовку к публичному объявлению, но дату/детали уточнить.</x:t>
  </x:si>
  <x:si>
    <x:t xml:space="preserve">Металлическая пластина + резкое изображение.</x:t>
  </x:si>
  <x:si>
    <x:t xml:space="preserve">#Daguerre #дагеротип #PL003</x:t>
  </x:si>
  <x:si>
    <x:t xml:space="preserve">Уточнить первичный источник и дату 1837.</x:t>
  </x:si>
  <x:si>
    <x:t xml:space="preserve">PL-HIST-0022</x:t>
  </x:si>
  <x:si>
    <x:t xml:space="preserve">7 января 1839</x:t>
  </x:si>
  <x:si>
    <x:t xml:space="preserve">точная дата</x:t>
  </x:si>
  <x:si>
    <x:t xml:space="preserve">Франсуа Араго / Луи Дагер</x:t>
  </x:si>
  <x:si>
    <x:t xml:space="preserve">Французская Академия наук видит результаты процесса Дагера; фотография выходит в публичное научное поле.</x:t>
  </x:si>
  <x:si>
    <x:t xml:space="preserve">Daguerreotype</x:t>
  </x:si>
  <x:si>
    <x:t xml:space="preserve">Фотография перестаёт быть частной лабораторной тайной и становится событием культуры и науки.</x:t>
  </x:si>
  <x:si>
    <x:t xml:space="preserve">Daguerre's experiments</x:t>
  </x:si>
  <x:si>
    <x:t xml:space="preserve">19 August 1839 public disclosure</x:t>
  </x:si>
  <x:si>
    <x:t xml:space="preserve">Временная доминирующая линия</x:t>
  </x:si>
  <x:si>
    <x:t xml:space="preserve">Это сильная сцена: не просто изобретение, а момент публичного признания.</x:t>
  </x:si>
  <x:si>
    <x:t xml:space="preserve">Париж, Академия наук, световая демонстрация.</x:t>
  </x:si>
  <x:si>
    <x:t xml:space="preserve">#Daguerre #Arago #Париж #PL003</x:t>
  </x:si>
  <x:si>
    <x:t xml:space="preserve">Дагеротип / публичное объявление</x:t>
  </x:si>
  <x:si>
    <x:t xml:space="preserve">PL-HIST-0023</x:t>
  </x:si>
  <x:si>
    <x:t xml:space="preserve">19 августа 1839</x:t>
  </x:si>
  <x:si>
    <x:t xml:space="preserve">Луи Дагер / французское государство</x:t>
  </x:si>
  <x:si>
    <x:t xml:space="preserve">Процесс дагеротипии официально раскрывается публично; Франция фактически дарит процесс миру.</x:t>
  </x:si>
  <x:si>
    <x:t xml:space="preserve">Дагеротип быстро распространяется по Европе и Америке как первый публично объявленный фотографический процесс.</x:t>
  </x:si>
  <x:si>
    <x:t xml:space="preserve">Academy announcement</x:t>
  </x:si>
  <x:si>
    <x:t xml:space="preserve">Daguerreotypomania and portrait studios</x:t>
  </x:si>
  <x:si>
    <x:t xml:space="preserve">SRC-012</x:t>
  </x:si>
  <x:si>
    <x:t xml:space="preserve">Harvard Library — History of Photography Timeline</x:t>
  </x:si>
  <x:si>
    <x:t xml:space="preserve">https://photographpreservationprogram.hsites.harvard.edu/harvards-history-photography-timeline-text-only</x:t>
  </x:si>
  <x:si>
    <x:t xml:space="preserve">В уроке: 1839 — год, когда фотография стала общественным событием.</x:t>
  </x:si>
  <x:si>
    <x:t xml:space="preserve">Большая точка на Париже и расходящиеся линии по миру.</x:t>
  </x:si>
  <x:si>
    <x:t xml:space="preserve">#1839 #Daguerre #Франция #распространение</x:t>
  </x:si>
  <x:si>
    <x:t xml:space="preserve">Дагеротип / распространение</x:t>
  </x:si>
  <x:si>
    <x:t xml:space="preserve">PL-HIST-0024</x:t>
  </x:si>
  <x:si>
    <x:t xml:space="preserve">1839</x:t>
  </x:si>
  <x:si>
    <x:t xml:space="preserve">Публикует «Some Account of the Art of Photogenic Drawing», представляя свой процесс.</x:t>
  </x:si>
  <x:si>
    <x:t xml:space="preserve">Британская линия заявляет о себе почти одновременно с французской, показывая параллельность изобретения фотографии.</x:t>
  </x:si>
  <x:si>
    <x:t xml:space="preserve">1834–1835 experiments</x:t>
  </x:si>
  <x:si>
    <x:t xml:space="preserve">Calotype patent 1841</x:t>
  </x:si>
  <x:si>
    <x:t xml:space="preserve">Идеально для объяснения: Франция дала резкость и публичный эффект, Британия — логику копии.</x:t>
  </x:si>
  <x:si>
    <x:t xml:space="preserve">Две линии на карте: Париж и Лондон одновременно загораются в 1839.</x:t>
  </x:si>
  <x:si>
    <x:t xml:space="preserve">#Talbot #1839 #PL004</x:t>
  </x:si>
  <x:si>
    <x:t xml:space="preserve">Фотогенный рисунок / публикация</x:t>
  </x:si>
  <x:si>
    <x:t xml:space="preserve">PL-HIST-0025</x:t>
  </x:si>
  <x:si>
    <x:t xml:space="preserve">Лондон / Slough</x:t>
  </x:si>
  <x:si>
    <x:t xml:space="preserve">Джон Фредерик Уильям Гершель</x:t>
  </x:si>
  <x:si>
    <x:t xml:space="preserve">Предлагает использовать hyposulphite of soda как фиксирующее средство для серебряных фотографий.</x:t>
  </x:si>
  <x:si>
    <x:t xml:space="preserve">Hypo / sodium thiosulfate fixer</x:t>
  </x:si>
  <x:si>
    <x:t xml:space="preserve">Фотография становится практически долговечной: изображение можно остановить от дальнейшего действия света.</x:t>
  </x:si>
  <x:si>
    <x:t xml:space="preserve">Silver-salt image instability</x:t>
  </x:si>
  <x:si>
    <x:t xml:space="preserve">Stable calotypes and later silver processes</x:t>
  </x:si>
  <x:si>
    <x:t xml:space="preserve">Сильный смысл: фотография — это не только камера, но и умение остановить свет.</x:t>
  </x:si>
  <x:si>
    <x:t xml:space="preserve">Иконка замка/стоп-символа на изображении.</x:t>
  </x:si>
  <x:si>
    <x:t xml:space="preserve">#Herschel #фиксаж #hypo</x:t>
  </x:si>
  <x:si>
    <x:t xml:space="preserve">PL-HIST-0026</x:t>
  </x:si>
  <x:si>
    <x:t xml:space="preserve">Вводит/закрепляет термины «photography», «negative» и «positive» в ранней фотографической культуре.</x:t>
  </x:si>
  <x:si>
    <x:t xml:space="preserve">Photographic terminology</x:t>
  </x:si>
  <x:si>
    <x:t xml:space="preserve">Язык фотографии формируется: появляются термины, без которых невозможно объяснить негативно-позитивный процесс.</x:t>
  </x:si>
  <x:si>
    <x:t xml:space="preserve">Talbot's paper negatives and photogenic drawings</x:t>
  </x:si>
  <x:si>
    <x:t xml:space="preserve">Calotype and photographic vocabulary</x:t>
  </x:si>
  <x:si>
    <x:t xml:space="preserve">SRC-017</x:t>
  </x:si>
  <x:si>
    <x:t xml:space="preserve">Getty — Sir John F. W. Herschel</x:t>
  </x:si>
  <x:si>
    <x:t xml:space="preserve">https://www.getty.edu/art/collection/person/103KHK</x:t>
  </x:si>
  <x:si>
    <x:t xml:space="preserve">Можно сделать мини-вставку: терминология — это тоже технология понимания.</x:t>
  </x:si>
  <x:si>
    <x:t xml:space="preserve">Карточка слов: PHOTOGRAPHY / NEGATIVE / POSITIVE.</x:t>
  </x:si>
  <x:si>
    <x:t xml:space="preserve">#Herschel #термины #negative #positive</x:t>
  </x:si>
  <x:si>
    <x:t xml:space="preserve">Уточнить первичные даты употребления терминов в письмах/докладах.</x:t>
  </x:si>
  <x:si>
    <x:t xml:space="preserve">PL-HIST-0027</x:t>
  </x:si>
  <x:si>
    <x:t xml:space="preserve">1839–1840</x:t>
  </x:si>
  <x:si>
    <x:t xml:space="preserve">Ипполит Байяр</x:t>
  </x:si>
  <x:si>
    <x:t xml:space="preserve">Разрабатывает прямой позитивный процесс на бумаге, но оказывается в тени Дагера и Тальбота.</x:t>
  </x:si>
  <x:si>
    <x:t xml:space="preserve">Direct positive paper process</x:t>
  </x:si>
  <x:si>
    <x:t xml:space="preserve">Показывает, что история фотографии была многоголосой: не все ветки получили признание и масштаб.</x:t>
  </x:si>
  <x:si>
    <x:t xml:space="preserve">French early photographic experiments</x:t>
  </x:si>
  <x:si>
    <x:t xml:space="preserve">Bayard's staged self-portrait and later history</x:t>
  </x:si>
  <x:si>
    <x:t xml:space="preserve">Можно использовать как сюжет о несправедливости истории и «забытых изобретателях».</x:t>
  </x:si>
  <x:si>
    <x:t xml:space="preserve">Пунктирная ветка от Парижа, уходящая в сторону.</x:t>
  </x:si>
  <x:si>
    <x:t xml:space="preserve">#Bayard #direct-positive #забытые</x:t>
  </x:si>
  <x:si>
    <x:t xml:space="preserve">Найти лучший источник именно по процессу Байяра, не только биографию Getty.</x:t>
  </x:si>
  <x:si>
    <x:t xml:space="preserve">PL-HIST-0028</x:t>
  </x:si>
  <x:si>
    <x:t xml:space="preserve">1838</x:t>
  </x:si>
  <x:si>
    <x:t xml:space="preserve">Чарльз Уитстон</x:t>
  </x:si>
  <x:si>
    <x:t xml:space="preserve">Представляет стереоскоп и демонстрирует принцип бинокулярного зрения.</x:t>
  </x:si>
  <x:si>
    <x:t xml:space="preserve">Stereoscope</x:t>
  </x:si>
  <x:si>
    <x:t xml:space="preserve">Пока ещё не фотографическая технология, но позже стереофотография станет массовой формой визуального опыта.</x:t>
  </x:si>
  <x:si>
    <x:t xml:space="preserve">Optics of vision</x:t>
  </x:si>
  <x:si>
    <x:t xml:space="preserve">Photographic stereographs in the 1850s</x:t>
  </x:si>
  <x:si>
    <x:t xml:space="preserve">будущие PL</x:t>
  </x:si>
  <x:si>
    <x:t xml:space="preserve">SRC-024</x:t>
  </x:si>
  <x:si>
    <x:t xml:space="preserve">Royal Society / Google Arts &amp; Culture — Stereoscopy</x:t>
  </x:si>
  <x:si>
    <x:t xml:space="preserve">https://artsandculture.google.com/story/stereoscopy-the-birth-of-3d-technology-the-royal-society/pwWRTNS-hqDN5g</x:t>
  </x:si>
  <x:si>
    <x:t xml:space="preserve">Этот узел лучше оставить для будущего раздела о 3D/стереофотографии.</x:t>
  </x:si>
  <x:si>
    <x:t xml:space="preserve">Иконка двух глаз / двух изображений.</x:t>
  </x:si>
  <x:si>
    <x:t xml:space="preserve">#стереоскоп #Wheatstone #3D</x:t>
  </x:si>
  <x:si>
    <x:t xml:space="preserve">Оптические инструменты / 3D</x:t>
  </x:si>
  <x:si>
    <x:t xml:space="preserve">PL-HIST-0029</x:t>
  </x:si>
  <x:si>
    <x:t xml:space="preserve">1840</x:t>
  </x:si>
  <x:si>
    <x:t xml:space="preserve">Обнаруживает латентное изображение и проявление галловой кислотой: секунды экспозиции дают скрытый след, который можно проявить.</x:t>
  </x:si>
  <x:si>
    <x:t xml:space="preserve">Latent image development</x:t>
  </x:si>
  <x:si>
    <x:t xml:space="preserve">Это резко ускоряет бумажную фотографию: теперь не нужно ждать видимого потемнения во время экспозиции.</x:t>
  </x:si>
  <x:si>
    <x:t xml:space="preserve">Photogenic drawing and camera negatives</x:t>
  </x:si>
  <x:si>
    <x:t xml:space="preserve">Для новичка: фотография научилась работать со скрытым изображением.</x:t>
  </x:si>
  <x:si>
    <x:t xml:space="preserve">Схема: невидимый след → проявитель → появляется картинка.</x:t>
  </x:si>
  <x:si>
    <x:t xml:space="preserve">#latent-image #Talbot #PL004</x:t>
  </x:si>
  <x:si>
    <x:t xml:space="preserve">Негатив-позитив / проявление</x:t>
  </x:si>
  <x:si>
    <x:t xml:space="preserve">PL-HIST-0030</x:t>
  </x:si>
  <x:si>
    <x:t xml:space="preserve">США</x:t>
  </x:si>
  <x:si>
    <x:t xml:space="preserve">Нью-Йорк</x:t>
  </x:si>
  <x:si>
    <x:t xml:space="preserve">Джон Уильям Дрейпер</x:t>
  </x:si>
  <x:si>
    <x:t xml:space="preserve">Делает ранние научные дагеротипы, включая одну из первых фотографий Луны.</x:t>
  </x:si>
  <x:si>
    <x:t xml:space="preserve">Daguerreotype for astronomy</x:t>
  </x:si>
  <x:si>
    <x:t xml:space="preserve">Фотография быстро выходит за пределы портрета и становится научным инструментом.</x:t>
  </x:si>
  <x:si>
    <x:t xml:space="preserve">Daguerreotype public disclosure</x:t>
  </x:si>
  <x:si>
    <x:t xml:space="preserve">Astronomical and scientific photography</x:t>
  </x:si>
  <x:si>
    <x:t xml:space="preserve">Будущий узел для урока о научной фотографии.</x:t>
  </x:si>
  <x:si>
    <x:t xml:space="preserve">Линия Париж → Нью-Йорк + Луна.</x:t>
  </x:si>
  <x:si>
    <x:t xml:space="preserve">#Draper #астрономия #научнаяфотография</x:t>
  </x:si>
  <x:si>
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</x:si>
  <x:si>
    <x:t xml:space="preserve">40.7128, -74.006</x:t>
  </x:si>
  <x:si>
    <x:t xml:space="preserve">Научная фотография</x:t>
  </x:si>
  <x:si>
    <x:t xml:space="preserve">PL-HIST-0031</x:t>
  </x:si>
  <x:si>
    <x:t xml:space="preserve">1841</x:t>
  </x:si>
  <x:si>
    <x:t xml:space="preserve">Лондон / Лэкок-Эбби</x:t>
  </x:si>
  <x:si>
    <x:t xml:space="preserve">Патентует калотип: усовершенствованный негативно-позитивный процесс на бумаге.</x:t>
  </x:si>
  <x:si>
    <x:t xml:space="preserve">Calotype / Talbotype</x:t>
  </x:si>
  <x:si>
    <x:t xml:space="preserve">Появляется фундаментальная логика фотографии: один негатив может дать много позитивных отпечатков.</x:t>
  </x:si>
  <x:si>
    <x:t xml:space="preserve">Latent image development 1840</x:t>
  </x:si>
  <x:si>
    <x:t xml:space="preserve">Salted paper prints and The Pencil of Nature</x:t>
  </x:si>
  <x:si>
    <x:t xml:space="preserve">SRC-015</x:t>
  </x:si>
  <x:si>
    <x:t xml:space="preserve">Library of Congress — Calotype and Daguerreotype</x:t>
  </x:si>
  <x:si>
    <x:t xml:space="preserve">https://blogs.loc.gov/teachers/2018/09/pre-civil-war-photographic-technologies-the-calotype-and-daguerreotype/</x:t>
  </x:si>
  <x:si>
    <x:t xml:space="preserve">Ключевой тезис PL-004: калотип менее резкий, чем дагеротип, но его идея победила.</x:t>
  </x:si>
  <x:si>
    <x:t xml:space="preserve">Разветвление: один негатив → несколько отпечатков.</x:t>
  </x:si>
  <x:si>
    <x:t xml:space="preserve">#calotype #Talbot #negative-positive #PL004</x:t>
  </x:si>
  <x:si>
    <x:t xml:space="preserve">PL-HIST-0032</x:t>
  </x:si>
  <x:si>
    <x:t xml:space="preserve">Солёная бумажная печать становится практическим позитивом с бумажного негатива.</x:t>
  </x:si>
  <x:si>
    <x:t xml:space="preserve">Salted paper print</x:t>
  </x:si>
  <x:si>
    <x:t xml:space="preserve">Фотография становится печатной системой: негатив и позитив начинают работать вместе.</x:t>
  </x:si>
  <x:si>
    <x:t xml:space="preserve">Calotype negative</x:t>
  </x:si>
  <x:si>
    <x:t xml:space="preserve">Pencil of Nature and albumen print</x:t>
  </x:si>
  <x:si>
    <x:t xml:space="preserve">SRC-020</x:t>
  </x:si>
  <x:si>
    <x:t xml:space="preserve">V&amp;A — Photography Processes and Techniques</x:t>
  </x:si>
  <x:si>
    <x:t xml:space="preserve">https://www.vam.ac.uk/info/collection-selection-boxes-photography-processes-and-techniques</x:t>
  </x:si>
  <x:si>
    <x:t xml:space="preserve">Для схемы: калотип — это не только негатив, но и контактная печать.</x:t>
  </x:si>
  <x:si>
    <x:t xml:space="preserve">Контактная рамка: негатив лежит на бумаге под стеклом.</x:t>
  </x:si>
  <x:si>
    <x:t xml:space="preserve">#salted-paper #print #Talbot</x:t>
  </x:si>
  <x:si>
    <x:t xml:space="preserve">PL-HIST-0033</x:t>
  </x:si>
  <x:si>
    <x:t xml:space="preserve">1842</x:t>
  </x:si>
  <x:si>
    <x:t xml:space="preserve">Изобретает цианотипию — железо-солевой процесс, дающий синий отпечаток.</x:t>
  </x:si>
  <x:si>
    <x:t xml:space="preserve">Cyanotype</x:t>
  </x:si>
  <x:si>
    <x:t xml:space="preserve">Показывает, что фотография не обязана быть только серебряной; появляется альтернативная печать и будущие blueprint-процессы.</x:t>
  </x:si>
  <x:si>
    <x:t xml:space="preserve">Herschel's photochemistry</x:t>
  </x:si>
  <x:si>
    <x:t xml:space="preserve">Anna Atkins's photographic book</x:t>
  </x:si>
  <x:si>
    <x:t xml:space="preserve">Переходная технология / художественное возрождение</x:t>
  </x:si>
  <x:si>
    <x:t xml:space="preserve">SRC-018</x:t>
  </x:si>
  <x:si>
    <x:t xml:space="preserve">HNOC — Cyanotype Process</x:t>
  </x:si>
  <x:si>
    <x:t xml:space="preserve">https://hnoc.org/virtual-exhibitions/from_daguerreotype_to_digital/cyanotype-process</x:t>
  </x:si>
  <x:si>
    <x:t xml:space="preserve">Цианотипия идеальна для практического урока: простой, зрелищный процесс.</x:t>
  </x:si>
  <x:si>
    <x:t xml:space="preserve">Синяя ветка на карте.</x:t>
  </x:si>
  <x:si>
    <x:t xml:space="preserve">#cyanotype #Herschel #альтернативныйпроцесс</x:t>
  </x:si>
  <x:si>
    <x:t xml:space="preserve">Ветка нормализована к 13 значениям v0.2 — узел межжанровый, решение неоднозначное (см. Подветка).</x:t>
  </x:si>
  <x:si>
    <x:t xml:space="preserve">Цианотипия</x:t>
  </x:si>
  <x:si>
    <x:t xml:space="preserve">PL-HIST-0034</x:t>
  </x:si>
  <x:si>
    <x:t xml:space="preserve">1843</x:t>
  </x:si>
  <x:si>
    <x:t xml:space="preserve">Кент</x:t>
  </x:si>
  <x:si>
    <x:t xml:space="preserve">Анна Аткинс</x:t>
  </x:si>
  <x:si>
    <x:t xml:space="preserve">Начинает выпуск «Photographs of British Algae: Cyanotype Impressions» — первой книги, напечатанной и иллюстрированной фотографией.</x:t>
  </x:si>
  <x:si>
    <x:t xml:space="preserve">Cyanotype photobook</x:t>
  </x:si>
  <x:si>
    <x:t xml:space="preserve">Фотография становится способом научной публикации, а не только экспериментом или портретом.</x:t>
  </x:si>
  <x:si>
    <x:t xml:space="preserve">Cyanotype 1842</x:t>
  </x:si>
  <x:si>
    <x:t xml:space="preserve">Scientific and documentary photography</x:t>
  </x:si>
  <x:si>
    <x:t xml:space="preserve">SRC-019</x:t>
  </x:si>
  <x:si>
    <x:t xml:space="preserve">Natural History Museum — Anna Atkins's cyanotypes</x:t>
  </x:si>
  <x:si>
    <x:t xml:space="preserve">https://www.nhm.ac.uk/discover/anna-atkins-cyanotypes-the-first-book-of-photographs.html</x:t>
  </x:si>
  <x:si>
    <x:t xml:space="preserve">Очень важный узел: женщина-фотограф, наука, книга и фотография как документ.</x:t>
  </x:si>
  <x:si>
    <x:t xml:space="preserve">Иконка синей книги с водорослью.</x:t>
  </x:si>
  <x:si>
    <x:t xml:space="preserve">#AnnaAtkins #cyanotype #photobook</x:t>
  </x:si>
  <x:si>
    <x:t xml:space="preserve">51.2787, 0.5217</x:t>
  </x:si>
  <x:si>
    <x:t xml:space="preserve">Фотокнига / научная документация</x:t>
  </x:si>
  <x:si>
    <x:t xml:space="preserve">PL-HIST-0035</x:t>
  </x:si>
  <x:si>
    <x:t xml:space="preserve">1844</x:t>
  </x:si>
  <x:si>
    <x:t xml:space="preserve">Начинает публикацию «The Pencil of Nature» — первой коммерчески изданной книги с фотографическими отпечатками.</x:t>
  </x:si>
  <x:si>
    <x:t xml:space="preserve">Salted paper prints from calotype negatives</x:t>
  </x:si>
  <x:si>
    <x:t xml:space="preserve">Фотография входит в книгу как новый способ иллюстрации и доказательства.</x:t>
  </x:si>
  <x:si>
    <x:t xml:space="preserve">Calotype and salted paper print</x:t>
  </x:si>
  <x:si>
    <x:t xml:space="preserve">Photographic publishing</x:t>
  </x:si>
  <x:si>
    <x:t xml:space="preserve">Сильный мост к бренду PHOTO LAB: фотография становится не только снимком, но и системой распространения знания.</x:t>
  </x:si>
  <x:si>
    <x:t xml:space="preserve">Книга, из которой выходят маленькие отпечатки.</x:t>
  </x:si>
  <x:si>
    <x:t xml:space="preserve">#PencilOfNature #Talbot #книга #PL004</x:t>
  </x:si>
  <x:si>
    <x:t xml:space="preserve">Фотокнига / тиражирование</x:t>
  </x:si>
  <x:si>
    <x:t xml:space="preserve">PL-HIST-0036</x:t>
  </x:si>
  <x:si>
    <x:t xml:space="preserve">1847</x:t>
  </x:si>
  <x:si>
    <x:t xml:space="preserve">Бостон</x:t>
  </x:si>
  <x:si>
    <x:t xml:space="preserve">Southworth &amp; Hawes</x:t>
  </x:si>
  <x:si>
    <x:t xml:space="preserve">Создают дагеротипы медицинских операций с эфирной анестезией в Massachusetts General Hospital.</x:t>
  </x:si>
  <x:si>
    <x:t xml:space="preserve">Daguerreotype documentation</x:t>
  </x:si>
  <x:si>
    <x:t xml:space="preserve">Фотография быстро становится инструментом медицинского и научного свидетельства.</x:t>
  </x:si>
  <x:si>
    <x:t xml:space="preserve">Daguerreotype portrait/studio practice</x:t>
  </x:si>
  <x:si>
    <x:t xml:space="preserve">Documentary and medical photography</x:t>
  </x:si>
  <x:si>
    <x:t xml:space="preserve">Этот узел можно оставить для будущего урока о документальности фотографии.</x:t>
  </x:si>
  <x:si>
    <x:t xml:space="preserve">Иконка больницы/операционной + дагеротип.</x:t>
  </x:si>
  <x:si>
    <x:t xml:space="preserve">#medical-photography #daguerreotype #Boston</x:t>
  </x:si>
  <x:si>
    <x:t xml:space="preserve">42.3601, -71.0589</x:t>
  </x:si>
  <x:si>
    <x:t xml:space="preserve">Научная / медицинская фотография</x:t>
  </x:si>
  <x:si>
    <x:t xml:space="preserve">PL-HIST-0037</x:t>
  </x:si>
  <x:si>
    <x:t xml:space="preserve">Лилль / Париж</x:t>
  </x:si>
  <x:si>
    <x:t xml:space="preserve">Луи-Дезире Бланкар-Эврар</x:t>
  </x:si>
  <x:si>
    <x:t xml:space="preserve">Развивает и публикует улучшения бумажных негативно-позитивных процессов во Франции.</x:t>
  </x:si>
  <x:si>
    <x:t xml:space="preserve">Paper negative-positive process</x:t>
  </x:si>
  <x:si>
    <x:t xml:space="preserve">Французская фотография получает не только дагеротипическую, но и бумажную тиражируемую ветку.</x:t>
  </x:si>
  <x:si>
    <x:t xml:space="preserve">Talbot calotype influence</x:t>
  </x:si>
  <x:si>
    <x:t xml:space="preserve">Albumen paper 1850</x:t>
  </x:si>
  <x:si>
    <x:t xml:space="preserve">Пока источник не идеален; оставить как узел на доработку.</x:t>
  </x:si>
  <x:si>
    <x:t xml:space="preserve">Франция получает ответвление бумажной печати.</x:t>
  </x:si>
  <x:si>
    <x:t xml:space="preserve">#BlanquartEvrard #France #paper-process</x:t>
  </x:si>
  <x:si>
    <x:t xml:space="preserve">Найти лучший источник по 1847 публикации Бланкара-Эврара.</x:t>
  </x:si>
  <x:si>
    <x:t xml:space="preserve">50.6292, 3.0573</x:t>
  </x:si>
  <x:si>
    <x:t xml:space="preserve">PL-HIST-0038</x:t>
  </x:si>
  <x:si>
    <x:t xml:space="preserve">1848</x:t>
  </x:si>
  <x:si>
    <x:t xml:space="preserve">Эдмон Беккерель</x:t>
  </x:si>
  <x:si>
    <x:t xml:space="preserve">Создаёт ранний цветной фотографический процесс на основе серебряно-хлоридного слоя.</x:t>
  </x:si>
  <x:si>
    <x:t xml:space="preserve">Early colour photography / photochromatic images</x:t>
  </x:si>
  <x:si>
    <x:t xml:space="preserve">Цвет возникает очень рано, но эта ветка пока не становится практичной массовой фотографией.</x:t>
  </x:si>
  <x:si>
    <x:t xml:space="preserve">Silver-based photochemistry</x:t>
  </x:si>
  <x:si>
    <x:t xml:space="preserve">Autochrome and later colour processes</x:t>
  </x:si>
  <x:si>
    <x:t xml:space="preserve">SRC-025</x:t>
  </x:si>
  <x:si>
    <x:t xml:space="preserve">Getty Conservation Institute — Atlas: Salt Print PDF</x:t>
  </x:si>
  <x:si>
    <x:t xml:space="preserve">https://www.getty.edu/conservation/publications_resources/pdf_publications/pdf/atlas_saltprint.pdf</x:t>
  </x:si>
  <x:si>
    <x:t xml:space="preserve">На карте: цвет появился рано, но не сразу стал удобным.</x:t>
  </x:si>
  <x:si>
    <x:t xml:space="preserve">Пунктирная цветная ветка от серебряной химии.</x:t>
  </x:si>
  <x:si>
    <x:t xml:space="preserve">#color #Becquerel #раннийцвет</x:t>
  </x:si>
  <x:si>
    <x:t xml:space="preserve">Лучше заменить на специализированный музейный источник по Becquerel.</x:t>
  </x:si>
  <x:si>
    <x:t xml:space="preserve">PL-HIST-0039</x:t>
  </x:si>
  <x:si>
    <x:t xml:space="preserve">Филадельфия</x:t>
  </x:si>
  <x:si>
    <x:t xml:space="preserve">Братья Лангенхайм</x:t>
  </x:si>
  <x:si>
    <x:t xml:space="preserve">Вводят первые фотографические фонарные слайды.</x:t>
  </x:si>
  <x:si>
    <x:t xml:space="preserve">Photographic lantern slide</x:t>
  </x:si>
  <x:si>
    <x:t xml:space="preserve">Фотография становится не только отпечатком, но и изображением для публичного показа и обучения.</x:t>
  </x:si>
  <x:si>
    <x:t xml:space="preserve">Daguerreotype and glass support experimentation</x:t>
  </x:si>
  <x:si>
    <x:t xml:space="preserve">Educational projection and slide culture</x:t>
  </x:si>
  <x:si>
    <x:t xml:space="preserve">Хороший узел для темы распространения изображений до кино и презентаций.</x:t>
  </x:si>
  <x:si>
    <x:t xml:space="preserve">Фонарный проектор + экран.</x:t>
  </x:si>
  <x:si>
    <x:t xml:space="preserve">#lantern-slide #projection #Langenheim</x:t>
  </x:si>
  <x:si>
    <x:t xml:space="preserve">39.9526, -75.1652</x:t>
  </x:si>
  <x:si>
    <x:t xml:space="preserve">PL-HIST-0040</x:t>
  </x:si>
  <x:si>
    <x:t xml:space="preserve">1850</x:t>
  </x:si>
  <x:si>
    <x:t xml:space="preserve">Лилль</x:t>
  </x:si>
  <x:si>
    <x:t xml:space="preserve">Изобретает альбуминовую печать, которая станет ведущим типом фотопечати XIX века.</x:t>
  </x:si>
  <x:si>
    <x:t xml:space="preserve">Albumen print</x:t>
  </x:si>
  <x:si>
    <x:t xml:space="preserve">Печать становится более детальной, тональной и удобной для массовой фотографии XIX века.</x:t>
  </x:si>
  <x:si>
    <x:t xml:space="preserve">Wet collodion negative + albumen print dominance</x:t>
  </x:si>
  <x:si>
    <x:t xml:space="preserve">Важный мост к мокрому коллодию: резкий стеклянный негатив + альбуминовая бумага = визуальный язык XIX века.</x:t>
  </x:si>
  <x:si>
    <x:t xml:space="preserve">Яичный белок/лист бумаги + стеклянный негатив.</x:t>
  </x:si>
  <x:si>
    <x:t xml:space="preserve">#albumen #print #BlanquartEvrard</x:t>
  </x:si>
  <x:si>
    <x:t xml:space="preserve">PL-HIST-0041</x:t>
  </x:si>
  <x:si>
    <x:t xml:space="preserve">1851</x:t>
  </x:si>
  <x:si>
    <x:t xml:space="preserve">Фредерик Скотт Арчер</x:t>
  </x:si>
  <x:si>
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</x:si>
  <x:si>
    <x:t xml:space="preserve">Wet collodion glass negative</x:t>
  </x:si>
  <x:si>
    <x:t xml:space="preserve">Соединяет резкость стеклянного носителя и тиражируемость негативно-позитивной системы.</x:t>
  </x:si>
  <x:si>
    <x:t xml:space="preserve">Daguerreotype sharpness + calotype reproducibility problem</x:t>
  </x:si>
  <x:si>
    <x:t xml:space="preserve">Albumen prints, ambrotypes, tintypes, documentary photography</x:t>
  </x:si>
  <x:si>
    <x:t xml:space="preserve">Главная линия / временная доминирующая линия</x:t>
  </x:si>
  <x:si>
    <x:t xml:space="preserve">PL-005</x:t>
  </x:si>
  <x:si>
    <x:t xml:space="preserve">SRC-021</x:t>
  </x:si>
  <x:si>
    <x:t xml:space="preserve">National Science and Media Museum — Frederick Scott Archer</x:t>
  </x:si>
  <x:si>
    <x:t xml:space="preserve">https://blog.scienceandmediamuseum.org.uk/photography-a-z-frederick-scott-archer-wet-collodion-process/</x:t>
  </x:si>
  <x:si>
    <x:t xml:space="preserve">Ключ PL-005: резкость дагеротипа и тираж калотипа наконец встретились.</x:t>
  </x:si>
  <x:si>
    <x:t xml:space="preserve">Главный узел: стеклянная влажная пластина + таймер 15 минут.</x:t>
  </x:si>
  <x:si>
    <x:t xml:space="preserve">#wet-collodion #Archer #PL005</x:t>
  </x:si>
  <x:si>
    <x:t xml:space="preserve">PL-HIST-0042</x:t>
  </x:si>
  <x:si>
    <x:t xml:space="preserve">1851–1880-е</x:t>
  </x:si>
  <x:si>
    <x:t xml:space="preserve">Великобритания / глобально</x:t>
  </x:si>
  <x:si>
    <x:t xml:space="preserve">Лондон → Европа / Америка</x:t>
  </x:si>
  <x:si>
    <x:t xml:space="preserve">Фотографы мокрого коллодия</x:t>
  </x:si>
  <x:si>
    <x:t xml:space="preserve">Мокрый коллодий становится доминирующим процессом на несколько десятилетий.</x:t>
  </x:si>
  <x:si>
    <x:t xml:space="preserve">Wet collodion negative</x:t>
  </x:si>
  <x:si>
    <x:t xml:space="preserve">Фотография становится более резкой, воспроизводимой и пригодной для документальных задач, но требует мобильной лаборатории.</x:t>
  </x:si>
  <x:si>
    <x:t xml:space="preserve">Archer's publication</x:t>
  </x:si>
  <x:si>
    <x:t xml:space="preserve">Dry plates replace wet collodion later</x:t>
  </x:si>
  <x:si>
    <x:t xml:space="preserve">Важно: это не тупик сразу; это главный мост середины XIX века.</x:t>
  </x:si>
  <x:si>
    <x:t xml:space="preserve">Широкие линии от Лондона по Европе и Америке.</x:t>
  </x:si>
  <x:si>
    <x:t xml:space="preserve">#wet-collodion #dominant-process #PL005</x:t>
  </x:si>
  <x:si>
    <x:t xml:space="preserve">Мокрый коллодий / распространение</x:t>
  </x:si>
  <x:si>
    <x:t xml:space="preserve">PL-HIST-0043</x:t>
  </x:si>
  <x:si>
    <x:t xml:space="preserve">Показывает практическую формулу мокрого коллодия: коллодий + йодид калия + нитрат серебра + немедленное проявление/фиксаж.</x:t>
  </x:si>
  <x:si>
    <x:t xml:space="preserve">Collodion + silver nitrate</x:t>
  </x:si>
  <x:si>
    <x:t xml:space="preserve">Процесс требует скорости и дисциплины: пластину надо подготовить, снять и проявить пока она влажная.</x:t>
  </x:si>
  <x:si>
    <x:t xml:space="preserve">Photographic chemistry and glass supports</x:t>
  </x:si>
  <x:si>
    <x:t xml:space="preserve">Portable darkrooms and field photography</x:t>
  </x:si>
  <x:si>
    <x:t xml:space="preserve">Для урока: здесь появляется драматургия «15 минут, пока пластина влажная».</x:t>
  </x:si>
  <x:si>
    <x:t xml:space="preserve">Схема-алгоритм из 5 шагов вокруг стеклянной пластины.</x:t>
  </x:si>
  <x:si>
    <x:t xml:space="preserve">#химия #коллодий #стекло #PL005</x:t>
  </x:si>
  <x:si>
    <x:t xml:space="preserve">Мокрый коллодий / химия</x:t>
  </x:si>
  <x:si>
    <x:t xml:space="preserve">PL-HIST-0044</x:t>
  </x:si>
  <x:si>
    <x:t xml:space="preserve">1853</x:t>
  </x:si>
  <x:si>
    <x:t xml:space="preserve">Демонстрирует складную коллодионную камеру, совмещённую с мини-тёмной комнатой.</x:t>
  </x:si>
  <x:si>
    <x:t xml:space="preserve">Folding collodion camera / portable darkroom</x:t>
  </x:si>
  <x:si>
    <x:t xml:space="preserve">Техническая проблема процесса решается конструкцией: фотографу нужно работать с пластиной на месте.</x:t>
  </x:si>
  <x:si>
    <x:t xml:space="preserve">Wet collodion process 1851</x:t>
  </x:si>
  <x:si>
    <x:t xml:space="preserve">Field photography and mobile darkrooms</x:t>
  </x:si>
  <x:si>
    <x:t xml:space="preserve">Хороший визуальный сюжет: камера как чемодан-лаборатория.</x:t>
  </x:si>
  <x:si>
    <x:t xml:space="preserve">Иконка камеры с рукавами и стеклянной пластиной внутри.</x:t>
  </x:si>
  <x:si>
    <x:t xml:space="preserve">#Archer #collodion-camera #PL005</x:t>
  </x:si>
  <x:si>
    <x:t xml:space="preserve">Мокрый коллодий / камера</x:t>
  </x:si>
  <x:si>
    <x:t xml:space="preserve">PL-HIST-0045</x:t>
  </x:si>
  <x:si>
    <x:t xml:space="preserve">ок. 1853</x:t>
  </x:si>
  <x:si>
    <x:t xml:space="preserve">Великобритания / США</x:t>
  </x:si>
  <x:si>
    <x:t xml:space="preserve">Лондон / Бостон</x:t>
  </x:si>
  <x:si>
    <x:t xml:space="preserve">Фотографы коллодионного процесса</x:t>
  </x:si>
  <x:si>
    <x:t xml:space="preserve">Появляется коллодионный позитив на стекле, позже известный как амбротип.</x:t>
  </x:si>
  <x:si>
    <x:t xml:space="preserve">Ambrotype / collodion positive</x:t>
  </x:si>
  <x:si>
    <x:t xml:space="preserve">Мокрый коллодий даёт не только негативы для печати, но и дешёвые уникальные портреты.</x:t>
  </x:si>
  <x:si>
    <x:t xml:space="preserve">Wet collodion process</x:t>
  </x:si>
  <x:si>
    <x:t xml:space="preserve">Cutting patent 1854 and tintype</x:t>
  </x:si>
  <x:si>
    <x:t xml:space="preserve">SRC-022</x:t>
  </x:si>
  <x:si>
    <x:t xml:space="preserve">Library of Congress — Ambrotypes and Tintypes</x:t>
  </x:si>
  <x:si>
    <x:t xml:space="preserve">https://www.loc.gov/collections/liljenquist-civil-war-photographs/articles-and-essays/ambrotypes-and-tintypes/</x:t>
  </x:si>
  <x:si>
    <x:t xml:space="preserve">В PL-005 можно сказать: один процесс породил сразу несколько форм — негатив, амбротип, тинтайп.</x:t>
  </x:si>
  <x:si>
    <x:t xml:space="preserve">От основной коллодионной ветки отходит стеклянный позитив.</x:t>
  </x:si>
  <x:si>
    <x:t xml:space="preserve">#ambrotype #collodion-positive #PL005</x:t>
  </x:si>
  <x:si>
    <x:t xml:space="preserve">Уникальный позитив / мокрый коллодий</x:t>
  </x:si>
  <x:si>
    <x:t xml:space="preserve">PL-HIST-0046</x:t>
  </x:si>
  <x:si>
    <x:t xml:space="preserve">1854</x:t>
  </x:si>
  <x:si>
    <x:t xml:space="preserve">Джеймс Амброуз Каттинг</x:t>
  </x:si>
  <x:si>
    <x:t xml:space="preserve">Патентует улучшения амбротипного процесса.</x:t>
  </x:si>
  <x:si>
    <x:t xml:space="preserve">Ambrotype</x:t>
  </x:si>
  <x:si>
    <x:t xml:space="preserve">Коллодионный позитив становится коммерческой портретной практикой, особенно в 1850–1860-х.</x:t>
  </x:si>
  <x:si>
    <x:t xml:space="preserve">Collodion positive around 1853</x:t>
  </x:si>
  <x:si>
    <x:t xml:space="preserve">Tintype and paper print competition</x:t>
  </x:si>
  <x:si>
    <x:t xml:space="preserve">Для карты: ветка не главная, но культурно важная — доступные портреты.</x:t>
  </x:si>
  <x:si>
    <x:t xml:space="preserve">Портрет на стекле с тёмной подложкой.</x:t>
  </x:si>
  <x:si>
    <x:t xml:space="preserve">#ambrotype #Cutting #portrait</x:t>
  </x:si>
  <x:si>
    <x:t xml:space="preserve">PL-HIST-0047</x:t>
  </x:si>
  <x:si>
    <x:t xml:space="preserve">1855–1881</x:t>
  </x:si>
  <x:si>
    <x:t xml:space="preserve">Европа / США</x:t>
  </x:si>
  <x:si>
    <x:t xml:space="preserve">Студии и полевые лаборатории</x:t>
  </x:si>
  <x:si>
    <x:t xml:space="preserve">Мокрый коллодионный негатив + альбуминовая печать формируют классический визуальный язык середины XIX века.</x:t>
  </x:si>
  <x:si>
    <x:t xml:space="preserve">Wet collodion negative + albumen print</x:t>
  </x:si>
  <x:si>
    <x:t xml:space="preserve">Появляется связка: резкий стеклянный негатив даёт детальные бумажные отпечатки.</x:t>
  </x:si>
  <x:si>
    <x:t xml:space="preserve">Albumen print 1850 + wet collodion 1851</x:t>
  </x:si>
  <x:si>
    <x:t xml:space="preserve">Dry plate and gelatin processes later</x:t>
  </x:si>
  <x:si>
    <x:t xml:space="preserve">Это финальная формула PL-005: не один процесс, а связка негатив + печать.</x:t>
  </x:si>
  <x:si>
    <x:t xml:space="preserve">Двойной узел: стеклянная пластина → альбуминовый отпечаток.</x:t>
  </x:si>
  <x:si>
    <x:t xml:space="preserve">#wet-collodion #albumen #print #PL005</x:t>
  </x:si>
  <x:si>
    <x:t xml:space="preserve">Мокрый коллодий + печать</x:t>
  </x:si>
  <x:si>
    <x:t xml:space="preserve">PL-HIST-0048</x:t>
  </x:si>
  <x:si>
    <x:t xml:space="preserve">1856</x:t>
  </x:si>
  <x:si>
    <x:t xml:space="preserve">США / Великобритания</x:t>
  </x:si>
  <x:si>
    <x:t xml:space="preserve">Hamilton Smith / William Kloen / другие</x:t>
  </x:si>
  <x:si>
    <x:t xml:space="preserve">Тинтайп/ферротип закрепляется как дешёвый прямой позитив на лакированном металле, связанный с мокрым коллодием.</x:t>
  </x:si>
  <x:si>
    <x:t xml:space="preserve">Tintype / ferrotype</x:t>
  </x:si>
  <x:si>
    <x:t xml:space="preserve">Фотография становится более дешёвой, прочной и мобильной для массового портрета.</x:t>
  </x:si>
  <x:si>
    <x:t xml:space="preserve">Ambrotype and wet collodion</x:t>
  </x:si>
  <x:si>
    <x:t xml:space="preserve">Civil War era portraiture and itinerant photography</x:t>
  </x:si>
  <x:si>
    <x:t xml:space="preserve">Исторически важная ограниченная ветка / художественное возрождение</x:t>
  </x:si>
  <x:si>
    <x:t xml:space="preserve">Это ветка массового портрета: не главная линия к плёнке, но важная социально.</x:t>
  </x:si>
  <x:si>
    <x:t xml:space="preserve">Металлическая пластинка-портрет, ярмарка/палатка.</x:t>
  </x:si>
  <x:si>
    <x:t xml:space="preserve">#tintype #ferrotype #collodion #portrait</x:t>
  </x:si>
  <x:si>
    <x:t xml:space="preserve">Уточнить авторство/патенты 1856 по отдельным источникам.</x:t>
  </x:si>
  <x:si>
    <x:t xml:space="preserve">Уникальный позитив / массовый портрет</x:t>
  </x:si>
  <x:si>
    <x:t xml:space="preserve">PL-HIST-0049</x:t>
  </x:si>
  <x:si>
    <x:t xml:space="preserve">1871</x:t>
  </x:si>
  <x:si>
    <x:t xml:space="preserve">Лондон (публикация)</x:t>
  </x:si>
  <x:si>
    <x:t xml:space="preserve">Ричард Лич Мэддокс</x:t>
  </x:si>
  <x:si>
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</x:si>
  <x:si>
    <x:t xml:space="preserve">Gelatino-bromide dry plate</x:t>
  </x:si>
  <x:si>
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</x:si>
  <x:si>
    <x:t xml:space="preserve">Мокрый коллодий требовал немедленно готовить, снимать и проявлять пластину</x:t>
  </x:si>
  <x:si>
    <x:t xml:space="preserve">Эксперименты Бёрджесса, Кеннетта и Беннетта; коммерческие сухие пластины</x:t>
  </x:si>
  <x:si>
    <x:t xml:space="preserve">PL-006</x:t>
  </x:si>
  <x:si>
    <x:t xml:space="preserve">SRC-027</x:t>
  </x:si>
  <x:si>
    <x:t xml:space="preserve">National Science and Media Museum — Kodak and Ilford camera factories</x:t>
  </x:si>
  <x:si>
    <x:t xml:space="preserve">https://www.scienceandmediamuseum.org.uk/objects-and-stories/kodak-ilford-camera-factories-1930s</x:t>
  </x:si>
  <x:si>
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</x:si>
  <x:si>
    <x:t xml:space="preserve">На карте: влажная красная линия коллодия переходит в сухую стеклянную пластину с желатиновой эмульсией.</x:t>
  </x:si>
  <x:si>
    <x:t xml:space="preserve">#PL006 #dry-plate #Maddox #gelatin #negative-positive</x:t>
  </x:si>
  <x:si>
    <x:t xml:space="preserve">Уточнить, стоит ли привязывать город к Лондону как месту публикации, а не к месту экспериментов.</x:t>
  </x:si>
  <x:si>
    <x:t xml:space="preserve">Сухие желатиновые пластины / химия</x:t>
  </x:si>
  <x:si>
    <x:t xml:space="preserve">PL-HIST-0050</x:t>
  </x:si>
  <x:si>
    <x:t xml:space="preserve">1874</x:t>
  </x:si>
  <x:si>
    <x:t xml:space="preserve">Ливерпуль</x:t>
  </x:si>
  <x:si>
    <x:t xml:space="preserve">Liverpool Dry Plate Company / ранние производители</x:t>
  </x:si>
  <x:si>
    <x:t xml:space="preserve">Начинаются коммерческие продажи желатиновых сухих пластин; одним из первых производителей называется Liverpool Dry Plate Company.</x:t>
  </x:si>
  <x:si>
    <x:t xml:space="preserve">Commercial gelatin dry plates</x:t>
  </x:si>
  <x:si>
    <x:t xml:space="preserve">Фотограф впервые может не готовить пластину сам перед съёмкой, а купить готовый чувствительный материал.</x:t>
  </x:si>
  <x:si>
    <x:t xml:space="preserve">Публикация Мэддокса 1871 и последующие улучшения</x:t>
  </x:si>
  <x:si>
    <x:t xml:space="preserve">Беннетт повышает чувствительность эмульсии; производство становится практичнее</x:t>
  </x:si>
  <x:si>
    <x:t xml:space="preserve">Для новичка: это переход от «сам себе химик» к покупке готового фотоматериала.</x:t>
  </x:si>
  <x:si>
    <x:t xml:space="preserve">Иконка фабричной коробки сухих пластин рядом со стеклянной пластиной.</x:t>
  </x:si>
  <x:si>
    <x:t xml:space="preserve">#PL006 #LiverpoolDryPlate #commercial #dry-plate</x:t>
  </x:si>
  <x:si>
    <x:t xml:space="preserve">Проверить по отдельному источнику точное название компании и формат первых продаж.</x:t>
  </x:si>
  <x:si>
    <x:t xml:space="preserve">53.4084, -2.9916</x:t>
  </x:si>
  <x:si>
    <x:t xml:space="preserve">Сухие желатиновые пластины / коммерциализация</x:t>
  </x:si>
  <x:si>
    <x:t xml:space="preserve">PL-HIST-0051</x:t>
  </x:si>
  <x:si>
    <x:t xml:space="preserve">1878</x:t>
  </x:si>
  <x:si>
    <x:t xml:space="preserve">Чарльз Харпер Беннетт</x:t>
  </x:si>
  <x:si>
    <x:t xml:space="preserve">Предлагает нагревать/«созревать» желатиновую эмульсию перед нанесением на стекло, резко повышая её светочувствительность.</x:t>
  </x:si>
  <x:si>
    <x:t xml:space="preserve">Ripened gelatin-bromide emulsion</x:t>
  </x:si>
  <x:si>
    <x:t xml:space="preserve">Сухая пластина становится достаточно быстрой для коротких выдержек и съёмки более живого движения.</x:t>
  </x:si>
  <x:si>
    <x:t xml:space="preserve">Желатино-бромидная сухая пластина Мэддокса</x:t>
  </x:si>
  <x:si>
    <x:t xml:space="preserve">Сухие пластины входят в широкое производство и начинают вытеснять мокрый коллодий</x:t>
  </x:si>
  <x:si>
    <x:t xml:space="preserve">SRC-029</x:t>
  </x:si>
  <x:si>
    <x:t xml:space="preserve">Swiss Camera Museum — Gelatine bromide plates</x:t>
  </x:si>
  <x:si>
    <x:t xml:space="preserve">https://www.cameramuseum.ch/en/discover/permanent-exhibition/the-plate-era/gelatine-bromide-plates/</x:t>
  </x:si>
  <x:si>
    <x:t xml:space="preserve">Драматургия урока: сухая пластина была удобной, но сначала слабой; Беннетт сделал её действительно быстрой.</x:t>
  </x:si>
  <x:si>
    <x:t xml:space="preserve">Иконка нагрева эмульсии + секундомер/короткая выдержка.</x:t>
  </x:si>
  <x:si>
    <x:t xml:space="preserve">#PL006 #Bennett #gelatin-bromide #instantaneous</x:t>
  </x:si>
  <x:si>
    <x:t xml:space="preserve">Сухие желатиновые пластины / повышение чувствительности</x:t>
  </x:si>
  <x:si>
    <x:t xml:space="preserve">PL-HIST-0052</x:t>
  </x:si>
  <x:si>
    <x:t xml:space="preserve">Великобритания / Европа</x:t>
  </x:si>
  <x:si>
    <x:t xml:space="preserve">Лондон / промышленные центры</x:t>
  </x:si>
  <x:si>
    <x:t xml:space="preserve">Производители фотоматериалов</x:t>
  </x:si>
  <x:si>
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</x:si>
  <x:si>
    <x:t xml:space="preserve">Manufactured gelatin dry plates</x:t>
  </x:si>
  <x:si>
    <x:t xml:space="preserve">Фотографу больше не нужна переносная тёмная комната на каждую съёмку; процесс становится удобнее, чище и предсказуемее.</x:t>
  </x:si>
  <x:si>
    <x:t xml:space="preserve">Улучшение чувствительности эмульсии Беннеттом</x:t>
  </x:si>
  <x:si>
    <x:t xml:space="preserve">Фабричное производство пластин и рост любительской фотографии</x:t>
  </x:si>
  <x:si>
    <x:t xml:space="preserve">SRC-028</x:t>
  </x:si>
  <x:si>
    <x:t xml:space="preserve">National Science and Media Museum — A brief guide to photographs on glass</x:t>
  </x:si>
  <x:si>
    <x:t xml:space="preserve">https://blog.scienceandmediamuseum.org.uk/a-brief-guide-to-photographs-on-glass/</x:t>
  </x:si>
  <x:si>
    <x:t xml:space="preserve">Это ключевой смысл PL-006: фотография освобождается от немедленной химической гонки мокрого коллодия.</x:t>
  </x:si>
  <x:si>
    <x:t xml:space="preserve">Линия: палатка-лаборатория исчезает, остаётся камера + коробка готовых пластин.</x:t>
  </x:si>
  <x:si>
    <x:t xml:space="preserve">#PL006 #manufacture #dry-plate #wet-collodion</x:t>
  </x:si>
  <x:si>
    <x:t xml:space="preserve">Сухие желатиновые пластины / переход от мокрого коллодия</x:t>
  </x:si>
  <x:si>
    <x:t xml:space="preserve">PL-HIST-0053</x:t>
  </x:si>
  <x:si>
    <x:t xml:space="preserve">конец 1870-х – 1880-е</x:t>
  </x:si>
  <x:si>
    <x:t xml:space="preserve">распределённый процесс</x:t>
  </x:si>
  <x:si>
    <x:t xml:space="preserve">Фотографы и производители сухих пластин</x:t>
  </x:si>
  <x:si>
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</x:si>
  <x:si>
    <x:t xml:space="preserve">Fast dry plate / instantaneous photography</x:t>
  </x:si>
  <x:si>
    <x:t xml:space="preserve">Сокращение выдержки меняет не только технику, но и визуальный язык: фотография становится ближе к «моменту».</x:t>
  </x:si>
  <x:si>
    <x:t xml:space="preserve">Беннетт повышает чувствительность эмульсии</x:t>
  </x:si>
  <x:si>
    <x:t xml:space="preserve">Распространение портативных камер, любительской съёмки и последующий переход к плёнке</x:t>
  </x:si>
  <x:si>
    <x:t xml:space="preserve">SRC-030</x:t>
  </x:si>
  <x:si>
    <x:t xml:space="preserve">Cornell Library — Dawn's Early Light: Towards Modern Photography</x:t>
  </x:si>
  <x:si>
    <x:t xml:space="preserve">https://rmc.library.cornell.edu/DawnsEarlyLight/exhibition/modernphotography/index.html</x:t>
  </x:si>
  <x:si>
    <x:t xml:space="preserve">Для лекции: сухая пластина — это не просто удобство хранения, а новая скорость взгляда.</x:t>
  </x:si>
  <x:si>
    <x:t xml:space="preserve">На карте: рядом с пластиной появляется значок бегущего человека/движения.</x:t>
  </x:si>
  <x:si>
    <x:t xml:space="preserve">#PL006 #instantaneous #motion #dry-plate</x:t>
  </x:si>
  <x:si>
    <x:t xml:space="preserve">Сухие желатиновые пластины / скорость и движение</x:t>
  </x:si>
  <x:si>
    <x:t xml:space="preserve">PL-HIST-0054</x:t>
  </x:si>
  <x:si>
    <x:t xml:space="preserve">1880</x:t>
  </x:si>
  <x:si>
    <x:t xml:space="preserve">Рочестер, Нью-Йорк</x:t>
  </x:si>
  <x:si>
    <x:t xml:space="preserve">Джордж Истмен</x:t>
  </x:si>
  <x:si>
    <x:t xml:space="preserve">Начинает коммерчески производить сухие пластины в США и масштабировать их изготовление.</x:t>
  </x:si>
  <x:si>
    <x:t xml:space="preserve">Eastman dry plates</x:t>
  </x:si>
  <x:si>
    <x:t xml:space="preserve">Сухая пластина становится не только европейским техническим процессом, но и основой американской фотоиндустрии.</x:t>
  </x:si>
  <x:si>
    <x:t xml:space="preserve">Коммерческие сухие пластины в Великобритании и улучшения Беннетта</x:t>
  </x:si>
  <x:si>
    <x:t xml:space="preserve">Eastman Dry Plate Company; дальнейший поиск замены стекла гибким носителем</x:t>
  </x:si>
  <x:si>
    <x:t xml:space="preserve">SRC-031</x:t>
  </x:si>
  <x:si>
    <x:t xml:space="preserve">Kodak — History</x:t>
  </x:si>
  <x:si>
    <x:t xml:space="preserve">https://www.kodak.com/en/company/page/history/</x:t>
  </x:si>
  <x:si>
    <x:t xml:space="preserve">Здесь появляется мост к Kodak: сначала Истмен работает не с плёнкой, а именно с сухими пластинами.</x:t>
  </x:si>
  <x:si>
    <x:t xml:space="preserve">Иконка Рочестера/фабрики + коробка Eastman dry plates.</x:t>
  </x:si>
  <x:si>
    <x:t xml:space="preserve">#PL006 #Eastman #Rochester #dry-plate #Kodak</x:t>
  </x:si>
  <x:si>
    <x:t xml:space="preserve">43.1566, -77.6088</x:t>
  </x:si>
  <x:si>
    <x:t xml:space="preserve">Сухие желатиновые пластины / американская индустрия</x:t>
  </x:si>
  <x:si>
    <x:t xml:space="preserve">PL-HIST-0055</x:t>
  </x:si>
  <x:si>
    <x:t xml:space="preserve">1881</x:t>
  </x:si>
  <x:si>
    <x:t xml:space="preserve">Джордж Истмен / Генри Стронг</x:t>
  </x:si>
  <x:si>
    <x:t xml:space="preserve">1 января 1881 года создаётся Eastman Dry Plate Company.</x:t>
  </x:si>
  <x:si>
    <x:t xml:space="preserve">Eastman Dry Plate Company</x:t>
  </x:si>
  <x:si>
    <x:t xml:space="preserve">Промышленная логика фотографии усиливается: производство чувствительного материала становится самостоятельным бизнесом.</x:t>
  </x:si>
  <x:si>
    <x:t xml:space="preserve">Истмен начинает коммерческое производство сухих пластин в 1880</x:t>
  </x:si>
  <x:si>
    <x:t xml:space="preserve">Eastman Dry Plate and Film Company; рулонные носители и Kodak</x:t>
  </x:si>
  <x:si>
    <x:t xml:space="preserve">SRC-032</x:t>
  </x:si>
  <x:si>
    <x:t xml:space="preserve">Kodak — George Eastman History</x:t>
  </x:si>
  <x:si>
    <x:t xml:space="preserve">https://www.kodak.com/en/company/page/george-eastman-history/</x:t>
  </x:si>
  <x:si>
    <x:t xml:space="preserve">Это важный узел для перехода: Kodak родился не сразу как камера для всех, а из бизнеса сухих пластин.</x:t>
  </x:si>
  <x:si>
    <x:t xml:space="preserve">На карте: фабрика/брендовый узел между сухими пластинами и будущей плёнкой.</x:t>
  </x:si>
  <x:si>
    <x:t xml:space="preserve">#PL006 #EastmanDryPlateCompany #Rochester #Kodak</x:t>
  </x:si>
  <x:si>
    <x:t xml:space="preserve">Сухие желатиновые пластины / бизнес и масштабирование</x:t>
  </x:si>
  <x:si>
    <x:t xml:space="preserve">PL-HIST-0056</x:t>
  </x:si>
  <x:si>
    <x:t xml:space="preserve">1880–1900</x:t>
  </x:si>
  <x:si>
    <x:t xml:space="preserve">Фотографы конца XIX века</x:t>
  </x:si>
  <x:si>
    <x:t xml:space="preserve">Желатиновые сухие пластинные негативы становятся наиболее распространённой формой негативов примерно с 1880 по 1900 год.</x:t>
  </x:si>
  <x:si>
    <x:t xml:space="preserve">Gelatin dry plate negative</x:t>
  </x:si>
  <x:si>
    <x:t xml:space="preserve">На два десятилетия сухая пластина становится нормой профессиональной и серьёзной любительской фотографии.</x:t>
  </x:si>
  <x:si>
    <x:t xml:space="preserve">Производство сухих пластин и рост чувствительности эмульсий</x:t>
  </x:si>
  <x:si>
    <x:t xml:space="preserve">Гибкая плёнка постепенно заменяет стеклянную пластину в массовой фотографии</x:t>
  </x:si>
  <x:si>
    <x:t xml:space="preserve">SRC-033</x:t>
  </x:si>
  <x:si>
    <x:t xml:space="preserve">Smithsonian Institution Archives — Gelatin Dry Plate Negatives</x:t>
  </x:si>
  <x:si>
    <x:t xml:space="preserve">https://siarchives.si.edu/blog/highlight-photo-cold-vault-gelatin-dry-plate-negatives</x:t>
  </x:si>
  <x:si>
    <x:t xml:space="preserve">Формула для урока: мокрый коллодий был революцией середины века, сухая пластина — нормой конца века.</x:t>
  </x:si>
  <x:si>
    <x:t xml:space="preserve">Широкая полоса на таймлайне 1880–1900: «эпоха сухих пластин».</x:t>
  </x:si>
  <x:si>
    <x:t xml:space="preserve">#PL006 #1880s #dry-plate-negative #glass-negative</x:t>
  </x:si>
  <x:si>
    <x:t xml:space="preserve">Сухие желатиновые пластины / доминирующая практика</x:t>
  </x:si>
  <x:si>
    <x:t xml:space="preserve">PL-HIST-0057</x:t>
  </x:si>
  <x:si>
    <x:t xml:space="preserve">1880-е</x:t>
  </x:si>
  <x:si>
    <x:t xml:space="preserve">Профессиональные и любительские фотографы</x:t>
  </x:si>
  <x:si>
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</x:si>
  <x:si>
    <x:t xml:space="preserve">Prepared dry plates / delayed development</x:t>
  </x:si>
  <x:si>
    <x:t xml:space="preserve">Фотограф получает свободу маршрута: съёмка и проявка впервые заметно расходятся во времени и пространстве.</x:t>
  </x:si>
  <x:si>
    <x:t xml:space="preserve">Wet collodion field darkroom</x:t>
  </x:si>
  <x:si>
    <x:t xml:space="preserve">Portable cameras, amateur photography and roll film systems</x:t>
  </x:si>
  <x:si>
    <x:t xml:space="preserve">SRC-034</x:t>
  </x:si>
  <x:si>
    <x:t xml:space="preserve">George Eastman Museum — Dry Plates in the Woods</x:t>
  </x:si>
  <x:si>
    <x:t xml:space="preserve">https://www.eastman.org/blog/dry-plates-woods-using-19th-century-photographic-processes-capture-letchworth-state-park</x:t>
  </x:si>
  <x:si>
    <x:t xml:space="preserve">Очень понятная фраза для новичка: теперь не нужно тащить лабораторию за каждым кадром.</x:t>
  </x:si>
  <x:si>
    <x:t xml:space="preserve">Маршрутная линия: фотограф уходит из лаборатории на улицу/в лес, а проявляет позже.</x:t>
  </x:si>
  <x:si>
    <x:t xml:space="preserve">#PL006 #mobility #delayed-development #dry-plate</x:t>
  </x:si>
  <x:si>
    <x:t xml:space="preserve">Сухие желатиновые пластины / мобильность</x:t>
  </x:si>
  <x:si>
    <x:t xml:space="preserve">PL-HIST-0058</x:t>
  </x:si>
  <x:si>
    <x:t xml:space="preserve">Рочестер / промышленные центры</x:t>
  </x:si>
  <x:si>
    <x:t xml:space="preserve">Джордж Истмен и производители фотоматериалов</x:t>
  </x:si>
  <x:si>
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</x:si>
  <x:si>
    <x:t xml:space="preserve">Bridge from glass plates to roll film</x:t>
  </x:si>
  <x:si>
    <x:t xml:space="preserve">PL-006 логически открывает PL-007: после свободы от мокрой химии фотография начинает освобождаться от стеклянной пластины.</x:t>
  </x:si>
  <x:si>
    <x:t xml:space="preserve">Сухие желатиновые пластины как удобный готовый негативный материал</x:t>
  </x:si>
  <x:si>
    <x:t xml:space="preserve">Рулонная плёнка, Kodak camera 1888, массовая любительская фотография</x:t>
  </x:si>
  <x:si>
    <x:t xml:space="preserve">Это интрига на следующий урок: фотография стала сухой, но пока ещё стеклянной.</x:t>
  </x:si>
  <x:si>
    <x:t xml:space="preserve">Стеклянная пластина превращается в гибкую ленту/рулон — стрелка к будущему PL-007.</x:t>
  </x:si>
  <x:si>
    <x:t xml:space="preserve">#PL006 #bridge #roll-film #Kodak #future-PL</x:t>
  </x:si>
  <x:si>
    <x:t xml:space="preserve">При планировании PL-007 уточнить отдельными источниками Eastman-Walker roll holder и даты ранней рулонной плёнки.</x:t>
  </x:si>
  <x:si>
    <x:t xml:space="preserve">Сухие желатиновые пластины / мост к плёнке</x:t>
  </x:si>
  <x:si>
    <x:t xml:space="preserve">Ветка</x:t>
  </x:si>
  <x:si>
    <x:t xml:space="preserve">Что включает</x:t>
  </x:si>
  <x:si>
    <x:t xml:space="preserve">Для каких уроков</x:t>
  </x:si>
  <x:si>
    <x:t xml:space="preserve">Визуальный цвет/код</x:t>
  </x:si>
  <x:si>
    <x:t xml:space="preserve">свет, тёмная комната, pinhole, линзы</x:t>
  </x:si>
  <x:si>
    <x:t xml:space="preserve">синий</x:t>
  </x:si>
  <x:si>
    <x:t xml:space="preserve">Это предпосылка фотографии, не сама фотография.</x:t>
  </x:si>
  <x:si>
    <x:t xml:space="preserve">camera lucida, stereoscope, portable camera obscura</x:t>
  </x:si>
  <x:si>
    <x:t xml:space="preserve">PL-001 / будущие PL</x:t>
  </x:si>
  <x:si>
    <x:t xml:space="preserve">голубой</x:t>
  </x:si>
  <x:si>
    <x:t xml:space="preserve">Помогает объяснить, что люди стремились к точному изображению до химии.</x:t>
  </x:si>
  <x:si>
    <x:t xml:space="preserve">серебряные соли, потемнение от света, фиксация, желатиновые эмульсии</x:t>
  </x:si>
  <x:si>
    <x:t xml:space="preserve">PL-002 / PL-006</x:t>
  </x:si>
  <x:si>
    <x:t xml:space="preserve">жёлтый</x:t>
  </x:si>
  <x:si>
    <x:t xml:space="preserve">Химическая половина рождения фотографии.</x:t>
  </x:si>
  <x:si>
    <x:t xml:space="preserve">Ньепс, битум, первое сохранившееся изображение</x:t>
  </x:si>
  <x:si>
    <x:t xml:space="preserve">золотой</x:t>
  </x:si>
  <x:si>
    <x:t xml:space="preserve">Путь к постоянному изображению.</x:t>
  </x:si>
  <x:si>
    <x:t xml:space="preserve">прямой позитив на серебряной пластине</x:t>
  </x:si>
  <x:si>
    <x:t xml:space="preserve">серебряный</x:t>
  </x:si>
  <x:si>
    <x:t xml:space="preserve">Резкость и публичный эффект, но уникальный экземпляр.</x:t>
  </x:si>
  <x:si>
    <x:t xml:space="preserve">контактные изображения объектов на бумаге</x:t>
  </x:si>
  <x:si>
    <x:t xml:space="preserve">зелёный</x:t>
  </x:si>
  <x:si>
    <x:t xml:space="preserve">Британская линия Тальбота.</x:t>
  </x:si>
  <x:si>
    <x:t xml:space="preserve">зелёный тёмный</x:t>
  </x:si>
  <x:si>
    <x:t xml:space="preserve">Главная идея, которая победила исторически.</x:t>
  </x:si>
  <x:si>
    <x:t xml:space="preserve">Herschel, hypo, terms photography/negative/positive</x:t>
  </x:si>
  <x:si>
    <x:t xml:space="preserve">фиолетовый</x:t>
  </x:si>
  <x:si>
    <x:t xml:space="preserve">Фотография нуждается в языке и стабильности.</x:t>
  </x:si>
  <x:si>
    <x:t xml:space="preserve">salted paper, albumen print, фотокнига</x:t>
  </x:si>
  <x:si>
    <x:t xml:space="preserve">PL-004 / будущие PL</x:t>
  </x:si>
  <x:si>
    <x:t xml:space="preserve">оранжевый</x:t>
  </x:si>
  <x:si>
    <x:t xml:space="preserve">Ветка распространения изображений.</x:t>
  </x:si>
  <x:si>
    <x:t xml:space="preserve">стеклянный негатив, коллодий, нитрат серебра</x:t>
  </x:si>
  <x:si>
    <x:t xml:space="preserve">красный</x:t>
  </x:si>
  <x:si>
    <x:t xml:space="preserve">Мост между резкостью и тиражом.</x:t>
  </x:si>
  <x:si>
    <x:t xml:space="preserve">Bayard, ambrotype, tintype, direct positive</x:t>
  </x:si>
  <x:si>
    <x:t xml:space="preserve">PL-003 / PL-005</x:t>
  </x:si>
  <x:si>
    <x:t xml:space="preserve">серый</x:t>
  </x:si>
  <x:si>
    <x:t xml:space="preserve">Важные, но технологически ограниченные ветки.</x:t>
  </x:si>
  <x:si>
    <x:t xml:space="preserve">ранние опыты, Becquerel, будущий Autochrome</x:t>
  </x:si>
  <x:si>
    <x:t xml:space="preserve">радужный</x:t>
  </x:si>
  <x:si>
    <x:t xml:space="preserve">В v0.1 только ранний ориентир.</x:t>
  </x:si>
  <x:si>
    <x:t xml:space="preserve">lantern slides, публичный показ</x:t>
  </x:si>
  <x:si>
    <x:t xml:space="preserve">бирюзовый</x:t>
  </x:si>
  <x:si>
    <x:t xml:space="preserve">Мост к обучению, лекциям, презентациям.</x:t>
  </x:si>
  <x:si>
    <x:t xml:space="preserve">Название</x:t>
  </x:si>
  <x:si>
    <x:t xml:space="preserve">URL</x:t>
  </x:si>
  <x:si>
    <x:t xml:space="preserve">Используется для</x:t>
  </x:si>
  <x:si>
    <x:t xml:space="preserve">Примечание</x:t>
  </x:si>
  <x:si>
    <x:t xml:space="preserve">Ибн аль-Хайсам, камера-обскура, прямолинейное распространение света</x:t>
  </x:si>
  <x:si>
    <x:t xml:space="preserve">вводный источник</x:t>
  </x:si>
  <x:si>
    <x:t xml:space="preserve">Cardano, Della Porta, линза в камере-обскуре</x:t>
  </x:si>
  <x:si>
    <x:t xml:space="preserve">музейный образовательный источник</x:t>
  </x:si>
  <x:si>
    <x:t xml:space="preserve">Kepler, термин camera obscura, развитие оптических приборов</x:t>
  </x:si>
  <x:si>
    <x:t xml:space="preserve">академический PDF</x:t>
  </x:si>
  <x:si>
    <x:t xml:space="preserve">Johann Zahn, portable camera obscura</x:t>
  </x:si>
  <x:si>
    <x:t xml:space="preserve">источник по историческим изображениям</x:t>
  </x:si>
  <x:si>
    <x:t xml:space="preserve">Schulze, светочувствительность серебряных солей</x:t>
  </x:si>
  <x:si>
    <x:t xml:space="preserve">музейный источник</x:t>
  </x:si>
  <x:si>
    <x:t xml:space="preserve">Scheele, silver chloride, ammonia</x:t>
  </x:si>
  <x:si>
    <x:t xml:space="preserve">научно-исторический источник</x:t>
  </x:si>
  <x:si>
    <x:t xml:space="preserve">Wedgwood, silver nitrate, early camera obscura attempts</x:t>
  </x:si>
  <x:si>
    <x:t xml:space="preserve">Talbot, Wedgwood/Davy, photogenic drawing</x:t>
  </x:si>
  <x:si>
    <x:t xml:space="preserve">архивный/исследовательский источник</x:t>
  </x:si>
  <x:si>
    <x:t xml:space="preserve">Wollaston, Camera Lucida, 1806/1807</x:t>
  </x:si>
  <x:si>
    <x:t xml:space="preserve">музейная карточка предмета</x:t>
  </x:si>
  <x:si>
    <x:t xml:space="preserve">Niépce, View from the Window at Le Gras, heliography</x:t>
  </x:si>
  <x:si>
    <x:t xml:space="preserve">ключевой источник</x:t>
  </x:si>
  <x:si>
    <x:t xml:space="preserve">Niépce 1816, исчезающие negative images</x:t>
  </x:si>
  <x:si>
    <x:t xml:space="preserve">музей/юбилейный проект</x:t>
  </x:si>
  <x:si>
    <x:t xml:space="preserve">1826, 1839, Talbot, calotype, cyanotype, early medical photography, lantern slides</x:t>
  </x:si>
  <x:si>
    <x:t xml:space="preserve">университетская таймлайн-опора</x:t>
  </x:si>
  <x:si>
    <x:t xml:space="preserve">Daguerre, Académie des Sciences, 1839</x:t>
  </x:si>
  <x:si>
    <x:t xml:space="preserve">музейный эссе-источник</x:t>
  </x:si>
  <x:si>
    <x:t xml:space="preserve">SRC-014</x:t>
  </x:si>
  <x:si>
    <x:t xml:space="preserve">Library of Congress — Daguerreotype Medium</x:t>
  </x:si>
  <x:si>
    <x:t xml:space="preserve">https://www.loc.gov/collections/daguerreotypes/articles-and-essays/the-daguerreotype-medium</x:t>
  </x:si>
  <x:si>
    <x:t xml:space="preserve">daguerreotype as direct-positive process</x:t>
  </x:si>
  <x:si>
    <x:t xml:space="preserve">архивный источник</x:t>
  </x:si>
  <x:si>
    <x:t xml:space="preserve">calotype as first negative-positive process</x:t>
  </x:si>
  <x:si>
    <x:t xml:space="preserve">архивный образовательный источник</x:t>
  </x:si>
  <x:si>
    <x:t xml:space="preserve">Talbot, latent image, calotype, hypo, Pencil of Nature</x:t>
  </x:si>
  <x:si>
    <x:t xml:space="preserve">Herschel, terminology, cyanotype context</x:t>
  </x:si>
  <x:si>
    <x:t xml:space="preserve">музейная биография</x:t>
  </x:si>
  <x:si>
    <x:t xml:space="preserve">Herschel, cyanotype 1842</x:t>
  </x:si>
  <x:si>
    <x:t xml:space="preserve">Anna Atkins, Photographs of British Algae</x:t>
  </x:si>
  <x:si>
    <x:t xml:space="preserve">salt print, albumen print, wet collodion process</x:t>
  </x:si>
  <x:si>
    <x:t xml:space="preserve">Archer, wet collodion, 1851, process details</x:t>
  </x:si>
  <x:si>
    <x:t xml:space="preserve">музейный блог</x:t>
  </x:si>
  <x:si>
    <x:t xml:space="preserve">ambrotype, tintype, Cutting patent, 1854</x:t>
  </x:si>
  <x:si>
    <x:t xml:space="preserve">photogenic drawing 1834, calotype context</x:t>
  </x:si>
  <x:si>
    <x:t xml:space="preserve">Wheatstone, stereoscopy 1838</x:t>
  </x:si>
  <x:si>
    <x:t xml:space="preserve">общественно-научный источник</x:t>
  </x:si>
  <x:si>
    <x:t xml:space="preserve">salt print chemistry, Scheele, Wedgwood context</x:t>
  </x:si>
  <x:si>
    <x:t xml:space="preserve">технический PDF</x:t>
  </x:si>
  <x:si>
    <x:t xml:space="preserve">SRC-026</x:t>
  </x:si>
  <x:si>
    <x:t xml:space="preserve">V&amp;A — A to Z of photographic processes</x:t>
  </x:si>
  <x:si>
    <x:t xml:space="preserve">https://www.vam.ac.uk/articles/photographic-processes</x:t>
  </x:si>
  <x:si>
    <x:t xml:space="preserve">общий перечень процессов для последующих версий</x:t>
  </x:si>
  <x:si>
    <x:t xml:space="preserve">дополнительный справочник</x:t>
  </x:si>
  <x:si>
    <x:t xml:space="preserve">Maddox 1871, Burgess/Kennett/Bennett improvements, Liverpool Dry Plate Company 1874</x:t>
  </x:si>
  <x:si>
    <x:t xml:space="preserve">dry plate 1871, manufacture 1878, replacement of wet collodion, storage benefits</x:t>
  </x:si>
  <x:si>
    <x:t xml:space="preserve">Maddox 1871, Bennett 1878, heating emulsion, 1/25 second exposure</x:t>
  </x:si>
  <x:si>
    <x:t xml:space="preserve">dry plate 1871/1878, faster exposure, motion, norm by late 1880s</x:t>
  </x:si>
  <x:si>
    <x:t xml:space="preserve">университетская выставка</x:t>
  </x:si>
  <x:si>
    <x:t xml:space="preserve">Eastman commercial dry plates in 1880, Eastman Dry Plate Company 1881</x:t>
  </x:si>
  <x:si>
    <x:t xml:space="preserve">официальная история компании</x:t>
  </x:si>
  <x:si>
    <x:t xml:space="preserve">Eastman and Strong, Eastman Dry Plate Company on January 1, 1881</x:t>
  </x:si>
  <x:si>
    <x:t xml:space="preserve">dry plates as popular negative from 1880 to 1900, benefits versus wet collodion</x:t>
  </x:si>
  <x:si>
    <x:t xml:space="preserve">архивный музейный источник</x:t>
  </x:si>
  <x:si>
    <x:t xml:space="preserve">dry plates coated with gelatin emulsion, practical freedom, Eastman's role</x:t>
  </x:si>
  <x:si>
    <x:t xml:space="preserve">Важность</x:t>
  </x:si>
  <x:si>
    <x:t xml:space="preserve">Уверенность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</x:si>
</x:sst>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General"/>
  </x:numFmts>
  <x:fonts count="14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b/>
      <x:sz val="18"/>
      <x:color rgb="FF000000"/>
      <x:name val="Calibri"/>
    </x:font>
    <x:font>
      <x:sz val="10"/>
      <x:color rgb="FF000000"/>
      <x:name val="Calibri"/>
    </x:font>
    <x:font>
      <x:sz val="10"/>
      <x:name val="Calibri"/>
    </x:font>
    <x:font>
      <x:b/>
      <x:sz val="11"/>
      <x:color rgb="FF111827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2">
    <x:border diagonalUp="0" diagonalDown="0"/>
    <x:border diagonalUp="0" diagonalDown="0"/>
  </x:borders>
  <x:cellStyleXfs count="21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</x:xf>
  </x:cellStyleXfs>
  <x:cellXfs count="37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5" fillId="2" borderId="0" xfId="0" applyFont="1" applyBorder="1" applyAlignment="1">
      <x:alignment horizontal="center" vertical="center" wrapText="1"/>
    </x:xf>
    <x:xf numFmtId="164" fontId="6" fillId="3" borderId="0" xfId="0" applyFont="1" applyBorder="0" applyAlignment="1">
      <x:alignment horizontal="center" vertical="center" wrapText="1"/>
    </x:xf>
    <x:xf numFmtId="164" fontId="7" fillId="3" borderId="0" xfId="0" applyFont="1" applyBorder="0" applyAlignment="1">
      <x:alignment horizontal="center" vertical="center" wrapText="1"/>
    </x:xf>
    <x:xf numFmtId="164" fontId="8" fillId="0" borderId="0" xfId="0" applyFont="1" applyBorder="0" applyAlignment="1">
      <x:alignment horizontal="general" vertical="top" wrapText="1"/>
    </x:xf>
    <x:xf numFmtId="165" fontId="9" fillId="0" borderId="0" xfId="0" applyFont="1" applyBorder="0" applyAlignment="1">
      <x:alignment horizontal="center" vertical="top" wrapText="1"/>
    </x:xf>
    <x:xf numFmtId="164" fontId="4" fillId="0" borderId="0" xfId="0" applyFont="1" applyBorder="0" applyAlignment="1">
      <x:alignment horizontal="general" vertical="bottom" wrapText="1"/>
    </x:xf>
    <x:xf numFmtId="164" fontId="8" fillId="0" borderId="0" xfId="0" applyFont="1" applyBorder="0" applyAlignment="1">
      <x:alignment horizontal="general" vertical="bottom" wrapText="1"/>
    </x:xf>
    <x:xf numFmtId="164" fontId="12" fillId="0" borderId="0" xfId="0" applyFont="1" applyBorder="0" applyAlignment="1">
      <x:alignment horizontal="general" vertical="top" wrapText="1"/>
    </x:xf>
    <x:xf numFmtId="164" fontId="12" fillId="0" borderId="0" xfId="0" applyFont="1" applyBorder="0" applyAlignment="1">
      <x:alignment horizontal="center" vertical="top" wrapText="1"/>
    </x:xf>
    <x:xf numFmtId="164" fontId="0" fillId="0" borderId="0" xfId="0" applyFont="1" applyBorder="0" applyAlignment="1">
      <x:alignment horizontal="general" vertical="bottom" wrapText="0"/>
    </x:xf>
    <x:xf numFmtId="164" fontId="6" fillId="4" borderId="0" xfId="0" applyFont="1" applyBorder="0" applyAlignment="1">
      <x:alignment horizontal="center" vertical="center" wrapText="1"/>
    </x:xf>
    <x:xf numFmtId="164" fontId="5" fillId="3" borderId="0" xfId="0" applyFont="1" applyBorder="1" applyAlignment="1">
      <x:alignment horizontal="center" vertical="center" wrapText="1"/>
    </x:xf>
    <x:xf numFmtId="164" fontId="13" fillId="5" borderId="0" xfId="0" applyFont="1" applyBorder="0" applyAlignment="1">
      <x:alignment horizontal="general" vertical="top" wrapText="1"/>
    </x:xf>
    <x:xf numFmtId="164" fontId="0" fillId="0" borderId="1" xfId="0" applyNumberFormat="1" applyFont="1" applyFill="1" applyBorder="1" applyAlignment="1">
      <x:alignment horizontal="general" vertical="bottom" wrapText="0"/>
    </x:xf>
    <x:xf numFmtId="164" fontId="5" fillId="2" borderId="1" xfId="0" applyNumberFormat="1" applyFont="1" applyFill="1" applyBorder="1" applyAlignment="1">
      <x:alignment horizontal="center" vertical="center" wrapText="1"/>
    </x:xf>
    <x:xf numFmtId="164" fontId="6" fillId="3" borderId="1" xfId="0" applyNumberFormat="1" applyFont="1" applyFill="1" applyBorder="1" applyAlignment="1">
      <x:alignment horizontal="center" vertical="center" wrapText="1"/>
    </x:xf>
    <x:xf numFmtId="164" fontId="7" fillId="3" borderId="1" xfId="0" applyNumberFormat="1" applyFont="1" applyFill="1" applyBorder="1" applyAlignment="1">
      <x:alignment horizontal="center" vertical="center" wrapText="1"/>
    </x:xf>
    <x:xf numFmtId="164" fontId="8" fillId="0" borderId="1" xfId="0" applyNumberFormat="1" applyFont="1" applyFill="1" applyBorder="1" applyAlignment="1">
      <x:alignment horizontal="general" vertical="top" wrapText="1"/>
    </x:xf>
    <x:xf numFmtId="164" fontId="9" fillId="0" borderId="1" xfId="0" applyNumberFormat="1" applyFont="1" applyFill="1" applyBorder="1" applyAlignment="1">
      <x:alignment horizontal="center" vertical="top" wrapText="1"/>
    </x:xf>
    <x:xf numFmtId="164" fontId="0" fillId="0" borderId="1" xfId="0" applyNumberFormat="1" applyFont="1" applyFill="1" applyBorder="1" applyAlignment="1">
      <x:alignment horizontal="general" vertical="bottom" wrapText="1"/>
    </x:xf>
    <x:xf numFmtId="164" fontId="8" fillId="0" borderId="1" xfId="0" applyNumberFormat="1" applyFont="1" applyFill="1" applyBorder="1" applyAlignment="1">
      <x:alignment horizontal="general" vertical="bottom" wrapText="1"/>
    </x:xf>
    <x:xf numFmtId="164" fontId="12" fillId="0" borderId="1" xfId="0" applyNumberFormat="1" applyFont="1" applyFill="1" applyBorder="1" applyAlignment="1">
      <x:alignment horizontal="general" vertical="top" wrapText="1"/>
    </x:xf>
    <x:xf numFmtId="164" fontId="12" fillId="0" borderId="1" xfId="0" applyNumberFormat="1" applyFont="1" applyFill="1" applyBorder="1" applyAlignment="1">
      <x:alignment horizontal="center" vertical="top" wrapText="1"/>
    </x:xf>
    <x:xf numFmtId="164" fontId="6" fillId="4" borderId="1" xfId="0" applyNumberFormat="1" applyFont="1" applyFill="1" applyBorder="1" applyAlignment="1">
      <x:alignment horizontal="center" vertical="center" wrapText="1"/>
    </x:xf>
    <x:xf numFmtId="164" fontId="5" fillId="3" borderId="1" xfId="0" applyNumberFormat="1" applyFont="1" applyFill="1" applyBorder="1" applyAlignment="1">
      <x:alignment horizontal="center" vertical="center" wrapText="1"/>
    </x:xf>
    <x:xf numFmtId="164" fontId="13" fillId="5" borderId="1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6" fillId="3" borderId="0" xfId="0" applyNumberFormat="1" applyFont="1" applyFill="1" applyBorder="1" applyAlignment="1">
      <x:alignment horizontal="center" vertical="center" wrapText="1"/>
    </x:xf>
    <x:xf numFmtId="164" fontId="8" fillId="0" borderId="0" xfId="0" applyNumberFormat="1" applyFont="1" applyFill="1" applyBorder="1" applyAlignment="1">
      <x:alignment horizontal="general" vertical="bottom" wrapText="1"/>
    </x:xf>
    <x:xf numFmtId="164" fontId="7" fillId="3" borderId="0" xfId="0" applyNumberFormat="1" applyFont="1" applyFill="1" applyBorder="1" applyAlignment="1">
      <x:alignment horizontal="center" vertical="center" wrapText="1"/>
    </x:xf>
    <x:xf numFmtId="164" fontId="5" fillId="2" borderId="0" xfId="0" applyNumberFormat="1" applyFont="1" applyFill="1" applyBorder="1" applyAlignment="1">
      <x:alignment horizontal="center" vertical="center" wrapText="1"/>
    </x:xf>
    <x:xf numFmtId="164" fontId="8" fillId="0" borderId="0" xfId="0" applyNumberFormat="1" applyFont="1" applyFill="1" applyBorder="1" applyAlignment="1">
      <x:alignment horizontal="general" vertical="top" wrapText="1"/>
    </x:xf>
    <x:xf numFmtId="164" fontId="9" fillId="0" borderId="0" xfId="0" applyNumberFormat="1" applyFont="1" applyFill="1" applyBorder="1" applyAlignment="1">
      <x:alignment horizontal="center" vertical="top" wrapText="1"/>
    </x:xf>
    <x:xf numFmtId="164" fontId="5" fillId="3" borderId="0" xfId="0" applyNumberFormat="1" applyFont="1" applyFill="1" applyBorder="1" applyAlignment="1">
      <x:alignment horizontal="center" vertical="center" wrapText="1"/>
    </x:xf>
    <x:xf numFmtId="164" fontId="13" fillId="5" borderId="0" xfId="0" applyNumberFormat="1" applyFont="1" applyFill="1" applyBorder="1" applyAlignment="1">
      <x:alignment horizontal="general" vertical="top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Обычный" xfId="20"/>
  </x:cellStyles>
  <x:dxfs count="8">
    <x:dxf>
      <x:fill>
        <x:patternFill>
          <x:bgColor rgb="FF111827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AD5"/>
        </x:patternFill>
      </x:fill>
    </x:dxf>
    <x:dxf>
      <x:fill>
        <x:patternFill>
          <x:bgColor rgb="FF1F293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43d153d8314a5f" /><Relationship Type="http://schemas.openxmlformats.org/officeDocument/2006/relationships/theme" Target="/xl/theme/theme1.xml" Id="Rb1e3a2967bbc41ed" /><Relationship Type="http://schemas.openxmlformats.org/officeDocument/2006/relationships/sharedStrings" Target="/xl/sharedStrings.xml" Id="R7e0d86993b0d4741" /><Relationship Type="http://schemas.openxmlformats.org/officeDocument/2006/relationships/worksheet" Target="/xl/worksheets/sheet1.xml" Id="R7b65618f489f4510" /><Relationship Type="http://schemas.openxmlformats.org/officeDocument/2006/relationships/worksheet" Target="/xl/worksheets/sheet2.xml" Id="R259021171527450b" /><Relationship Type="http://schemas.openxmlformats.org/officeDocument/2006/relationships/worksheet" Target="/xl/worksheets/sheet3.xml" Id="R040538a982d44d40" /><Relationship Type="http://schemas.openxmlformats.org/officeDocument/2006/relationships/worksheet" Target="/xl/worksheets/sheet4.xml" Id="Rb241d7b180e14328" /><Relationship Type="http://schemas.openxmlformats.org/officeDocument/2006/relationships/worksheet" Target="/xl/worksheets/sheet5.xml" Id="R7ac3a0af094f447d" /><Relationship Type="http://schemas.openxmlformats.org/officeDocument/2006/relationships/worksheet" Target="/xl/worksheets/sheet6.xml" Id="Ra58848e684414d98" /><Relationship Type="http://schemas.openxmlformats.org/officeDocument/2006/relationships/worksheet" Target="/xl/worksheets/sheet7.xml" Id="Rf60cfdcb4f114e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ddddb278724b7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"Количество узлов"</c:f>
              <c:strCache>
                <c:ptCount val="1"/>
                <c:pt idx="0">
                  <c:v>Количество узлов</c:v>
                </c:pt>
              </c:strCache>
            </c:strRef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</a:ln>
          </c:spPr>
          <c:cat>
            <c:strRef>
              <c:f>05_Dashboard!$A$10:$A$46</c:f>
              <c:strCache>
                <c:ptCount val="3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3">
                  <c:v/>
                </c:pt>
                <c:pt idx="14">
                  <c:v/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</c:strCache>
            </c:strRef>
          </c:cat>
          <c:val>
            <c:numRef>
              <c:f>05_Dashboard!$B$10:$B$46</c:f>
              <c:numCache>
                <c:formatCode>General</c:formatCode>
                <c:ptCount val="24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13</c:v>
                </c:pt>
                <c:pt idx="7">
                  <c:v>2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19</c:v>
                </c:pt>
                <c:pt idx="15">
                  <c:v>7</c:v>
                </c:pt>
                <c:pt idx="16">
                  <c:v>4</c:v>
                </c:pt>
                <c:pt idx="17">
                  <c:v>2</c:v>
                </c:pt>
                <c:pt idx="18">
                  <c:v>5</c:v>
                </c:pt>
                <c:pt idx="19">
                  <c:v>5</c:v>
                </c:pt>
                <c:pt idx="20">
                  <c:v>6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ddddb278724b7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</x:table>
</file>

<file path=xl/tables/table2.xml><?xml version="1.0" encoding="utf-8"?>
<x:table xmlns:x="http://schemas.openxmlformats.org/spreadsheetml/2006/main" id="1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</x:table>
</file>

<file path=xl/tables/table3.xml><?xml version="1.0" encoding="utf-8"?>
<x:table xmlns:x="http://schemas.openxmlformats.org/spreadsheetml/2006/main" id="2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e0c5755b8442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0cb900299148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b01d85c3854a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bfc331056f44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506d3e115f3458d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37.15999984741211" style="1" hidden="0" customWidth="1"/>
    <x:col min="2" max="2" width="14.670000076293945" style="1" hidden="0" customWidth="1"/>
    <x:col min="3" max="3" width="50.5" style="1" hidden="0" customWidth="1"/>
    <x:col min="4" max="5" width="14.670000076293945" style="1" hidden="0" customWidth="1"/>
  </x:cols>
  <x:sheetData>
    <x:row r="1" ht="30" hidden="0" customHeight="1">
      <x:c r="A1" s="32" t="str">
        <x:v>PHOTO LAB — Master Timeline v0.4</x:v>
      </x:c>
      <x:c r="B1" s="32"/>
      <x:c r="C1" s="32"/>
      <x:c r="D1" s="32"/>
      <x:c r="E1" s="32"/>
      <x:c r="F1" s="2"/>
    </x:row>
    <x:row r="2" ht="27.75" hidden="0" customHeight="1">
      <x:c r="A2" s="29" t="s">
        <x:v>0</x:v>
      </x:c>
      <x:c r="B2" s="29" t="s">
        <x:v>1</x:v>
      </x:c>
      <x:c r="C2" s="29" t="s">
        <x:v>2</x:v>
      </x:c>
      <x:c r="D2" s="31"/>
      <x:c r="E2" s="31"/>
    </x:row>
    <x:row r="3" ht="15.75" hidden="0" customHeight="1">
      <x:c r="A3" s="33" t="s">
        <x:v>3</x:v>
      </x:c>
      <x:c r="B3" s="34" t="n">
        <x:f aca="0">COUNTA('01_Master_Facts'!$A$2:$A$500)</x:f>
        <x:v>68</x:v>
      </x:c>
      <x:c r="C3" s="33" t="s">
        <x:v>4</x:v>
      </x:c>
      <x:c r="D3" s="28"/>
      <x:c r="E3" s="28"/>
    </x:row>
    <x:row r="4" ht="15.75" hidden="0" customHeight="1">
      <x:c r="A4" s="33" t="s">
        <x:v>5</x:v>
      </x:c>
      <x:c r="B4" s="34" t="n">
        <x:f aca="0">COUNTIF('01_Master_Facts'!$N$2:$N$500,5)</x:f>
        <x:v>26</x:v>
      </x:c>
      <x:c r="C4" s="33" t="s">
        <x:v>6</x:v>
      </x:c>
      <x:c r="D4" s="28"/>
      <x:c r="E4" s="28"/>
    </x:row>
    <x:row r="5" ht="15.75" hidden="0" customHeight="1">
      <x:c r="A5" s="33" t="str">
        <x:v>Узлов для PL-001–PL-007</x:v>
      </x:c>
      <x:c r="B5" s="34" t="n">
        <x:f aca="0"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)</x:f>
        <x:v>57</x:v>
      </x:c>
      <x:c r="C5" s="33" t="str">
        <x:v>Без будущих PL и межурочных узлов</x:v>
      </x:c>
      <x:c r="D5" s="28"/>
      <x:c r="E5" s="28"/>
    </x:row>
    <x:row r="6" ht="31.5" hidden="0" customHeight="1">
      <x:c r="A6" s="33" t="s">
        <x:v>7</x:v>
      </x:c>
      <x:c r="B6" s="34" t="n">
        <x:f aca="0">COUNTIF('01_Master_Facts'!$W$2:$W$500,"&lt;&gt;")</x:f>
        <x:v>24</x:v>
      </x:c>
      <x:c r="C6" s="33" t="s">
        <x:v>8</x:v>
      </x:c>
      <x:c r="D6" s="28"/>
      <x:c r="E6" s="28"/>
    </x:row>
    <x:row r="7" ht="12.75" hidden="0" customHeight="1">
      <x:c r="A7" s="28"/>
      <x:c r="B7" s="28"/>
      <x:c r="C7" s="28"/>
      <x:c r="D7" s="28"/>
      <x:c r="E7" s="28"/>
    </x:row>
    <x:row r="8" ht="12.75" hidden="0" customHeight="1">
      <x:c r="A8" s="28"/>
      <x:c r="B8" s="28"/>
      <x:c r="C8" s="28"/>
      <x:c r="D8" s="28"/>
      <x:c r="E8" s="28"/>
    </x:row>
    <x:row r="9" ht="27.75" hidden="0" customHeight="1">
      <x:c r="A9" s="29" t="s">
        <x:v>9</x:v>
      </x:c>
      <x:c r="B9" s="29" t="s">
        <x:v>10</x:v>
      </x:c>
      <x:c r="C9" s="28"/>
      <x:c r="D9" s="29" t="s">
        <x:v>11</x:v>
      </x:c>
      <x:c r="E9" s="29" t="s">
        <x:v>10</x:v>
      </x:c>
    </x:row>
    <x:row r="10" ht="15.75" hidden="0" customHeight="1">
      <x:c r="A10" s="30" t="s">
        <x:v>12</x:v>
      </x:c>
      <x:c r="B10" s="30" t="n">
        <x:f aca="0">COUNTIF('01_Master_Facts'!$H$2:$H$500,A10)</x:f>
        <x:v>6</x:v>
      </x:c>
      <x:c r="C10" s="28"/>
      <x:c r="D10" s="30" t="str">
        <x:v>PL-001</x:v>
      </x:c>
      <x:c r="E10" s="30" t="n">
        <x:f aca="0">COUNTIF('01_Master_Facts'!$O$2:$O$500,D10)</x:f>
        <x:v>8</x:v>
      </x:c>
    </x:row>
    <x:row r="11" ht="15.75" hidden="0" customHeight="1">
      <x:c r="A11" s="30" t="s">
        <x:v>13</x:v>
      </x:c>
      <x:c r="B11" s="30" t="n">
        <x:f aca="0">COUNTIF('01_Master_Facts'!$H$2:$H$500,A11)</x:f>
        <x:v>4</x:v>
      </x:c>
      <x:c r="C11" s="28"/>
      <x:c r="D11" s="30" t="str">
        <x:v>PL-002</x:v>
      </x:c>
      <x:c r="E11" s="30" t="n">
        <x:f aca="0">COUNTIF('01_Master_Facts'!$O$2:$O$500,D11)</x:f>
        <x:v>7</x:v>
      </x:c>
    </x:row>
    <x:row r="12" ht="15.75" hidden="0" customHeight="1">
      <x:c r="A12" s="30" t="s">
        <x:v>14</x:v>
      </x:c>
      <x:c r="B12" s="30" t="n">
        <x:f aca="0">COUNTIF('01_Master_Facts'!$H$2:$H$500,A12)</x:f>
        <x:v>4</x:v>
      </x:c>
      <x:c r="C12" s="28"/>
      <x:c r="D12" s="30" t="str">
        <x:v>PL-003</x:v>
      </x:c>
      <x:c r="E12" s="30" t="n">
        <x:f aca="0">COUNTIF('01_Master_Facts'!$O$2:$O$500,D12)</x:f>
        <x:v>5</x:v>
      </x:c>
    </x:row>
    <x:row r="13" ht="15.75" hidden="0" customHeight="1">
      <x:c r="A13" s="30" t="s">
        <x:v>15</x:v>
      </x:c>
      <x:c r="B13" s="30" t="n">
        <x:f aca="0">COUNTIF('01_Master_Facts'!$H$2:$H$500,A13)</x:f>
        <x:v>3</x:v>
      </x:c>
      <x:c r="C13" s="28"/>
      <x:c r="D13" s="30" t="str">
        <x:v>PL-004</x:v>
      </x:c>
      <x:c r="E13" s="30" t="n">
        <x:f aca="0">COUNTIF('01_Master_Facts'!$O$2:$O$500,D13)</x:f>
        <x:v>9</x:v>
      </x:c>
    </x:row>
    <x:row r="14" ht="15.75" hidden="0" customHeight="1">
      <x:c r="A14" s="30" t="s">
        <x:v>16</x:v>
      </x:c>
      <x:c r="B14" s="30" t="n">
        <x:f aca="0">COUNTIF('01_Master_Facts'!$H$2:$H$500,A14)</x:f>
        <x:v>7</x:v>
      </x:c>
      <x:c r="C14" s="28"/>
      <x:c r="D14" s="30" t="str">
        <x:v>PL-005</x:v>
      </x:c>
      <x:c r="E14" s="30" t="n">
        <x:f aca="0">COUNTIF('01_Master_Facts'!$O$2:$O$500,D14)</x:f>
        <x:v>8</x:v>
      </x:c>
    </x:row>
    <x:row r="15" ht="15.75" hidden="0" customHeight="1">
      <x:c r="A15" s="30" t="s">
        <x:v>17</x:v>
      </x:c>
      <x:c r="B15" s="30" t="n">
        <x:f aca="0">COUNTIF('01_Master_Facts'!$H$2:$H$500,A15)</x:f>
        <x:v>2</x:v>
      </x:c>
      <x:c r="C15" s="28"/>
      <x:c r="D15" s="30" t="str">
        <x:v>PL-006</x:v>
      </x:c>
      <x:c r="E15" s="30" t="n">
        <x:f aca="0">COUNTIF('01_Master_Facts'!$O$2:$O$500,D15)</x:f>
        <x:v>10</x:v>
      </x:c>
    </x:row>
    <x:row r="16" ht="15.75" hidden="0" customHeight="1">
      <x:c r="A16" s="30" t="s">
        <x:v>18</x:v>
      </x:c>
      <x:c r="B16" s="30" t="n">
        <x:f aca="0">COUNTIF('01_Master_Facts'!$H$2:$H$500,A16)</x:f>
        <x:v>23</x:v>
      </x:c>
      <x:c r="C16" s="28"/>
      <x:c r="D16" s="30" t="str">
        <x:v>PL-007</x:v>
      </x:c>
      <x:c r="E16" s="30" t="n">
        <x:f aca="0">COUNTIF('01_Master_Facts'!$O$2:$O$500,D16)</x:f>
        <x:v>10</x:v>
      </x:c>
    </x:row>
    <x:row r="17" ht="31.5" hidden="0" customHeight="1">
      <x:c r="A17" s="30" t="s">
        <x:v>19</x:v>
      </x:c>
      <x:c r="B17" s="30" t="n">
        <x:f aca="0">COUNTIF('01_Master_Facts'!$H$2:$H$500,A17)</x:f>
        <x:v>2</x:v>
      </x:c>
      <x:c r="C17" s="28"/>
      <x:c r="D17" s="30" t="str">
        <x:v>будущие PL</x:v>
      </x:c>
      <x:c r="E17" s="30" t="n">
        <x:f aca="0">COUNTIF('01_Master_Facts'!$O$2:$O$500,D17)</x:f>
        <x:v>9</x:v>
      </x:c>
    </x:row>
    <x:row r="18" ht="15.75" hidden="0" customHeight="1">
      <x:c r="A18" s="30" t="s">
        <x:v>20</x:v>
      </x:c>
      <x:c r="B18" s="30" t="n">
        <x:f aca="0">COUNTIF('01_Master_Facts'!$H$2:$H$500,A18)</x:f>
        <x:v>6</x:v>
      </x:c>
      <x:c r="C18" s="28"/>
      <x:c r="D18" s="28" t="str">
        <x:v>межурочный узел</x:v>
      </x:c>
      <x:c r="E18" s="28" t="n">
        <x:f aca="0">COUNTIF('01_Master_Facts'!$O$2:$O$500,D18)</x:f>
        <x:v>2</x:v>
      </x:c>
    </x:row>
    <x:row r="19" ht="15.75" hidden="0" customHeight="1">
      <x:c r="A19" s="30" t="s">
        <x:v>21</x:v>
      </x:c>
      <x:c r="B19" s="30" t="n">
        <x:f aca="0">COUNTIF('01_Master_Facts'!$H$2:$H$500,A19)</x:f>
        <x:v>5</x:v>
      </x:c>
      <x:c r="C19" s="28"/>
      <x:c r="D19" s="28" t="str">
        <x:v>проверить</x:v>
      </x:c>
      <x:c r="E19" s="28" t="n">
        <x:f>COUNTIF('01_Master_Facts'!$O$2:$O$500,D19)</x:f>
        <x:v>0</x:v>
      </x:c>
    </x:row>
    <x:row r="20" ht="15.75" hidden="0" customHeight="1">
      <x:c r="A20" s="30" t="s">
        <x:v>22</x:v>
      </x:c>
      <x:c r="B20" s="30" t="n">
        <x:f aca="0">COUNTIF('01_Master_Facts'!$H$2:$H$500,A20)</x:f>
        <x:v>4</x:v>
      </x:c>
      <x:c r="C20" s="28"/>
      <x:c r="D20" s="28"/>
      <x:c r="E20" s="28"/>
    </x:row>
    <x:row r="21" ht="15.75" hidden="0" customHeight="1">
      <x:c r="A21" s="30" t="s">
        <x:v>23</x:v>
      </x:c>
      <x:c r="B21" s="30" t="n">
        <x:f aca="0">COUNTIF('01_Master_Facts'!$H$2:$H$500,A21)</x:f>
        <x:v>1</x:v>
      </x:c>
      <x:c r="C21" s="28"/>
      <x:c r="D21" s="28"/>
      <x:c r="E21" s="28"/>
    </x:row>
    <x:row r="22" ht="15.75" hidden="0" customHeight="1">
      <x:c r="A22" s="30" t="s">
        <x:v>24</x:v>
      </x:c>
      <x:c r="B22" s="30" t="n">
        <x:f aca="0">COUNTIF('01_Master_Facts'!$H$2:$H$500,A22)</x:f>
        <x:v>1</x:v>
      </x:c>
      <x:c r="C22" s="28"/>
      <x:c r="D22" s="28"/>
      <x:c r="E22" s="28"/>
    </x:row>
    <x:row r="23" ht="15" hidden="0" customHeight="1">
      <x:c r="A23" s="30"/>
      <x:c r="B23" s="30"/>
      <x:c r="C23" s="28"/>
      <x:c r="D23" s="28"/>
      <x:c r="E23" s="28"/>
    </x:row>
    <x:row r="24" ht="15" hidden="0" customHeight="1">
      <x:c r="A24" s="30"/>
      <x:c r="B24" s="30"/>
      <x:c r="C24" s="28"/>
      <x:c r="D24" s="28"/>
      <x:c r="E24" s="28"/>
    </x:row>
    <x:row r="25" ht="31.5" hidden="0" customHeight="1">
      <x:c r="A25" s="29" t="s">
        <x:v>25</x:v>
      </x:c>
      <x:c r="B25" s="29" t="s">
        <x:v>10</x:v>
      </x:c>
      <x:c r="C25" s="28"/>
      <x:c r="D25" s="28"/>
      <x:c r="E25" s="28"/>
    </x:row>
    <x:row r="26" ht="15.75" hidden="0" customHeight="1">
      <x:c r="A26" s="30" t="s">
        <x:v>26</x:v>
      </x:c>
      <x:c r="B26" s="30" t="n">
        <x:f aca="0">COUNTIF('01_Master_Facts'!$Z$2:$Z$500,A26)</x:f>
        <x:v>4</x:v>
      </x:c>
      <x:c r="C26" s="28"/>
      <x:c r="D26" s="28"/>
      <x:c r="E26" s="28"/>
    </x:row>
    <x:row r="27" ht="15.75" hidden="0" customHeight="1">
      <x:c r="A27" s="30" t="s">
        <x:v>27</x:v>
      </x:c>
      <x:c r="B27" s="30" t="n">
        <x:f aca="0">COUNTIF('01_Master_Facts'!$Z$2:$Z$500,A27)</x:f>
        <x:v>23</x:v>
      </x:c>
      <x:c r="C27" s="28"/>
      <x:c r="D27" s="28"/>
      <x:c r="E27" s="28"/>
    </x:row>
    <x:row r="28" ht="15.75" hidden="0" customHeight="1">
      <x:c r="A28" s="30" t="s">
        <x:v>28</x:v>
      </x:c>
      <x:c r="B28" s="30" t="n">
        <x:f aca="0">COUNTIF('01_Master_Facts'!$Z$2:$Z$500,A28)</x:f>
        <x:v>8</x:v>
      </x:c>
      <x:c r="C28" s="28"/>
      <x:c r="D28" s="28"/>
      <x:c r="E28" s="28"/>
    </x:row>
    <x:row r="29" ht="15.75" hidden="0" customHeight="1">
      <x:c r="A29" s="30" t="s">
        <x:v>29</x:v>
      </x:c>
      <x:c r="B29" s="30" t="n">
        <x:f aca="0">COUNTIF('01_Master_Facts'!$Z$2:$Z$500,A29)</x:f>
        <x:v>5</x:v>
      </x:c>
      <x:c r="C29" s="28"/>
      <x:c r="D29" s="28"/>
      <x:c r="E29" s="28"/>
    </x:row>
    <x:row r="30" ht="15.75" hidden="0" customHeight="1">
      <x:c r="A30" s="30" t="s">
        <x:v>30</x:v>
      </x:c>
      <x:c r="B30" s="30" t="n">
        <x:f aca="0">COUNTIF('01_Master_Facts'!$Z$2:$Z$500,A30)</x:f>
        <x:v>2</x:v>
      </x:c>
      <x:c r="C30" s="28"/>
      <x:c r="D30" s="28"/>
      <x:c r="E30" s="28"/>
    </x:row>
    <x:row r="31" ht="15.75" hidden="0" customHeight="1">
      <x:c r="A31" s="30" t="s">
        <x:v>31</x:v>
      </x:c>
      <x:c r="B31" s="30" t="n">
        <x:f aca="0">COUNTIF('01_Master_Facts'!$Z$2:$Z$500,A31)</x:f>
        <x:v>7</x:v>
      </x:c>
      <x:c r="C31" s="28"/>
      <x:c r="D31" s="28"/>
      <x:c r="E31" s="28"/>
    </x:row>
    <x:row r="32" ht="15.75" hidden="0" customHeight="1">
      <x:c r="A32" s="30" t="s">
        <x:v>32</x:v>
      </x:c>
      <x:c r="B32" s="30" t="n">
        <x:f aca="0">COUNTIF('01_Master_Facts'!$Z$2:$Z$500,A32)</x:f>
        <x:v>5</x:v>
      </x:c>
      <x:c r="C32" s="28"/>
      <x:c r="D32" s="28"/>
      <x:c r="E32" s="28"/>
    </x:row>
    <x:row r="33" ht="15.75" hidden="0" customHeight="1">
      <x:c r="A33" s="30" t="s">
        <x:v>33</x:v>
      </x:c>
      <x:c r="B33" s="30" t="n">
        <x:f aca="0">COUNTIF('01_Master_Facts'!$Z$2:$Z$500,A33)</x:f>
        <x:v>7</x:v>
      </x:c>
      <x:c r="C33" s="28"/>
      <x:c r="D33" s="28"/>
      <x:c r="E33" s="28"/>
    </x:row>
    <x:row r="34" ht="15.75" hidden="0" customHeight="1">
      <x:c r="A34" s="30" t="s">
        <x:v>34</x:v>
      </x:c>
      <x:c r="B34" s="30" t="n">
        <x:f aca="0">COUNTIF('01_Master_Facts'!$Z$2:$Z$500,A34)</x:f>
        <x:v>2</x:v>
      </x:c>
      <x:c r="C34" s="28"/>
      <x:c r="D34" s="28"/>
      <x:c r="E34" s="28"/>
    </x:row>
    <x:row r="35" ht="15.75" hidden="0" customHeight="1">
      <x:c r="A35" s="30" t="s">
        <x:v>35</x:v>
      </x:c>
      <x:c r="B35" s="30" t="n">
        <x:f aca="0">COUNTIF('01_Master_Facts'!$Z$2:$Z$500,A35)</x:f>
        <x:v>2</x:v>
      </x:c>
      <x:c r="C35" s="28"/>
      <x:c r="D35" s="28"/>
      <x:c r="E35" s="28"/>
    </x:row>
    <x:row r="36" ht="15.75" hidden="0" customHeight="1">
      <x:c r="A36" s="30" t="s">
        <x:v>36</x:v>
      </x:c>
      <x:c r="B36" s="30" t="n">
        <x:f aca="0">COUNTIF('01_Master_Facts'!$Z$2:$Z$500,A36)</x:f>
        <x:v>3</x:v>
      </x:c>
      <x:c r="C36" s="28"/>
      <x:c r="D36" s="28"/>
      <x:c r="E36" s="28"/>
    </x:row>
    <x:row r="37" ht="15" hidden="0" customHeight="1">
      <x:c r="A37" s="30"/>
      <x:c r="B37" s="30"/>
      <x:c r="C37" s="28"/>
      <x:c r="D37" s="28"/>
      <x:c r="E37" s="28"/>
    </x:row>
    <x:row r="38" ht="15" hidden="0" customHeight="1">
      <x:c r="A38" s="30"/>
      <x:c r="B38" s="30"/>
      <x:c r="C38" s="28"/>
      <x:c r="D38" s="28"/>
      <x:c r="E38" s="28"/>
    </x:row>
    <x:row r="39" ht="15" hidden="0" customHeight="1">
      <x:c r="A39" s="30"/>
      <x:c r="B39" s="30"/>
      <x:c r="C39" s="28"/>
      <x:c r="D39" s="28"/>
      <x:c r="E39" s="28"/>
    </x:row>
    <x:row r="40" ht="15" hidden="0" customHeight="1">
      <x:c r="A40" s="30"/>
      <x:c r="B40" s="30"/>
      <x:c r="C40" s="28"/>
      <x:c r="D40" s="28"/>
      <x:c r="E40" s="28"/>
    </x:row>
    <x:row r="41" ht="15" hidden="0" customHeight="1">
      <x:c r="A41" s="8"/>
      <x:c r="B41" s="8"/>
    </x:row>
    <x:row r="42" ht="15" hidden="0" customHeight="1">
      <x:c r="A42" s="8"/>
      <x:c r="B42" s="8"/>
    </x:row>
    <x:row r="43" ht="15" hidden="0" customHeight="1">
      <x:c r="A43" s="8"/>
      <x:c r="B43" s="8"/>
    </x:row>
    <x:row r="44" ht="15" hidden="0" customHeight="1">
      <x:c r="A44" s="8"/>
      <x:c r="B44" s="8"/>
    </x:row>
    <x:row r="45" ht="15" hidden="0" customHeight="1">
      <x:c r="A45" s="8"/>
      <x:c r="B45" s="8"/>
    </x:row>
    <x:row r="46" ht="15" hidden="0" customHeight="1">
      <x:c r="A46" s="8"/>
      <x:c r="B46" s="8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fce0c5755b844250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14" style="1" hidden="0" customWidth="1"/>
    <x:col min="2" max="3" width="16" style="1" hidden="0" customWidth="1"/>
    <x:col min="4" max="4" width="20" style="1" hidden="0" customWidth="1"/>
    <x:col min="5" max="5" width="22" style="1" hidden="0" customWidth="1"/>
    <x:col min="6" max="6" width="24" style="1" hidden="0" customWidth="1"/>
    <x:col min="7" max="7" width="44" style="1" hidden="0" customWidth="1"/>
    <x:col min="8" max="9" width="24" style="1" hidden="0" customWidth="1"/>
    <x:col min="10" max="10" width="46" style="1" hidden="0" customWidth="1"/>
    <x:col min="11" max="12" width="30" style="1" hidden="0" customWidth="1"/>
    <x:col min="13" max="13" width="26" style="1" hidden="0" customWidth="1"/>
    <x:col min="14" max="14" width="12" style="1" hidden="0" customWidth="1"/>
    <x:col min="15" max="15" width="18" style="1" hidden="0" customWidth="1"/>
    <x:col min="16" max="16" width="12" style="1" hidden="0" customWidth="1"/>
    <x:col min="17" max="17" width="34" style="1" hidden="0" customWidth="1"/>
    <x:col min="18" max="18" width="52" style="1" hidden="0" customWidth="1"/>
    <x:col min="19" max="19" width="14" style="1" hidden="0" customWidth="1"/>
    <x:col min="20" max="20" width="46" style="1" hidden="0" customWidth="1"/>
    <x:col min="21" max="21" width="38" style="1" hidden="0" customWidth="1"/>
    <x:col min="22" max="22" width="24" style="1" hidden="0" customWidth="1"/>
    <x:col min="23" max="23" width="34" style="1" hidden="0" customWidth="1"/>
    <x:col min="24" max="24" width="20" style="1" hidden="0" customWidth="1"/>
    <x:col min="25" max="25" width="28" style="1" hidden="0" customWidth="1"/>
    <x:col min="26" max="26" width="26" style="1" hidden="0" customWidth="1"/>
    <x:col min="27" max="27" width="16" style="1" hidden="0" customWidth="1"/>
  </x:cols>
  <x:sheetData>
    <x:row r="1" ht="27.75" hidden="0" customHeight="1">
      <x:c r="A1" s="3" t="s">
        <x:v>37</x:v>
      </x:c>
      <x:c r="B1" s="3" t="s">
        <x:v>38</x:v>
      </x:c>
      <x:c r="C1" s="3" t="s">
        <x:v>39</x:v>
      </x:c>
      <x:c r="D1" s="3" t="s">
        <x:v>40</x:v>
      </x:c>
      <x:c r="E1" s="3" t="s">
        <x:v>41</x:v>
      </x:c>
      <x:c r="F1" s="3" t="s">
        <x:v>42</x:v>
      </x:c>
      <x:c r="G1" s="3" t="s">
        <x:v>43</x:v>
      </x:c>
      <x:c r="H1" s="3" t="s">
        <x:v>9</x:v>
      </x:c>
      <x:c r="I1" s="3" t="s">
        <x:v>27</x:v>
      </x:c>
      <x:c r="J1" s="3" t="s">
        <x:v>44</x:v>
      </x:c>
      <x:c r="K1" s="3" t="s">
        <x:v>45</x:v>
      </x:c>
      <x:c r="L1" s="3" t="s">
        <x:v>46</x:v>
      </x:c>
      <x:c r="M1" s="3" t="s">
        <x:v>47</x:v>
      </x:c>
      <x:c r="N1" s="3" t="s">
        <x:v>48</x:v>
      </x:c>
      <x:c r="O1" s="3" t="s">
        <x:v>49</x:v>
      </x:c>
      <x:c r="P1" s="3" t="s">
        <x:v>50</x:v>
      </x:c>
      <x:c r="Q1" s="3" t="s">
        <x:v>51</x:v>
      </x:c>
      <x:c r="R1" s="3" t="s">
        <x:v>52</x:v>
      </x:c>
      <x:c r="S1" s="3" t="s">
        <x:v>53</x:v>
      </x:c>
      <x:c r="T1" s="3" t="s">
        <x:v>54</x:v>
      </x:c>
      <x:c r="U1" s="3" t="s">
        <x:v>55</x:v>
      </x:c>
      <x:c r="V1" s="3" t="s">
        <x:v>56</x:v>
      </x:c>
      <x:c r="W1" s="3" t="s">
        <x:v>57</x:v>
      </x:c>
      <x:c r="X1" s="4" t="s">
        <x:v>58</x:v>
      </x:c>
      <x:c r="Y1" s="4" t="s">
        <x:v>59</x:v>
      </x:c>
      <x:c r="Z1" s="4" t="s">
        <x:v>25</x:v>
      </x:c>
      <x:c r="AA1" s="1" t="s">
        <x:v>60</x:v>
      </x:c>
    </x:row>
    <x:row r="2" ht="45" hidden="0" customHeight="1">
      <x:c r="A2" s="9" t="s">
        <x:v>61</x:v>
      </x:c>
      <x:c r="B2" s="9" t="s">
        <x:v>62</x:v>
      </x:c>
      <x:c r="C2" s="9" t="s">
        <x:v>63</x:v>
      </x:c>
      <x:c r="D2" s="9" t="s">
        <x:v>64</x:v>
      </x:c>
      <x:c r="E2" s="9" t="s">
        <x:v>65</x:v>
      </x:c>
      <x:c r="F2" s="9" t="s">
        <x:v>66</x:v>
      </x:c>
      <x:c r="G2" s="9" t="s">
        <x:v>67</x:v>
      </x:c>
      <x:c r="H2" s="9" t="s">
        <x:v>12</x:v>
      </x:c>
      <x:c r="I2" s="9" t="s">
        <x:v>68</x:v>
      </x:c>
      <x:c r="J2" s="9" t="s">
        <x:v>69</x:v>
      </x:c>
      <x:c r="K2" s="9" t="s">
        <x:v>70</x:v>
      </x:c>
      <x:c r="L2" s="9" t="s">
        <x:v>71</x:v>
      </x:c>
      <x:c r="M2" s="9" t="s">
        <x:v>72</x:v>
      </x:c>
      <x:c r="N2" s="10" t="n">
        <x:v>5</x:v>
      </x:c>
      <x:c r="O2" s="9" t="s">
        <x:v>73</x:v>
      </x:c>
      <x:c r="P2" s="9" t="s">
        <x:v>74</x:v>
      </x:c>
      <x:c r="Q2" s="9" t="s">
        <x:v>75</x:v>
      </x:c>
      <x:c r="R2" s="9" t="s">
        <x:v>76</x:v>
      </x:c>
      <x:c r="S2" s="10" t="n">
        <x:v>4</x:v>
      </x:c>
      <x:c r="T2" s="9" t="s">
        <x:v>77</x:v>
      </x:c>
      <x:c r="U2" s="9" t="s">
        <x:v>78</x:v>
      </x:c>
      <x:c r="V2" s="9" t="s">
        <x:v>79</x:v>
      </x:c>
      <x:c r="W2" s="9" t="s">
        <x:v>80</x:v>
      </x:c>
      <x:c r="X2" s="1" t="s">
        <x:v>81</x:v>
      </x:c>
      <x:c r="Z2" s="11" t="s">
        <x:v>26</x:v>
      </x:c>
      <x:c r="AA2" s="1" t="s">
        <x:v>82</x:v>
      </x:c>
    </x:row>
    <x:row r="3" ht="45" hidden="0" customHeight="1">
      <x:c r="A3" s="9" t="s">
        <x:v>83</x:v>
      </x:c>
      <x:c r="B3" s="9" t="s">
        <x:v>84</x:v>
      </x:c>
      <x:c r="C3" s="9" t="s">
        <x:v>85</x:v>
      </x:c>
      <x:c r="D3" s="9" t="s">
        <x:v>86</x:v>
      </x:c>
      <x:c r="E3" s="9" t="s">
        <x:v>87</x:v>
      </x:c>
      <x:c r="F3" s="9" t="s">
        <x:v>88</x:v>
      </x:c>
      <x:c r="G3" s="9" t="s">
        <x:v>89</x:v>
      </x:c>
      <x:c r="H3" s="9" t="s">
        <x:v>12</x:v>
      </x:c>
      <x:c r="I3" s="9" t="s">
        <x:v>90</x:v>
      </x:c>
      <x:c r="J3" s="9" t="s">
        <x:v>91</x:v>
      </x:c>
      <x:c r="K3" s="9" t="s">
        <x:v>92</x:v>
      </x:c>
      <x:c r="L3" s="9" t="s">
        <x:v>93</x:v>
      </x:c>
      <x:c r="M3" s="9" t="s">
        <x:v>72</x:v>
      </x:c>
      <x:c r="N3" s="10" t="n">
        <x:v>3</x:v>
      </x:c>
      <x:c r="O3" s="9" t="s">
        <x:v>73</x:v>
      </x:c>
      <x:c r="P3" s="9" t="s">
        <x:v>94</x:v>
      </x:c>
      <x:c r="Q3" s="9" t="s">
        <x:v>95</x:v>
      </x:c>
      <x:c r="R3" s="9" t="s">
        <x:v>96</x:v>
      </x:c>
      <x:c r="S3" s="10" t="n">
        <x:v>3</x:v>
      </x:c>
      <x:c r="T3" s="9" t="s">
        <x:v>97</x:v>
      </x:c>
      <x:c r="U3" s="9" t="s">
        <x:v>98</x:v>
      </x:c>
      <x:c r="V3" s="9" t="s">
        <x:v>99</x:v>
      </x:c>
      <x:c r="W3" s="9" t="s">
        <x:v>100</x:v>
      </x:c>
      <x:c r="X3" s="1" t="s">
        <x:v>101</x:v>
      </x:c>
      <x:c r="Z3" s="11" t="s">
        <x:v>28</x:v>
      </x:c>
    </x:row>
    <x:row r="4" ht="45" hidden="0" customHeight="1">
      <x:c r="A4" s="9" t="s">
        <x:v>102</x:v>
      </x:c>
      <x:c r="B4" s="9" t="s">
        <x:v>103</x:v>
      </x:c>
      <x:c r="C4" s="9" t="s">
        <x:v>85</x:v>
      </x:c>
      <x:c r="D4" s="9" t="s">
        <x:v>104</x:v>
      </x:c>
      <x:c r="E4" s="9" t="s">
        <x:v>105</x:v>
      </x:c>
      <x:c r="F4" s="9" t="s">
        <x:v>106</x:v>
      </x:c>
      <x:c r="G4" s="9" t="s">
        <x:v>107</x:v>
      </x:c>
      <x:c r="H4" s="9" t="s">
        <x:v>12</x:v>
      </x:c>
      <x:c r="I4" s="9" t="s">
        <x:v>108</x:v>
      </x:c>
      <x:c r="J4" s="9" t="s">
        <x:v>109</x:v>
      </x:c>
      <x:c r="K4" s="9" t="s">
        <x:v>110</x:v>
      </x:c>
      <x:c r="L4" s="9" t="s">
        <x:v>111</x:v>
      </x:c>
      <x:c r="M4" s="9" t="s">
        <x:v>72</x:v>
      </x:c>
      <x:c r="N4" s="10" t="n">
        <x:v>4</x:v>
      </x:c>
      <x:c r="O4" s="9" t="s">
        <x:v>73</x:v>
      </x:c>
      <x:c r="P4" s="9" t="s">
        <x:v>112</x:v>
      </x:c>
      <x:c r="Q4" s="9" t="s">
        <x:v>113</x:v>
      </x:c>
      <x:c r="R4" s="9" t="s">
        <x:v>114</x:v>
      </x:c>
      <x:c r="S4" s="10" t="n">
        <x:v>4</x:v>
      </x:c>
      <x:c r="T4" s="9" t="s">
        <x:v>115</x:v>
      </x:c>
      <x:c r="U4" s="9" t="s">
        <x:v>116</x:v>
      </x:c>
      <x:c r="V4" s="9" t="s">
        <x:v>117</x:v>
      </x:c>
      <x:c r="W4" s="9"/>
      <x:c r="X4" s="1" t="s">
        <x:v>118</x:v>
      </x:c>
      <x:c r="Z4" s="11" t="s">
        <x:v>28</x:v>
      </x:c>
    </x:row>
    <x:row r="5" ht="45" hidden="0" customHeight="1">
      <x:c r="A5" s="9" t="s">
        <x:v>119</x:v>
      </x:c>
      <x:c r="B5" s="9" t="s">
        <x:v>120</x:v>
      </x:c>
      <x:c r="C5" s="9" t="s">
        <x:v>85</x:v>
      </x:c>
      <x:c r="D5" s="9" t="s">
        <x:v>104</x:v>
      </x:c>
      <x:c r="E5" s="9" t="s">
        <x:v>121</x:v>
      </x:c>
      <x:c r="F5" s="9" t="s">
        <x:v>122</x:v>
      </x:c>
      <x:c r="G5" s="9" t="s">
        <x:v>123</x:v>
      </x:c>
      <x:c r="H5" s="9" t="s">
        <x:v>12</x:v>
      </x:c>
      <x:c r="I5" s="9" t="s">
        <x:v>124</x:v>
      </x:c>
      <x:c r="J5" s="9" t="s">
        <x:v>125</x:v>
      </x:c>
      <x:c r="K5" s="9" t="s">
        <x:v>126</x:v>
      </x:c>
      <x:c r="L5" s="9" t="s">
        <x:v>127</x:v>
      </x:c>
      <x:c r="M5" s="9" t="s">
        <x:v>72</x:v>
      </x:c>
      <x:c r="N5" s="10" t="n">
        <x:v>4</x:v>
      </x:c>
      <x:c r="O5" s="9" t="s">
        <x:v>73</x:v>
      </x:c>
      <x:c r="P5" s="9" t="s">
        <x:v>112</x:v>
      </x:c>
      <x:c r="Q5" s="9" t="s">
        <x:v>113</x:v>
      </x:c>
      <x:c r="R5" s="9" t="s">
        <x:v>114</x:v>
      </x:c>
      <x:c r="S5" s="10" t="n">
        <x:v>4</x:v>
      </x:c>
      <x:c r="T5" s="9" t="s">
        <x:v>128</x:v>
      </x:c>
      <x:c r="U5" s="9" t="s">
        <x:v>129</x:v>
      </x:c>
      <x:c r="V5" s="9" t="s">
        <x:v>130</x:v>
      </x:c>
      <x:c r="W5" s="9"/>
      <x:c r="X5" s="1" t="s">
        <x:v>131</x:v>
      </x:c>
      <x:c r="Z5" s="11" t="s">
        <x:v>35</x:v>
      </x:c>
    </x:row>
    <x:row r="6" ht="30" hidden="0" customHeight="1">
      <x:c r="A6" s="9" t="s">
        <x:v>132</x:v>
      </x:c>
      <x:c r="B6" s="9" t="s">
        <x:v>133</x:v>
      </x:c>
      <x:c r="C6" s="9" t="s">
        <x:v>85</x:v>
      </x:c>
      <x:c r="D6" s="9" t="s">
        <x:v>134</x:v>
      </x:c>
      <x:c r="E6" s="9" t="s">
        <x:v>135</x:v>
      </x:c>
      <x:c r="F6" s="9" t="s">
        <x:v>136</x:v>
      </x:c>
      <x:c r="G6" s="9" t="s">
        <x:v>137</x:v>
      </x:c>
      <x:c r="H6" s="9" t="s">
        <x:v>12</x:v>
      </x:c>
      <x:c r="I6" s="9" t="s">
        <x:v>138</x:v>
      </x:c>
      <x:c r="J6" s="9" t="s">
        <x:v>139</x:v>
      </x:c>
      <x:c r="K6" s="9" t="s">
        <x:v>140</x:v>
      </x:c>
      <x:c r="L6" s="9" t="s">
        <x:v>141</x:v>
      </x:c>
      <x:c r="M6" s="9" t="s">
        <x:v>72</x:v>
      </x:c>
      <x:c r="N6" s="10" t="n">
        <x:v>3</x:v>
      </x:c>
      <x:c r="O6" s="9" t="s">
        <x:v>73</x:v>
      </x:c>
      <x:c r="P6" s="9" t="s">
        <x:v>94</x:v>
      </x:c>
      <x:c r="Q6" s="9" t="s">
        <x:v>95</x:v>
      </x:c>
      <x:c r="R6" s="9" t="s">
        <x:v>96</x:v>
      </x:c>
      <x:c r="S6" s="10" t="n">
        <x:v>4</x:v>
      </x:c>
      <x:c r="T6" s="9" t="s">
        <x:v>142</x:v>
      </x:c>
      <x:c r="U6" s="9" t="s">
        <x:v>143</x:v>
      </x:c>
      <x:c r="V6" s="9" t="s">
        <x:v>144</x:v>
      </x:c>
      <x:c r="W6" s="9"/>
      <x:c r="X6" s="1" t="s">
        <x:v>145</x:v>
      </x:c>
      <x:c r="Y6" s="1" t="s">
        <x:v>146</x:v>
      </x:c>
      <x:c r="Z6" s="11" t="s">
        <x:v>30</x:v>
      </x:c>
    </x:row>
    <x:row r="7" ht="30" hidden="0" customHeight="1">
      <x:c r="A7" s="9" t="s">
        <x:v>147</x:v>
      </x:c>
      <x:c r="B7" s="9" t="s">
        <x:v>148</x:v>
      </x:c>
      <x:c r="C7" s="9" t="s">
        <x:v>85</x:v>
      </x:c>
      <x:c r="D7" s="9" t="s">
        <x:v>134</x:v>
      </x:c>
      <x:c r="E7" s="9" t="s">
        <x:v>149</x:v>
      </x:c>
      <x:c r="F7" s="9" t="s">
        <x:v>136</x:v>
      </x:c>
      <x:c r="G7" s="9" t="s">
        <x:v>150</x:v>
      </x:c>
      <x:c r="H7" s="9" t="s">
        <x:v>12</x:v>
      </x:c>
      <x:c r="I7" s="9" t="s">
        <x:v>151</x:v>
      </x:c>
      <x:c r="J7" s="9" t="s">
        <x:v>152</x:v>
      </x:c>
      <x:c r="K7" s="9" t="s">
        <x:v>153</x:v>
      </x:c>
      <x:c r="L7" s="9" t="s">
        <x:v>154</x:v>
      </x:c>
      <x:c r="M7" s="9" t="s">
        <x:v>72</x:v>
      </x:c>
      <x:c r="N7" s="10" t="n">
        <x:v>4</x:v>
      </x:c>
      <x:c r="O7" s="9" t="s">
        <x:v>73</x:v>
      </x:c>
      <x:c r="P7" s="9" t="s">
        <x:v>94</x:v>
      </x:c>
      <x:c r="Q7" s="9" t="s">
        <x:v>95</x:v>
      </x:c>
      <x:c r="R7" s="9" t="s">
        <x:v>96</x:v>
      </x:c>
      <x:c r="S7" s="10" t="n">
        <x:v>3</x:v>
      </x:c>
      <x:c r="T7" s="9" t="s">
        <x:v>155</x:v>
      </x:c>
      <x:c r="U7" s="9" t="s">
        <x:v>156</x:v>
      </x:c>
      <x:c r="V7" s="9" t="s">
        <x:v>157</x:v>
      </x:c>
      <x:c r="W7" s="9" t="s">
        <x:v>158</x:v>
      </x:c>
      <x:c r="X7" s="1" t="s">
        <x:v>159</x:v>
      </x:c>
      <x:c r="Y7" s="1" t="s">
        <x:v>160</x:v>
      </x:c>
      <x:c r="Z7" s="11" t="s">
        <x:v>26</x:v>
      </x:c>
    </x:row>
    <x:row r="8" ht="30" hidden="0" customHeight="1">
      <x:c r="A8" s="9" t="s">
        <x:v>161</x:v>
      </x:c>
      <x:c r="B8" s="9" t="s">
        <x:v>162</x:v>
      </x:c>
      <x:c r="C8" s="9" t="s">
        <x:v>163</x:v>
      </x:c>
      <x:c r="D8" s="9" t="s">
        <x:v>164</x:v>
      </x:c>
      <x:c r="E8" s="9" t="s">
        <x:v>165</x:v>
      </x:c>
      <x:c r="F8" s="9" t="s">
        <x:v>136</x:v>
      </x:c>
      <x:c r="G8" s="9" t="s">
        <x:v>166</x:v>
      </x:c>
      <x:c r="H8" s="9" t="s">
        <x:v>13</x:v>
      </x:c>
      <x:c r="I8" s="9" t="s">
        <x:v>167</x:v>
      </x:c>
      <x:c r="J8" s="9" t="s">
        <x:v>168</x:v>
      </x:c>
      <x:c r="K8" s="9" t="s">
        <x:v>151</x:v>
      </x:c>
      <x:c r="L8" s="9" t="s">
        <x:v>169</x:v>
      </x:c>
      <x:c r="M8" s="9" t="s">
        <x:v>72</x:v>
      </x:c>
      <x:c r="N8" s="10" t="n">
        <x:v>3</x:v>
      </x:c>
      <x:c r="O8" s="9" t="s">
        <x:v>73</x:v>
      </x:c>
      <x:c r="P8" s="9" t="s">
        <x:v>94</x:v>
      </x:c>
      <x:c r="Q8" s="9" t="s">
        <x:v>95</x:v>
      </x:c>
      <x:c r="R8" s="9" t="s">
        <x:v>96</x:v>
      </x:c>
      <x:c r="S8" s="10" t="n">
        <x:v>3</x:v>
      </x:c>
      <x:c r="T8" s="9" t="s">
        <x:v>170</x:v>
      </x:c>
      <x:c r="U8" s="9" t="s">
        <x:v>171</x:v>
      </x:c>
      <x:c r="V8" s="9" t="s">
        <x:v>172</x:v>
      </x:c>
      <x:c r="W8" s="9" t="s">
        <x:v>173</x:v>
      </x:c>
      <x:c r="X8" s="1" t="s">
        <x:v>159</x:v>
      </x:c>
      <x:c r="Z8" s="11" t="s">
        <x:v>28</x:v>
      </x:c>
    </x:row>
    <x:row r="9" ht="45" hidden="0" customHeight="1">
      <x:c r="A9" s="9" t="s">
        <x:v>174</x:v>
      </x:c>
      <x:c r="B9" s="9" t="s">
        <x:v>175</x:v>
      </x:c>
      <x:c r="C9" s="9" t="s">
        <x:v>85</x:v>
      </x:c>
      <x:c r="D9" s="9" t="s">
        <x:v>134</x:v>
      </x:c>
      <x:c r="E9" s="9" t="s">
        <x:v>176</x:v>
      </x:c>
      <x:c r="F9" s="9" t="s">
        <x:v>177</x:v>
      </x:c>
      <x:c r="G9" s="9" t="s">
        <x:v>178</x:v>
      </x:c>
      <x:c r="H9" s="9" t="s">
        <x:v>13</x:v>
      </x:c>
      <x:c r="I9" s="9" t="s">
        <x:v>179</x:v>
      </x:c>
      <x:c r="J9" s="9" t="s">
        <x:v>180</x:v>
      </x:c>
      <x:c r="K9" s="9" t="s">
        <x:v>181</x:v>
      </x:c>
      <x:c r="L9" s="9" t="s">
        <x:v>182</x:v>
      </x:c>
      <x:c r="M9" s="9" t="s">
        <x:v>72</x:v>
      </x:c>
      <x:c r="N9" s="10" t="n">
        <x:v>4</x:v>
      </x:c>
      <x:c r="O9" s="9" t="s">
        <x:v>73</x:v>
      </x:c>
      <x:c r="P9" s="9" t="s">
        <x:v>183</x:v>
      </x:c>
      <x:c r="Q9" s="9" t="s">
        <x:v>184</x:v>
      </x:c>
      <x:c r="R9" s="9" t="s">
        <x:v>185</x:v>
      </x:c>
      <x:c r="S9" s="10" t="n">
        <x:v>4</x:v>
      </x:c>
      <x:c r="T9" s="9" t="s">
        <x:v>186</x:v>
      </x:c>
      <x:c r="U9" s="9" t="s">
        <x:v>187</x:v>
      </x:c>
      <x:c r="V9" s="9" t="s">
        <x:v>188</x:v>
      </x:c>
      <x:c r="W9" s="9"/>
      <x:c r="X9" s="1" t="s">
        <x:v>189</x:v>
      </x:c>
      <x:c r="Z9" s="11" t="s">
        <x:v>28</x:v>
      </x:c>
    </x:row>
    <x:row r="10" ht="30" hidden="0" customHeight="1">
      <x:c r="A10" s="9" t="s">
        <x:v>190</x:v>
      </x:c>
      <x:c r="B10" s="9" t="s">
        <x:v>191</x:v>
      </x:c>
      <x:c r="C10" s="9" t="s">
        <x:v>85</x:v>
      </x:c>
      <x:c r="D10" s="9" t="s">
        <x:v>134</x:v>
      </x:c>
      <x:c r="E10" s="9" t="s">
        <x:v>192</x:v>
      </x:c>
      <x:c r="F10" s="9" t="s">
        <x:v>193</x:v>
      </x:c>
      <x:c r="G10" s="9" t="s">
        <x:v>194</x:v>
      </x:c>
      <x:c r="H10" s="9" t="s">
        <x:v>14</x:v>
      </x:c>
      <x:c r="I10" s="9" t="s">
        <x:v>195</x:v>
      </x:c>
      <x:c r="J10" s="9" t="s">
        <x:v>196</x:v>
      </x:c>
      <x:c r="K10" s="9" t="s">
        <x:v>197</x:v>
      </x:c>
      <x:c r="L10" s="9" t="s">
        <x:v>198</x:v>
      </x:c>
      <x:c r="M10" s="9" t="s">
        <x:v>199</x:v>
      </x:c>
      <x:c r="N10" s="10" t="n">
        <x:v>5</x:v>
      </x:c>
      <x:c r="O10" s="9" t="s">
        <x:v>200</x:v>
      </x:c>
      <x:c r="P10" s="9" t="s">
        <x:v>201</x:v>
      </x:c>
      <x:c r="Q10" s="9" t="s">
        <x:v>202</x:v>
      </x:c>
      <x:c r="R10" s="9" t="s">
        <x:v>203</x:v>
      </x:c>
      <x:c r="S10" s="10" t="n">
        <x:v>5</x:v>
      </x:c>
      <x:c r="T10" s="9" t="s">
        <x:v>204</x:v>
      </x:c>
      <x:c r="U10" s="9" t="s">
        <x:v>205</x:v>
      </x:c>
      <x:c r="V10" s="9" t="s">
        <x:v>206</x:v>
      </x:c>
      <x:c r="W10" s="9"/>
      <x:c r="X10" s="1" t="s">
        <x:v>207</x:v>
      </x:c>
      <x:c r="Z10" s="11" t="s">
        <x:v>26</x:v>
      </x:c>
    </x:row>
    <x:row r="11" ht="45" hidden="0" customHeight="1">
      <x:c r="A11" s="9" t="s">
        <x:v>208</x:v>
      </x:c>
      <x:c r="B11" s="9" t="s">
        <x:v>209</x:v>
      </x:c>
      <x:c r="C11" s="9" t="s">
        <x:v>85</x:v>
      </x:c>
      <x:c r="D11" s="9" t="s">
        <x:v>210</x:v>
      </x:c>
      <x:c r="E11" s="9" t="s">
        <x:v>211</x:v>
      </x:c>
      <x:c r="F11" s="9" t="s">
        <x:v>212</x:v>
      </x:c>
      <x:c r="G11" s="9" t="s">
        <x:v>213</x:v>
      </x:c>
      <x:c r="H11" s="9" t="s">
        <x:v>14</x:v>
      </x:c>
      <x:c r="I11" s="9" t="s">
        <x:v>214</x:v>
      </x:c>
      <x:c r="J11" s="9" t="s">
        <x:v>215</x:v>
      </x:c>
      <x:c r="K11" s="9" t="s">
        <x:v>216</x:v>
      </x:c>
      <x:c r="L11" s="9" t="s">
        <x:v>217</x:v>
      </x:c>
      <x:c r="M11" s="9" t="s">
        <x:v>199</x:v>
      </x:c>
      <x:c r="N11" s="10" t="n">
        <x:v>4</x:v>
      </x:c>
      <x:c r="O11" s="9" t="s">
        <x:v>200</x:v>
      </x:c>
      <x:c r="P11" s="9" t="s">
        <x:v>218</x:v>
      </x:c>
      <x:c r="Q11" s="9" t="s">
        <x:v>219</x:v>
      </x:c>
      <x:c r="R11" s="9" t="s">
        <x:v>220</x:v>
      </x:c>
      <x:c r="S11" s="10" t="n">
        <x:v>4</x:v>
      </x:c>
      <x:c r="T11" s="9" t="s">
        <x:v>221</x:v>
      </x:c>
      <x:c r="U11" s="9" t="s">
        <x:v>222</x:v>
      </x:c>
      <x:c r="V11" s="9" t="s">
        <x:v>223</x:v>
      </x:c>
      <x:c r="W11" s="9" t="s">
        <x:v>224</x:v>
      </x:c>
      <x:c r="X11" s="1" t="s">
        <x:v>225</x:v>
      </x:c>
      <x:c r="Y11" s="1" t="s">
        <x:v>226</x:v>
      </x:c>
      <x:c r="Z11" s="11" t="s">
        <x:v>26</x:v>
      </x:c>
    </x:row>
    <x:row r="12" ht="30" hidden="0" customHeight="1">
      <x:c r="A12" s="9" t="s">
        <x:v>227</x:v>
      </x:c>
      <x:c r="B12" s="9" t="s">
        <x:v>228</x:v>
      </x:c>
      <x:c r="C12" s="9" t="s">
        <x:v>163</x:v>
      </x:c>
      <x:c r="D12" s="9" t="s">
        <x:v>229</x:v>
      </x:c>
      <x:c r="E12" s="9" t="s">
        <x:v>230</x:v>
      </x:c>
      <x:c r="F12" s="9" t="s">
        <x:v>231</x:v>
      </x:c>
      <x:c r="G12" s="9" t="s">
        <x:v>232</x:v>
      </x:c>
      <x:c r="H12" s="9" t="s">
        <x:v>14</x:v>
      </x:c>
      <x:c r="I12" s="9" t="s">
        <x:v>233</x:v>
      </x:c>
      <x:c r="J12" s="9" t="s">
        <x:v>234</x:v>
      </x:c>
      <x:c r="K12" s="9" t="s">
        <x:v>235</x:v>
      </x:c>
      <x:c r="L12" s="9" t="s">
        <x:v>236</x:v>
      </x:c>
      <x:c r="M12" s="9" t="s">
        <x:v>237</x:v>
      </x:c>
      <x:c r="N12" s="10" t="n">
        <x:v>4</x:v>
      </x:c>
      <x:c r="O12" s="9" t="s">
        <x:v>200</x:v>
      </x:c>
      <x:c r="P12" s="9" t="s">
        <x:v>238</x:v>
      </x:c>
      <x:c r="Q12" s="9" t="s">
        <x:v>239</x:v>
      </x:c>
      <x:c r="R12" s="9" t="s">
        <x:v>240</x:v>
      </x:c>
      <x:c r="S12" s="10" t="n">
        <x:v>4</x:v>
      </x:c>
      <x:c r="T12" s="9" t="s">
        <x:v>241</x:v>
      </x:c>
      <x:c r="U12" s="9" t="s">
        <x:v>242</x:v>
      </x:c>
      <x:c r="V12" s="9" t="s">
        <x:v>243</x:v>
      </x:c>
      <x:c r="W12" s="9"/>
      <x:c r="X12" s="1" t="s">
        <x:v>244</x:v>
      </x:c>
      <x:c r="Y12" s="1" t="s">
        <x:v>245</x:v>
      </x:c>
      <x:c r="Z12" s="11" t="s">
        <x:v>27</x:v>
      </x:c>
    </x:row>
    <x:row r="13" ht="30" hidden="0" customHeight="1">
      <x:c r="A13" s="9" t="s">
        <x:v>246</x:v>
      </x:c>
      <x:c r="B13" s="9" t="s">
        <x:v>247</x:v>
      </x:c>
      <x:c r="C13" s="9" t="s">
        <x:v>85</x:v>
      </x:c>
      <x:c r="D13" s="9" t="s">
        <x:v>229</x:v>
      </x:c>
      <x:c r="E13" s="9" t="s">
        <x:v>248</x:v>
      </x:c>
      <x:c r="F13" s="9" t="s">
        <x:v>249</x:v>
      </x:c>
      <x:c r="G13" s="9" t="s">
        <x:v>250</x:v>
      </x:c>
      <x:c r="H13" s="9" t="s">
        <x:v>14</x:v>
      </x:c>
      <x:c r="I13" s="9" t="s">
        <x:v>251</x:v>
      </x:c>
      <x:c r="J13" s="9" t="s">
        <x:v>252</x:v>
      </x:c>
      <x:c r="K13" s="9" t="s">
        <x:v>253</x:v>
      </x:c>
      <x:c r="L13" s="9" t="s">
        <x:v>254</x:v>
      </x:c>
      <x:c r="M13" s="9" t="s">
        <x:v>237</x:v>
      </x:c>
      <x:c r="N13" s="10" t="n">
        <x:v>4</x:v>
      </x:c>
      <x:c r="O13" s="9" t="s">
        <x:v>200</x:v>
      </x:c>
      <x:c r="P13" s="9" t="s">
        <x:v>255</x:v>
      </x:c>
      <x:c r="Q13" s="9" t="s">
        <x:v>256</x:v>
      </x:c>
      <x:c r="R13" s="9" t="s">
        <x:v>257</x:v>
      </x:c>
      <x:c r="S13" s="10" t="n">
        <x:v>4</x:v>
      </x:c>
      <x:c r="T13" s="9" t="s">
        <x:v>258</x:v>
      </x:c>
      <x:c r="U13" s="9" t="s">
        <x:v>259</x:v>
      </x:c>
      <x:c r="V13" s="9" t="s">
        <x:v>260</x:v>
      </x:c>
      <x:c r="W13" s="9" t="s">
        <x:v>261</x:v>
      </x:c>
      <x:c r="X13" s="1" t="s">
        <x:v>262</x:v>
      </x:c>
      <x:c r="Y13" s="1" t="s">
        <x:v>263</x:v>
      </x:c>
      <x:c r="Z13" s="11" t="s">
        <x:v>29</x:v>
      </x:c>
    </x:row>
    <x:row r="14" ht="30" hidden="0" customHeight="1">
      <x:c r="A14" s="9" t="s">
        <x:v>264</x:v>
      </x:c>
      <x:c r="B14" s="9" t="s">
        <x:v>265</x:v>
      </x:c>
      <x:c r="C14" s="9" t="s">
        <x:v>63</x:v>
      </x:c>
      <x:c r="D14" s="9" t="s">
        <x:v>229</x:v>
      </x:c>
      <x:c r="E14" s="9" t="s">
        <x:v>266</x:v>
      </x:c>
      <x:c r="F14" s="9" t="s">
        <x:v>267</x:v>
      </x:c>
      <x:c r="G14" s="9" t="s">
        <x:v>268</x:v>
      </x:c>
      <x:c r="H14" s="9" t="s">
        <x:v>13</x:v>
      </x:c>
      <x:c r="I14" s="9" t="s">
        <x:v>269</x:v>
      </x:c>
      <x:c r="J14" s="9" t="s">
        <x:v>270</x:v>
      </x:c>
      <x:c r="K14" s="9" t="s">
        <x:v>271</x:v>
      </x:c>
      <x:c r="L14" s="9" t="s">
        <x:v>272</x:v>
      </x:c>
      <x:c r="M14" s="9" t="s">
        <x:v>72</x:v>
      </x:c>
      <x:c r="N14" s="10" t="n">
        <x:v>3</x:v>
      </x:c>
      <x:c r="O14" s="9" t="s">
        <x:v>273</x:v>
      </x:c>
      <x:c r="P14" s="9" t="s">
        <x:v>274</x:v>
      </x:c>
      <x:c r="Q14" s="9" t="s">
        <x:v>275</x:v>
      </x:c>
      <x:c r="R14" s="9" t="s">
        <x:v>276</x:v>
      </x:c>
      <x:c r="S14" s="10" t="n">
        <x:v>5</x:v>
      </x:c>
      <x:c r="T14" s="9" t="s">
        <x:v>277</x:v>
      </x:c>
      <x:c r="U14" s="9" t="s">
        <x:v>278</x:v>
      </x:c>
      <x:c r="V14" s="9" t="s">
        <x:v>279</x:v>
      </x:c>
      <x:c r="W14" s="9"/>
      <x:c r="X14" s="1" t="s">
        <x:v>262</x:v>
      </x:c>
      <x:c r="Z14" s="11" t="s">
        <x:v>28</x:v>
      </x:c>
    </x:row>
    <x:row r="15" ht="30" hidden="0" customHeight="1">
      <x:c r="A15" s="9" t="s">
        <x:v>280</x:v>
      </x:c>
      <x:c r="B15" s="9" t="s">
        <x:v>281</x:v>
      </x:c>
      <x:c r="C15" s="9" t="s">
        <x:v>85</x:v>
      </x:c>
      <x:c r="D15" s="9" t="s">
        <x:v>282</x:v>
      </x:c>
      <x:c r="E15" s="9" t="s">
        <x:v>283</x:v>
      </x:c>
      <x:c r="F15" s="9" t="s">
        <x:v>284</x:v>
      </x:c>
      <x:c r="G15" s="9" t="s">
        <x:v>285</x:v>
      </x:c>
      <x:c r="H15" s="9" t="s">
        <x:v>15</x:v>
      </x:c>
      <x:c r="I15" s="9" t="s">
        <x:v>286</x:v>
      </x:c>
      <x:c r="J15" s="9" t="s">
        <x:v>287</x:v>
      </x:c>
      <x:c r="K15" s="9" t="s">
        <x:v>288</x:v>
      </x:c>
      <x:c r="L15" s="9" t="s">
        <x:v>289</x:v>
      </x:c>
      <x:c r="M15" s="9" t="s">
        <x:v>290</x:v>
      </x:c>
      <x:c r="N15" s="10" t="n">
        <x:v>5</x:v>
      </x:c>
      <x:c r="O15" s="9" t="s">
        <x:v>200</x:v>
      </x:c>
      <x:c r="P15" s="9" t="s">
        <x:v>291</x:v>
      </x:c>
      <x:c r="Q15" s="9" t="s">
        <x:v>292</x:v>
      </x:c>
      <x:c r="R15" s="9" t="s">
        <x:v>293</x:v>
      </x:c>
      <x:c r="S15" s="10" t="n">
        <x:v>4</x:v>
      </x:c>
      <x:c r="T15" s="9" t="s">
        <x:v>294</x:v>
      </x:c>
      <x:c r="U15" s="9" t="s">
        <x:v>295</x:v>
      </x:c>
      <x:c r="V15" s="9" t="s">
        <x:v>296</x:v>
      </x:c>
      <x:c r="W15" s="9"/>
      <x:c r="X15" s="1" t="s">
        <x:v>297</x:v>
      </x:c>
      <x:c r="Y15" s="1" t="s">
        <x:v>298</x:v>
      </x:c>
      <x:c r="Z15" s="11" t="s">
        <x:v>27</x:v>
      </x:c>
    </x:row>
    <x:row r="16" ht="45" hidden="0" customHeight="1">
      <x:c r="A16" s="9" t="s">
        <x:v>299</x:v>
      </x:c>
      <x:c r="B16" s="9" t="s">
        <x:v>300</x:v>
      </x:c>
      <x:c r="C16" s="9" t="s">
        <x:v>63</x:v>
      </x:c>
      <x:c r="D16" s="9" t="s">
        <x:v>282</x:v>
      </x:c>
      <x:c r="E16" s="9" t="s">
        <x:v>283</x:v>
      </x:c>
      <x:c r="F16" s="9" t="s">
        <x:v>284</x:v>
      </x:c>
      <x:c r="G16" s="9" t="s">
        <x:v>301</x:v>
      </x:c>
      <x:c r="H16" s="9" t="s">
        <x:v>15</x:v>
      </x:c>
      <x:c r="I16" s="9" t="s">
        <x:v>302</x:v>
      </x:c>
      <x:c r="J16" s="9" t="s">
        <x:v>303</x:v>
      </x:c>
      <x:c r="K16" s="9" t="s">
        <x:v>304</x:v>
      </x:c>
      <x:c r="L16" s="9" t="s">
        <x:v>305</x:v>
      </x:c>
      <x:c r="M16" s="9" t="s">
        <x:v>290</x:v>
      </x:c>
      <x:c r="N16" s="10" t="n">
        <x:v>4</x:v>
      </x:c>
      <x:c r="O16" s="9" t="s">
        <x:v>200</x:v>
      </x:c>
      <x:c r="P16" s="9" t="s">
        <x:v>306</x:v>
      </x:c>
      <x:c r="Q16" s="9" t="s">
        <x:v>307</x:v>
      </x:c>
      <x:c r="R16" s="9" t="s">
        <x:v>308</x:v>
      </x:c>
      <x:c r="S16" s="10" t="n">
        <x:v>4</x:v>
      </x:c>
      <x:c r="T16" s="9" t="s">
        <x:v>309</x:v>
      </x:c>
      <x:c r="U16" s="9" t="s">
        <x:v>310</x:v>
      </x:c>
      <x:c r="V16" s="9" t="s">
        <x:v>311</x:v>
      </x:c>
      <x:c r="W16" s="9" t="s">
        <x:v>312</x:v>
      </x:c>
      <x:c r="X16" s="1" t="s">
        <x:v>297</x:v>
      </x:c>
      <x:c r="Z16" s="11" t="s">
        <x:v>27</x:v>
      </x:c>
    </x:row>
    <x:row r="17" ht="45" hidden="0" customHeight="1">
      <x:c r="A17" s="9" t="s">
        <x:v>313</x:v>
      </x:c>
      <x:c r="B17" s="9" t="s">
        <x:v>314</x:v>
      </x:c>
      <x:c r="C17" s="9" t="s">
        <x:v>315</x:v>
      </x:c>
      <x:c r="D17" s="9" t="s">
        <x:v>282</x:v>
      </x:c>
      <x:c r="E17" s="9" t="s">
        <x:v>316</x:v>
      </x:c>
      <x:c r="F17" s="9" t="s">
        <x:v>284</x:v>
      </x:c>
      <x:c r="G17" s="9" t="s">
        <x:v>317</x:v>
      </x:c>
      <x:c r="H17" s="9" t="s">
        <x:v>15</x:v>
      </x:c>
      <x:c r="I17" s="9" t="s">
        <x:v>318</x:v>
      </x:c>
      <x:c r="J17" s="9" t="s">
        <x:v>319</x:v>
      </x:c>
      <x:c r="K17" s="9" t="s">
        <x:v>320</x:v>
      </x:c>
      <x:c r="L17" s="9" t="s">
        <x:v>321</x:v>
      </x:c>
      <x:c r="M17" s="9" t="s">
        <x:v>322</x:v>
      </x:c>
      <x:c r="N17" s="10" t="n">
        <x:v>5</x:v>
      </x:c>
      <x:c r="O17" s="9" t="s">
        <x:v>200</x:v>
      </x:c>
      <x:c r="P17" s="9" t="s">
        <x:v>306</x:v>
      </x:c>
      <x:c r="Q17" s="9" t="s">
        <x:v>307</x:v>
      </x:c>
      <x:c r="R17" s="9" t="s">
        <x:v>308</x:v>
      </x:c>
      <x:c r="S17" s="10" t="n">
        <x:v>5</x:v>
      </x:c>
      <x:c r="T17" s="9" t="s">
        <x:v>323</x:v>
      </x:c>
      <x:c r="U17" s="9" t="s">
        <x:v>324</x:v>
      </x:c>
      <x:c r="V17" s="9" t="s">
        <x:v>325</x:v>
      </x:c>
      <x:c r="W17" s="9" t="s">
        <x:v>326</x:v>
      </x:c>
      <x:c r="X17" s="1" t="s">
        <x:v>297</x:v>
      </x:c>
      <x:c r="Y17" s="1" t="s">
        <x:v>327</x:v>
      </x:c>
      <x:c r="Z17" s="11" t="s">
        <x:v>36</x:v>
      </x:c>
      <x:c r="AA17" s="1" t="s">
        <x:v>82</x:v>
      </x:c>
    </x:row>
    <x:row r="18" ht="30" hidden="0" customHeight="1">
      <x:c r="A18" s="9" t="s">
        <x:v>328</x:v>
      </x:c>
      <x:c r="B18" s="9" t="s">
        <x:v>329</x:v>
      </x:c>
      <x:c r="C18" s="9" t="s">
        <x:v>85</x:v>
      </x:c>
      <x:c r="D18" s="9" t="s">
        <x:v>282</x:v>
      </x:c>
      <x:c r="E18" s="9" t="s">
        <x:v>330</x:v>
      </x:c>
      <x:c r="F18" s="9" t="s">
        <x:v>331</x:v>
      </x:c>
      <x:c r="G18" s="9" t="s">
        <x:v>332</x:v>
      </x:c>
      <x:c r="H18" s="9" t="s">
        <x:v>16</x:v>
      </x:c>
      <x:c r="I18" s="9" t="s">
        <x:v>333</x:v>
      </x:c>
      <x:c r="J18" s="9" t="s">
        <x:v>334</x:v>
      </x:c>
      <x:c r="K18" s="9" t="s">
        <x:v>335</x:v>
      </x:c>
      <x:c r="L18" s="9" t="s">
        <x:v>336</x:v>
      </x:c>
      <x:c r="M18" s="9" t="s">
        <x:v>322</x:v>
      </x:c>
      <x:c r="N18" s="10" t="n">
        <x:v>4</x:v>
      </x:c>
      <x:c r="O18" s="9" t="s">
        <x:v>337</x:v>
      </x:c>
      <x:c r="P18" s="9" t="s">
        <x:v>306</x:v>
      </x:c>
      <x:c r="Q18" s="9" t="s">
        <x:v>307</x:v>
      </x:c>
      <x:c r="R18" s="9" t="s">
        <x:v>308</x:v>
      </x:c>
      <x:c r="S18" s="10" t="n">
        <x:v>5</x:v>
      </x:c>
      <x:c r="T18" s="9" t="s">
        <x:v>338</x:v>
      </x:c>
      <x:c r="U18" s="9" t="s">
        <x:v>339</x:v>
      </x:c>
      <x:c r="V18" s="9" t="s">
        <x:v>340</x:v>
      </x:c>
      <x:c r="W18" s="9"/>
      <x:c r="X18" s="1" t="s">
        <x:v>341</x:v>
      </x:c>
      <x:c r="Y18" s="1" t="s">
        <x:v>342</x:v>
      </x:c>
      <x:c r="Z18" s="11" t="s">
        <x:v>31</x:v>
      </x:c>
    </x:row>
    <x:row r="19" ht="30" hidden="0" customHeight="1">
      <x:c r="A19" s="9" t="s">
        <x:v>343</x:v>
      </x:c>
      <x:c r="B19" s="9" t="s">
        <x:v>344</x:v>
      </x:c>
      <x:c r="C19" s="9" t="s">
        <x:v>85</x:v>
      </x:c>
      <x:c r="D19" s="9" t="s">
        <x:v>282</x:v>
      </x:c>
      <x:c r="E19" s="9" t="s">
        <x:v>345</x:v>
      </x:c>
      <x:c r="F19" s="9" t="s">
        <x:v>346</x:v>
      </x:c>
      <x:c r="G19" s="9" t="s">
        <x:v>347</x:v>
      </x:c>
      <x:c r="H19" s="9" t="s">
        <x:v>16</x:v>
      </x:c>
      <x:c r="I19" s="9" t="s">
        <x:v>348</x:v>
      </x:c>
      <x:c r="J19" s="9" t="s">
        <x:v>349</x:v>
      </x:c>
      <x:c r="K19" s="9" t="s">
        <x:v>350</x:v>
      </x:c>
      <x:c r="L19" s="9" t="s">
        <x:v>351</x:v>
      </x:c>
      <x:c r="M19" s="9" t="s">
        <x:v>322</x:v>
      </x:c>
      <x:c r="N19" s="10" t="n">
        <x:v>3</x:v>
      </x:c>
      <x:c r="O19" s="9" t="s">
        <x:v>337</x:v>
      </x:c>
      <x:c r="P19" s="9" t="s">
        <x:v>306</x:v>
      </x:c>
      <x:c r="Q19" s="9" t="s">
        <x:v>307</x:v>
      </x:c>
      <x:c r="R19" s="9" t="s">
        <x:v>308</x:v>
      </x:c>
      <x:c r="S19" s="10" t="n">
        <x:v>4</x:v>
      </x:c>
      <x:c r="T19" s="9" t="s">
        <x:v>352</x:v>
      </x:c>
      <x:c r="U19" s="9" t="s">
        <x:v>353</x:v>
      </x:c>
      <x:c r="V19" s="9" t="s">
        <x:v>354</x:v>
      </x:c>
      <x:c r="W19" s="9"/>
      <x:c r="X19" s="1" t="s">
        <x:v>297</x:v>
      </x:c>
      <x:c r="Y19" s="1" t="s">
        <x:v>342</x:v>
      </x:c>
      <x:c r="Z19" s="11" t="s">
        <x:v>31</x:v>
      </x:c>
    </x:row>
    <x:row r="20" ht="30" hidden="0" customHeight="1">
      <x:c r="A20" s="9" t="s">
        <x:v>355</x:v>
      </x:c>
      <x:c r="B20" s="9" t="s">
        <x:v>356</x:v>
      </x:c>
      <x:c r="C20" s="9" t="s">
        <x:v>85</x:v>
      </x:c>
      <x:c r="D20" s="9" t="s">
        <x:v>229</x:v>
      </x:c>
      <x:c r="E20" s="9" t="s">
        <x:v>357</x:v>
      </x:c>
      <x:c r="F20" s="9" t="s">
        <x:v>358</x:v>
      </x:c>
      <x:c r="G20" s="9" t="s">
        <x:v>359</x:v>
      </x:c>
      <x:c r="H20" s="9" t="s">
        <x:v>17</x:v>
      </x:c>
      <x:c r="I20" s="9" t="s">
        <x:v>360</x:v>
      </x:c>
      <x:c r="J20" s="9" t="s">
        <x:v>361</x:v>
      </x:c>
      <x:c r="K20" s="9" t="s">
        <x:v>362</x:v>
      </x:c>
      <x:c r="L20" s="9" t="s">
        <x:v>363</x:v>
      </x:c>
      <x:c r="M20" s="9" t="s">
        <x:v>322</x:v>
      </x:c>
      <x:c r="N20" s="10" t="n">
        <x:v>5</x:v>
      </x:c>
      <x:c r="O20" s="9" t="s">
        <x:v>364</x:v>
      </x:c>
      <x:c r="P20" s="9" t="s">
        <x:v>365</x:v>
      </x:c>
      <x:c r="Q20" s="9" t="s">
        <x:v>366</x:v>
      </x:c>
      <x:c r="R20" s="9" t="s">
        <x:v>367</x:v>
      </x:c>
      <x:c r="S20" s="10" t="n">
        <x:v>4</x:v>
      </x:c>
      <x:c r="T20" s="9" t="s">
        <x:v>368</x:v>
      </x:c>
      <x:c r="U20" s="9" t="s">
        <x:v>369</x:v>
      </x:c>
      <x:c r="V20" s="9" t="s">
        <x:v>370</x:v>
      </x:c>
      <x:c r="W20" s="9"/>
      <x:c r="X20" s="1" t="s">
        <x:v>371</x:v>
      </x:c>
      <x:c r="Z20" s="11" t="s">
        <x:v>27</x:v>
      </x:c>
    </x:row>
    <x:row r="21" ht="30" hidden="0" customHeight="1">
      <x:c r="A21" s="9" t="s">
        <x:v>372</x:v>
      </x:c>
      <x:c r="B21" s="9" t="s">
        <x:v>373</x:v>
      </x:c>
      <x:c r="C21" s="9" t="s">
        <x:v>85</x:v>
      </x:c>
      <x:c r="D21" s="9" t="s">
        <x:v>229</x:v>
      </x:c>
      <x:c r="E21" s="9" t="s">
        <x:v>357</x:v>
      </x:c>
      <x:c r="F21" s="9" t="s">
        <x:v>358</x:v>
      </x:c>
      <x:c r="G21" s="9" t="s">
        <x:v>374</x:v>
      </x:c>
      <x:c r="H21" s="9" t="s">
        <x:v>18</x:v>
      </x:c>
      <x:c r="I21" s="9" t="s">
        <x:v>375</x:v>
      </x:c>
      <x:c r="J21" s="9" t="s">
        <x:v>376</x:v>
      </x:c>
      <x:c r="K21" s="9" t="s">
        <x:v>377</x:v>
      </x:c>
      <x:c r="L21" s="9" t="s">
        <x:v>378</x:v>
      </x:c>
      <x:c r="M21" s="9" t="s">
        <x:v>322</x:v>
      </x:c>
      <x:c r="N21" s="10" t="n">
        <x:v>4</x:v>
      </x:c>
      <x:c r="O21" s="9" t="s">
        <x:v>364</x:v>
      </x:c>
      <x:c r="P21" s="9" t="s">
        <x:v>379</x:v>
      </x:c>
      <x:c r="Q21" s="9" t="s">
        <x:v>380</x:v>
      </x:c>
      <x:c r="R21" s="9" t="s">
        <x:v>381</x:v>
      </x:c>
      <x:c r="S21" s="10" t="n">
        <x:v>4</x:v>
      </x:c>
      <x:c r="T21" s="9" t="s">
        <x:v>382</x:v>
      </x:c>
      <x:c r="U21" s="9" t="s">
        <x:v>383</x:v>
      </x:c>
      <x:c r="V21" s="9" t="s">
        <x:v>384</x:v>
      </x:c>
      <x:c r="W21" s="9" t="s">
        <x:v>385</x:v>
      </x:c>
      <x:c r="X21" s="1" t="s">
        <x:v>371</x:v>
      </x:c>
      <x:c r="Z21" s="11" t="s">
        <x:v>27</x:v>
      </x:c>
    </x:row>
    <x:row r="22" ht="45" hidden="0" customHeight="1">
      <x:c r="A22" s="9" t="s">
        <x:v>386</x:v>
      </x:c>
      <x:c r="B22" s="9" t="s">
        <x:v>387</x:v>
      </x:c>
      <x:c r="C22" s="9" t="s">
        <x:v>85</x:v>
      </x:c>
      <x:c r="D22" s="9" t="s">
        <x:v>282</x:v>
      </x:c>
      <x:c r="E22" s="9" t="s">
        <x:v>388</x:v>
      </x:c>
      <x:c r="F22" s="9" t="s">
        <x:v>389</x:v>
      </x:c>
      <x:c r="G22" s="9" t="s">
        <x:v>390</x:v>
      </x:c>
      <x:c r="H22" s="9" t="s">
        <x:v>16</x:v>
      </x:c>
      <x:c r="I22" s="9" t="s">
        <x:v>391</x:v>
      </x:c>
      <x:c r="J22" s="9" t="s">
        <x:v>392</x:v>
      </x:c>
      <x:c r="K22" s="9" t="s">
        <x:v>393</x:v>
      </x:c>
      <x:c r="L22" s="9" t="s">
        <x:v>394</x:v>
      </x:c>
      <x:c r="M22" s="9" t="s">
        <x:v>395</x:v>
      </x:c>
      <x:c r="N22" s="10" t="n">
        <x:v>4</x:v>
      </x:c>
      <x:c r="O22" s="9" t="s">
        <x:v>337</x:v>
      </x:c>
      <x:c r="P22" s="9" t="s">
        <x:v>396</x:v>
      </x:c>
      <x:c r="Q22" s="9" t="s">
        <x:v>397</x:v>
      </x:c>
      <x:c r="R22" s="9" t="s">
        <x:v>398</x:v>
      </x:c>
      <x:c r="S22" s="10" t="n">
        <x:v>3</x:v>
      </x:c>
      <x:c r="T22" s="9" t="s">
        <x:v>399</x:v>
      </x:c>
      <x:c r="U22" s="9" t="s">
        <x:v>400</x:v>
      </x:c>
      <x:c r="V22" s="9" t="s">
        <x:v>401</x:v>
      </x:c>
      <x:c r="W22" s="9" t="s">
        <x:v>402</x:v>
      </x:c>
      <x:c r="X22" s="1" t="s">
        <x:v>341</x:v>
      </x:c>
      <x:c r="Z22" s="11" t="s">
        <x:v>27</x:v>
      </x:c>
      <x:c r="AA22" s="1" t="s">
        <x:v>82</x:v>
      </x:c>
    </x:row>
    <x:row r="23" ht="30" hidden="0" customHeight="1">
      <x:c r="A23" s="9" t="s">
        <x:v>403</x:v>
      </x:c>
      <x:c r="B23" s="9" t="s">
        <x:v>404</x:v>
      </x:c>
      <x:c r="C23" s="9" t="s">
        <x:v>405</x:v>
      </x:c>
      <x:c r="D23" s="9" t="s">
        <x:v>282</x:v>
      </x:c>
      <x:c r="E23" s="9" t="s">
        <x:v>388</x:v>
      </x:c>
      <x:c r="F23" s="9" t="s">
        <x:v>406</x:v>
      </x:c>
      <x:c r="G23" s="9" t="s">
        <x:v>407</x:v>
      </x:c>
      <x:c r="H23" s="9" t="s">
        <x:v>16</x:v>
      </x:c>
      <x:c r="I23" s="9" t="s">
        <x:v>408</x:v>
      </x:c>
      <x:c r="J23" s="9" t="s">
        <x:v>409</x:v>
      </x:c>
      <x:c r="K23" s="9" t="s">
        <x:v>410</x:v>
      </x:c>
      <x:c r="L23" s="9" t="s">
        <x:v>411</x:v>
      </x:c>
      <x:c r="M23" s="9" t="s">
        <x:v>412</x:v>
      </x:c>
      <x:c r="N23" s="10" t="n">
        <x:v>5</x:v>
      </x:c>
      <x:c r="O23" s="9" t="s">
        <x:v>337</x:v>
      </x:c>
      <x:c r="P23" s="9" t="s">
        <x:v>396</x:v>
      </x:c>
      <x:c r="Q23" s="9" t="s">
        <x:v>397</x:v>
      </x:c>
      <x:c r="R23" s="9" t="s">
        <x:v>398</x:v>
      </x:c>
      <x:c r="S23" s="10" t="n">
        <x:v>5</x:v>
      </x:c>
      <x:c r="T23" s="9" t="s">
        <x:v>413</x:v>
      </x:c>
      <x:c r="U23" s="9" t="s">
        <x:v>414</x:v>
      </x:c>
      <x:c r="V23" s="9" t="s">
        <x:v>415</x:v>
      </x:c>
      <x:c r="W23" s="9"/>
      <x:c r="X23" s="1" t="s">
        <x:v>341</x:v>
      </x:c>
      <x:c r="Y23" s="1" t="s">
        <x:v>416</x:v>
      </x:c>
      <x:c r="Z23" s="11" t="s">
        <x:v>29</x:v>
      </x:c>
    </x:row>
    <x:row r="24" ht="30" hidden="0" customHeight="1">
      <x:c r="A24" s="9" t="s">
        <x:v>417</x:v>
      </x:c>
      <x:c r="B24" s="9" t="s">
        <x:v>418</x:v>
      </x:c>
      <x:c r="C24" s="9" t="s">
        <x:v>405</x:v>
      </x:c>
      <x:c r="D24" s="9" t="s">
        <x:v>282</x:v>
      </x:c>
      <x:c r="E24" s="9" t="s">
        <x:v>388</x:v>
      </x:c>
      <x:c r="F24" s="9" t="s">
        <x:v>419</x:v>
      </x:c>
      <x:c r="G24" s="9" t="s">
        <x:v>420</x:v>
      </x:c>
      <x:c r="H24" s="9" t="s">
        <x:v>16</x:v>
      </x:c>
      <x:c r="I24" s="9" t="s">
        <x:v>408</x:v>
      </x:c>
      <x:c r="J24" s="9" t="s">
        <x:v>421</x:v>
      </x:c>
      <x:c r="K24" s="9" t="s">
        <x:v>422</x:v>
      </x:c>
      <x:c r="L24" s="9" t="s">
        <x:v>423</x:v>
      </x:c>
      <x:c r="M24" s="9" t="s">
        <x:v>412</x:v>
      </x:c>
      <x:c r="N24" s="10" t="n">
        <x:v>5</x:v>
      </x:c>
      <x:c r="O24" s="9" t="s">
        <x:v>337</x:v>
      </x:c>
      <x:c r="P24" s="9" t="s">
        <x:v>424</x:v>
      </x:c>
      <x:c r="Q24" s="9" t="s">
        <x:v>425</x:v>
      </x:c>
      <x:c r="R24" s="9" t="s">
        <x:v>426</x:v>
      </x:c>
      <x:c r="S24" s="10" t="n">
        <x:v>5</x:v>
      </x:c>
      <x:c r="T24" s="9" t="s">
        <x:v>427</x:v>
      </x:c>
      <x:c r="U24" s="9" t="s">
        <x:v>428</x:v>
      </x:c>
      <x:c r="V24" s="9" t="s">
        <x:v>429</x:v>
      </x:c>
      <x:c r="W24" s="9"/>
      <x:c r="X24" s="1" t="s">
        <x:v>341</x:v>
      </x:c>
      <x:c r="Y24" s="1" t="s">
        <x:v>430</x:v>
      </x:c>
      <x:c r="Z24" s="11" t="s">
        <x:v>29</x:v>
      </x:c>
    </x:row>
    <x:row r="25" ht="45" hidden="0" customHeight="1">
      <x:c r="A25" s="9" t="s">
        <x:v>431</x:v>
      </x:c>
      <x:c r="B25" s="9" t="s">
        <x:v>432</x:v>
      </x:c>
      <x:c r="C25" s="9" t="s">
        <x:v>85</x:v>
      </x:c>
      <x:c r="D25" s="9" t="s">
        <x:v>229</x:v>
      </x:c>
      <x:c r="E25" s="9" t="s">
        <x:v>266</x:v>
      </x:c>
      <x:c r="F25" s="9" t="s">
        <x:v>358</x:v>
      </x:c>
      <x:c r="G25" s="9" t="s">
        <x:v>433</x:v>
      </x:c>
      <x:c r="H25" s="9" t="s">
        <x:v>17</x:v>
      </x:c>
      <x:c r="I25" s="9" t="s">
        <x:v>360</x:v>
      </x:c>
      <x:c r="J25" s="9" t="s">
        <x:v>434</x:v>
      </x:c>
      <x:c r="K25" s="9" t="s">
        <x:v>435</x:v>
      </x:c>
      <x:c r="L25" s="9" t="s">
        <x:v>436</x:v>
      </x:c>
      <x:c r="M25" s="9" t="s">
        <x:v>322</x:v>
      </x:c>
      <x:c r="N25" s="10" t="n">
        <x:v>5</x:v>
      </x:c>
      <x:c r="O25" s="9" t="s">
        <x:v>364</x:v>
      </x:c>
      <x:c r="P25" s="9" t="s">
        <x:v>424</x:v>
      </x:c>
      <x:c r="Q25" s="9" t="s">
        <x:v>425</x:v>
      </x:c>
      <x:c r="R25" s="9" t="s">
        <x:v>426</x:v>
      </x:c>
      <x:c r="S25" s="10" t="n">
        <x:v>5</x:v>
      </x:c>
      <x:c r="T25" s="9" t="s">
        <x:v>437</x:v>
      </x:c>
      <x:c r="U25" s="9" t="s">
        <x:v>438</x:v>
      </x:c>
      <x:c r="V25" s="9" t="s">
        <x:v>439</x:v>
      </x:c>
      <x:c r="W25" s="9"/>
      <x:c r="X25" s="1" t="s">
        <x:v>262</x:v>
      </x:c>
      <x:c r="Y25" s="1" t="s">
        <x:v>440</x:v>
      </x:c>
      <x:c r="Z25" s="11" t="s">
        <x:v>29</x:v>
      </x:c>
    </x:row>
    <x:row r="26" ht="45" hidden="0" customHeight="1">
      <x:c r="A26" s="9" t="s">
        <x:v>441</x:v>
      </x:c>
      <x:c r="B26" s="9" t="s">
        <x:v>432</x:v>
      </x:c>
      <x:c r="C26" s="9" t="s">
        <x:v>85</x:v>
      </x:c>
      <x:c r="D26" s="9" t="s">
        <x:v>229</x:v>
      </x:c>
      <x:c r="E26" s="9" t="s">
        <x:v>442</x:v>
      </x:c>
      <x:c r="F26" s="9" t="s">
        <x:v>443</x:v>
      </x:c>
      <x:c r="G26" s="9" t="s">
        <x:v>444</x:v>
      </x:c>
      <x:c r="H26" s="9" t="s">
        <x:v>19</x:v>
      </x:c>
      <x:c r="I26" s="9" t="s">
        <x:v>445</x:v>
      </x:c>
      <x:c r="J26" s="9" t="s">
        <x:v>446</x:v>
      </x:c>
      <x:c r="K26" s="9" t="s">
        <x:v>447</x:v>
      </x:c>
      <x:c r="L26" s="9" t="s">
        <x:v>448</x:v>
      </x:c>
      <x:c r="M26" s="9" t="s">
        <x:v>322</x:v>
      </x:c>
      <x:c r="N26" s="10" t="n">
        <x:v>5</x:v>
      </x:c>
      <x:c r="O26" s="9" t="s">
        <x:v>364</x:v>
      </x:c>
      <x:c r="P26" s="9" t="s">
        <x:v>379</x:v>
      </x:c>
      <x:c r="Q26" s="9" t="s">
        <x:v>380</x:v>
      </x:c>
      <x:c r="R26" s="9" t="s">
        <x:v>381</x:v>
      </x:c>
      <x:c r="S26" s="10" t="n">
        <x:v>5</x:v>
      </x:c>
      <x:c r="T26" s="9" t="s">
        <x:v>449</x:v>
      </x:c>
      <x:c r="U26" s="9" t="s">
        <x:v>450</x:v>
      </x:c>
      <x:c r="V26" s="9" t="s">
        <x:v>451</x:v>
      </x:c>
      <x:c r="W26" s="9"/>
      <x:c r="X26" s="1" t="s">
        <x:v>262</x:v>
      </x:c>
      <x:c r="Z26" s="11" t="s">
        <x:v>27</x:v>
      </x:c>
    </x:row>
    <x:row r="27" ht="45" hidden="0" customHeight="1">
      <x:c r="A27" s="9" t="s">
        <x:v>452</x:v>
      </x:c>
      <x:c r="B27" s="9" t="s">
        <x:v>432</x:v>
      </x:c>
      <x:c r="C27" s="9" t="s">
        <x:v>85</x:v>
      </x:c>
      <x:c r="D27" s="9" t="s">
        <x:v>229</x:v>
      </x:c>
      <x:c r="E27" s="9" t="s">
        <x:v>266</x:v>
      </x:c>
      <x:c r="F27" s="9" t="s">
        <x:v>443</x:v>
      </x:c>
      <x:c r="G27" s="9" t="s">
        <x:v>453</x:v>
      </x:c>
      <x:c r="H27" s="9" t="s">
        <x:v>19</x:v>
      </x:c>
      <x:c r="I27" s="9" t="s">
        <x:v>454</x:v>
      </x:c>
      <x:c r="J27" s="9" t="s">
        <x:v>455</x:v>
      </x:c>
      <x:c r="K27" s="9" t="s">
        <x:v>456</x:v>
      </x:c>
      <x:c r="L27" s="9" t="s">
        <x:v>457</x:v>
      </x:c>
      <x:c r="M27" s="9" t="s">
        <x:v>322</x:v>
      </x:c>
      <x:c r="N27" s="10" t="n">
        <x:v>4</x:v>
      </x:c>
      <x:c r="O27" s="9" t="s">
        <x:v>364</x:v>
      </x:c>
      <x:c r="P27" s="9" t="s">
        <x:v>458</x:v>
      </x:c>
      <x:c r="Q27" s="9" t="s">
        <x:v>459</x:v>
      </x:c>
      <x:c r="R27" s="9" t="s">
        <x:v>460</x:v>
      </x:c>
      <x:c r="S27" s="10" t="n">
        <x:v>4</x:v>
      </x:c>
      <x:c r="T27" s="9" t="s">
        <x:v>461</x:v>
      </x:c>
      <x:c r="U27" s="9" t="s">
        <x:v>462</x:v>
      </x:c>
      <x:c r="V27" s="9" t="s">
        <x:v>463</x:v>
      </x:c>
      <x:c r="W27" s="9" t="s">
        <x:v>464</x:v>
      </x:c>
      <x:c r="X27" s="1" t="s">
        <x:v>262</x:v>
      </x:c>
      <x:c r="Z27" s="11" t="s">
        <x:v>30</x:v>
      </x:c>
    </x:row>
    <x:row r="28" ht="30" hidden="0" customHeight="1">
      <x:c r="A28" s="9" t="s">
        <x:v>465</x:v>
      </x:c>
      <x:c r="B28" s="9" t="s">
        <x:v>466</x:v>
      </x:c>
      <x:c r="C28" s="9" t="s">
        <x:v>63</x:v>
      </x:c>
      <x:c r="D28" s="9" t="s">
        <x:v>282</x:v>
      </x:c>
      <x:c r="E28" s="9" t="s">
        <x:v>388</x:v>
      </x:c>
      <x:c r="F28" s="9" t="s">
        <x:v>467</x:v>
      </x:c>
      <x:c r="G28" s="9" t="s">
        <x:v>468</x:v>
      </x:c>
      <x:c r="H28" s="9" t="s">
        <x:v>22</x:v>
      </x:c>
      <x:c r="I28" s="9" t="s">
        <x:v>469</x:v>
      </x:c>
      <x:c r="J28" s="9" t="s">
        <x:v>470</x:v>
      </x:c>
      <x:c r="K28" s="9" t="s">
        <x:v>471</x:v>
      </x:c>
      <x:c r="L28" s="9" t="s">
        <x:v>472</x:v>
      </x:c>
      <x:c r="M28" s="9" t="s">
        <x:v>395</x:v>
      </x:c>
      <x:c r="N28" s="10" t="n">
        <x:v>3</x:v>
      </x:c>
      <x:c r="O28" s="9" t="s">
        <x:v>273</x:v>
      </x:c>
      <x:c r="P28" s="9" t="s">
        <x:v>458</x:v>
      </x:c>
      <x:c r="Q28" s="9" t="s">
        <x:v>459</x:v>
      </x:c>
      <x:c r="R28" s="9" t="s">
        <x:v>460</x:v>
      </x:c>
      <x:c r="S28" s="10" t="n">
        <x:v>3</x:v>
      </x:c>
      <x:c r="T28" s="9" t="s">
        <x:v>473</x:v>
      </x:c>
      <x:c r="U28" s="9" t="s">
        <x:v>474</x:v>
      </x:c>
      <x:c r="V28" s="9" t="s">
        <x:v>475</x:v>
      </x:c>
      <x:c r="W28" s="9" t="s">
        <x:v>476</x:v>
      </x:c>
      <x:c r="X28" s="1" t="s">
        <x:v>341</x:v>
      </x:c>
      <x:c r="Z28" s="11" t="s">
        <x:v>27</x:v>
      </x:c>
    </x:row>
    <x:row r="29" ht="45" hidden="0" customHeight="1">
      <x:c r="A29" s="9" t="s">
        <x:v>477</x:v>
      </x:c>
      <x:c r="B29" s="9" t="s">
        <x:v>478</x:v>
      </x:c>
      <x:c r="C29" s="9" t="s">
        <x:v>85</x:v>
      </x:c>
      <x:c r="D29" s="9" t="s">
        <x:v>229</x:v>
      </x:c>
      <x:c r="E29" s="9" t="s">
        <x:v>266</x:v>
      </x:c>
      <x:c r="F29" s="9" t="s">
        <x:v>479</x:v>
      </x:c>
      <x:c r="G29" s="9" t="s">
        <x:v>480</x:v>
      </x:c>
      <x:c r="H29" s="9" t="s">
        <x:v>13</x:v>
      </x:c>
      <x:c r="I29" s="9" t="s">
        <x:v>481</x:v>
      </x:c>
      <x:c r="J29" s="9" t="s">
        <x:v>482</x:v>
      </x:c>
      <x:c r="K29" s="9" t="s">
        <x:v>483</x:v>
      </x:c>
      <x:c r="L29" s="9" t="s">
        <x:v>484</x:v>
      </x:c>
      <x:c r="M29" s="9" t="s">
        <x:v>72</x:v>
      </x:c>
      <x:c r="N29" s="10" t="n">
        <x:v>3</x:v>
      </x:c>
      <x:c r="O29" s="9" t="s">
        <x:v>485</x:v>
      </x:c>
      <x:c r="P29" s="9" t="s">
        <x:v>486</x:v>
      </x:c>
      <x:c r="Q29" s="9" t="s">
        <x:v>487</x:v>
      </x:c>
      <x:c r="R29" s="9" t="s">
        <x:v>488</x:v>
      </x:c>
      <x:c r="S29" s="10" t="n">
        <x:v>4</x:v>
      </x:c>
      <x:c r="T29" s="9" t="s">
        <x:v>489</x:v>
      </x:c>
      <x:c r="U29" s="9" t="s">
        <x:v>490</x:v>
      </x:c>
      <x:c r="V29" s="9" t="s">
        <x:v>491</x:v>
      </x:c>
      <x:c r="W29" s="9"/>
      <x:c r="X29" s="1" t="s">
        <x:v>262</x:v>
      </x:c>
      <x:c r="Y29" s="1" t="s">
        <x:v>492</x:v>
      </x:c>
      <x:c r="Z29" s="11" t="s">
        <x:v>28</x:v>
      </x:c>
    </x:row>
    <x:row r="30" ht="45" hidden="0" customHeight="1">
      <x:c r="A30" s="9" t="s">
        <x:v>493</x:v>
      </x:c>
      <x:c r="B30" s="9" t="s">
        <x:v>494</x:v>
      </x:c>
      <x:c r="C30" s="9" t="s">
        <x:v>85</x:v>
      </x:c>
      <x:c r="D30" s="9" t="s">
        <x:v>229</x:v>
      </x:c>
      <x:c r="E30" s="9" t="s">
        <x:v>357</x:v>
      </x:c>
      <x:c r="F30" s="9" t="s">
        <x:v>358</x:v>
      </x:c>
      <x:c r="G30" s="9" t="s">
        <x:v>495</x:v>
      </x:c>
      <x:c r="H30" s="9" t="s">
        <x:v>18</x:v>
      </x:c>
      <x:c r="I30" s="9" t="s">
        <x:v>496</x:v>
      </x:c>
      <x:c r="J30" s="9" t="s">
        <x:v>497</x:v>
      </x:c>
      <x:c r="K30" s="9" t="s">
        <x:v>498</x:v>
      </x:c>
      <x:c r="L30" s="9" t="s">
        <x:v>436</x:v>
      </x:c>
      <x:c r="M30" s="9" t="s">
        <x:v>322</x:v>
      </x:c>
      <x:c r="N30" s="10" t="n">
        <x:v>5</x:v>
      </x:c>
      <x:c r="O30" s="9" t="s">
        <x:v>364</x:v>
      </x:c>
      <x:c r="P30" s="9" t="s">
        <x:v>379</x:v>
      </x:c>
      <x:c r="Q30" s="9" t="s">
        <x:v>380</x:v>
      </x:c>
      <x:c r="R30" s="9" t="s">
        <x:v>381</x:v>
      </x:c>
      <x:c r="S30" s="10" t="n">
        <x:v>5</x:v>
      </x:c>
      <x:c r="T30" s="9" t="s">
        <x:v>499</x:v>
      </x:c>
      <x:c r="U30" s="9" t="s">
        <x:v>500</x:v>
      </x:c>
      <x:c r="V30" s="9" t="s">
        <x:v>501</x:v>
      </x:c>
      <x:c r="W30" s="9"/>
      <x:c r="X30" s="1" t="s">
        <x:v>371</x:v>
      </x:c>
      <x:c r="Y30" s="1" t="s">
        <x:v>502</x:v>
      </x:c>
      <x:c r="Z30" s="11" t="s">
        <x:v>27</x:v>
      </x:c>
    </x:row>
    <x:row r="31" ht="60" hidden="0" customHeight="1">
      <x:c r="A31" s="9" t="s">
        <x:v>503</x:v>
      </x:c>
      <x:c r="B31" s="9" t="s">
        <x:v>494</x:v>
      </x:c>
      <x:c r="C31" s="9" t="s">
        <x:v>85</x:v>
      </x:c>
      <x:c r="D31" s="9" t="s">
        <x:v>504</x:v>
      </x:c>
      <x:c r="E31" s="9" t="s">
        <x:v>505</x:v>
      </x:c>
      <x:c r="F31" s="9" t="s">
        <x:v>506</x:v>
      </x:c>
      <x:c r="G31" s="9" t="s">
        <x:v>507</x:v>
      </x:c>
      <x:c r="H31" s="9" t="s">
        <x:v>16</x:v>
      </x:c>
      <x:c r="I31" s="9" t="s">
        <x:v>508</x:v>
      </x:c>
      <x:c r="J31" s="9" t="s">
        <x:v>509</x:v>
      </x:c>
      <x:c r="K31" s="9" t="s">
        <x:v>510</x:v>
      </x:c>
      <x:c r="L31" s="9" t="s">
        <x:v>511</x:v>
      </x:c>
      <x:c r="M31" s="9" t="s">
        <x:v>322</x:v>
      </x:c>
      <x:c r="N31" s="10" t="n">
        <x:v>3</x:v>
      </x:c>
      <x:c r="O31" s="9" t="s">
        <x:v>485</x:v>
      </x:c>
      <x:c r="P31" s="9" t="s">
        <x:v>424</x:v>
      </x:c>
      <x:c r="Q31" s="9" t="s">
        <x:v>425</x:v>
      </x:c>
      <x:c r="R31" s="9" t="s">
        <x:v>426</x:v>
      </x:c>
      <x:c r="S31" s="10" t="n">
        <x:v>3</x:v>
      </x:c>
      <x:c r="T31" s="9" t="s">
        <x:v>512</x:v>
      </x:c>
      <x:c r="U31" s="9" t="s">
        <x:v>513</x:v>
      </x:c>
      <x:c r="V31" s="9" t="s">
        <x:v>514</x:v>
      </x:c>
      <x:c r="W31" s="9" t="s">
        <x:v>515</x:v>
      </x:c>
      <x:c r="X31" s="1" t="s">
        <x:v>516</x:v>
      </x:c>
      <x:c r="Y31" s="1" t="s">
        <x:v>517</x:v>
      </x:c>
      <x:c r="Z31" s="11" t="s">
        <x:v>34</x:v>
      </x:c>
    </x:row>
    <x:row r="32" ht="30" hidden="0" customHeight="1">
      <x:c r="A32" s="9" t="s">
        <x:v>518</x:v>
      </x:c>
      <x:c r="B32" s="9" t="s">
        <x:v>519</x:v>
      </x:c>
      <x:c r="C32" s="9" t="s">
        <x:v>85</x:v>
      </x:c>
      <x:c r="D32" s="9" t="s">
        <x:v>229</x:v>
      </x:c>
      <x:c r="E32" s="9" t="s">
        <x:v>520</x:v>
      </x:c>
      <x:c r="F32" s="9" t="s">
        <x:v>358</x:v>
      </x:c>
      <x:c r="G32" s="9" t="s">
        <x:v>521</x:v>
      </x:c>
      <x:c r="H32" s="9" t="s">
        <x:v>18</x:v>
      </x:c>
      <x:c r="I32" s="9" t="s">
        <x:v>522</x:v>
      </x:c>
      <x:c r="J32" s="9" t="s">
        <x:v>523</x:v>
      </x:c>
      <x:c r="K32" s="9" t="s">
        <x:v>524</x:v>
      </x:c>
      <x:c r="L32" s="9" t="s">
        <x:v>525</x:v>
      </x:c>
      <x:c r="M32" s="9" t="s">
        <x:v>322</x:v>
      </x:c>
      <x:c r="N32" s="10" t="n">
        <x:v>5</x:v>
      </x:c>
      <x:c r="O32" s="9" t="s">
        <x:v>364</x:v>
      </x:c>
      <x:c r="P32" s="9" t="s">
        <x:v>526</x:v>
      </x:c>
      <x:c r="Q32" s="9" t="s">
        <x:v>527</x:v>
      </x:c>
      <x:c r="R32" s="9" t="s">
        <x:v>528</x:v>
      </x:c>
      <x:c r="S32" s="10" t="n">
        <x:v>5</x:v>
      </x:c>
      <x:c r="T32" s="9" t="s">
        <x:v>529</x:v>
      </x:c>
      <x:c r="U32" s="9" t="s">
        <x:v>530</x:v>
      </x:c>
      <x:c r="V32" s="9" t="s">
        <x:v>531</x:v>
      </x:c>
      <x:c r="W32" s="9"/>
      <x:c r="X32" s="1" t="s">
        <x:v>262</x:v>
      </x:c>
      <x:c r="Z32" s="11" t="s">
        <x:v>27</x:v>
      </x:c>
      <x:c r="AA32" s="1" t="s">
        <x:v>82</x:v>
      </x:c>
    </x:row>
    <x:row r="33" ht="30" hidden="0" customHeight="1">
      <x:c r="A33" s="9" t="s">
        <x:v>532</x:v>
      </x:c>
      <x:c r="B33" s="9" t="s">
        <x:v>519</x:v>
      </x:c>
      <x:c r="C33" s="9" t="s">
        <x:v>85</x:v>
      </x:c>
      <x:c r="D33" s="9" t="s">
        <x:v>229</x:v>
      </x:c>
      <x:c r="E33" s="9" t="s">
        <x:v>520</x:v>
      </x:c>
      <x:c r="F33" s="9" t="s">
        <x:v>358</x:v>
      </x:c>
      <x:c r="G33" s="9" t="s">
        <x:v>533</x:v>
      </x:c>
      <x:c r="H33" s="9" t="s">
        <x:v>20</x:v>
      </x:c>
      <x:c r="I33" s="9" t="s">
        <x:v>534</x:v>
      </x:c>
      <x:c r="J33" s="9" t="s">
        <x:v>535</x:v>
      </x:c>
      <x:c r="K33" s="9" t="s">
        <x:v>536</x:v>
      </x:c>
      <x:c r="L33" s="9" t="s">
        <x:v>537</x:v>
      </x:c>
      <x:c r="M33" s="9" t="s">
        <x:v>322</x:v>
      </x:c>
      <x:c r="N33" s="10" t="n">
        <x:v>4</x:v>
      </x:c>
      <x:c r="O33" s="9" t="s">
        <x:v>364</x:v>
      </x:c>
      <x:c r="P33" s="9" t="s">
        <x:v>538</x:v>
      </x:c>
      <x:c r="Q33" s="9" t="s">
        <x:v>539</x:v>
      </x:c>
      <x:c r="R33" s="9" t="s">
        <x:v>540</x:v>
      </x:c>
      <x:c r="S33" s="10" t="n">
        <x:v>4</x:v>
      </x:c>
      <x:c r="T33" s="9" t="s">
        <x:v>541</x:v>
      </x:c>
      <x:c r="U33" s="9" t="s">
        <x:v>542</x:v>
      </x:c>
      <x:c r="V33" s="9" t="s">
        <x:v>543</x:v>
      </x:c>
      <x:c r="W33" s="9"/>
      <x:c r="X33" s="1" t="s">
        <x:v>262</x:v>
      </x:c>
      <x:c r="Z33" s="11" t="s">
        <x:v>32</x:v>
      </x:c>
    </x:row>
    <x:row r="34" ht="45" hidden="0" customHeight="1">
      <x:c r="A34" s="9" t="s">
        <x:v>544</x:v>
      </x:c>
      <x:c r="B34" s="9" t="s">
        <x:v>545</x:v>
      </x:c>
      <x:c r="C34" s="9" t="s">
        <x:v>85</x:v>
      </x:c>
      <x:c r="D34" s="9" t="s">
        <x:v>229</x:v>
      </x:c>
      <x:c r="E34" s="9" t="s">
        <x:v>442</x:v>
      </x:c>
      <x:c r="F34" s="9" t="s">
        <x:v>443</x:v>
      </x:c>
      <x:c r="G34" s="9" t="s">
        <x:v>546</x:v>
      </x:c>
      <x:c r="H34" s="9" t="s">
        <x:v>20</x:v>
      </x:c>
      <x:c r="I34" s="9" t="s">
        <x:v>547</x:v>
      </x:c>
      <x:c r="J34" s="9" t="s">
        <x:v>548</x:v>
      </x:c>
      <x:c r="K34" s="9" t="s">
        <x:v>549</x:v>
      </x:c>
      <x:c r="L34" s="9" t="s">
        <x:v>550</x:v>
      </x:c>
      <x:c r="M34" s="9" t="s">
        <x:v>551</x:v>
      </x:c>
      <x:c r="N34" s="10" t="n">
        <x:v>4</x:v>
      </x:c>
      <x:c r="O34" s="9" t="s">
        <x:v>485</x:v>
      </x:c>
      <x:c r="P34" s="9" t="s">
        <x:v>552</x:v>
      </x:c>
      <x:c r="Q34" s="9" t="s">
        <x:v>553</x:v>
      </x:c>
      <x:c r="R34" s="9" t="s">
        <x:v>554</x:v>
      </x:c>
      <x:c r="S34" s="10" t="n">
        <x:v>5</x:v>
      </x:c>
      <x:c r="T34" s="9" t="s">
        <x:v>555</x:v>
      </x:c>
      <x:c r="U34" s="9" t="s">
        <x:v>556</x:v>
      </x:c>
      <x:c r="V34" s="9" t="s">
        <x:v>557</x:v>
      </x:c>
      <x:c r="W34" s="9" t="s">
        <x:v>558</x:v>
      </x:c>
      <x:c r="X34" s="1" t="s">
        <x:v>262</x:v>
      </x:c>
      <x:c r="Y34" s="1" t="s">
        <x:v>559</x:v>
      </x:c>
      <x:c r="Z34" s="11" t="s">
        <x:v>27</x:v>
      </x:c>
    </x:row>
    <x:row r="35" ht="45" hidden="0" customHeight="1">
      <x:c r="A35" s="9" t="s">
        <x:v>560</x:v>
      </x:c>
      <x:c r="B35" s="9" t="s">
        <x:v>561</x:v>
      </x:c>
      <x:c r="C35" s="9" t="s">
        <x:v>85</x:v>
      </x:c>
      <x:c r="D35" s="9" t="s">
        <x:v>229</x:v>
      </x:c>
      <x:c r="E35" s="9" t="s">
        <x:v>562</x:v>
      </x:c>
      <x:c r="F35" s="9" t="s">
        <x:v>563</x:v>
      </x:c>
      <x:c r="G35" s="9" t="s">
        <x:v>564</x:v>
      </x:c>
      <x:c r="H35" s="9" t="s">
        <x:v>20</x:v>
      </x:c>
      <x:c r="I35" s="9" t="s">
        <x:v>565</x:v>
      </x:c>
      <x:c r="J35" s="9" t="s">
        <x:v>566</x:v>
      </x:c>
      <x:c r="K35" s="9" t="s">
        <x:v>567</x:v>
      </x:c>
      <x:c r="L35" s="9" t="s">
        <x:v>568</x:v>
      </x:c>
      <x:c r="M35" s="9" t="s">
        <x:v>322</x:v>
      </x:c>
      <x:c r="N35" s="10" t="n">
        <x:v>4</x:v>
      </x:c>
      <x:c r="O35" s="9" t="s">
        <x:v>485</x:v>
      </x:c>
      <x:c r="P35" s="9" t="s">
        <x:v>569</x:v>
      </x:c>
      <x:c r="Q35" s="9" t="s">
        <x:v>570</x:v>
      </x:c>
      <x:c r="R35" s="9" t="s">
        <x:v>571</x:v>
      </x:c>
      <x:c r="S35" s="10" t="n">
        <x:v>5</x:v>
      </x:c>
      <x:c r="T35" s="9" t="s">
        <x:v>572</x:v>
      </x:c>
      <x:c r="U35" s="9" t="s">
        <x:v>573</x:v>
      </x:c>
      <x:c r="V35" s="9" t="s">
        <x:v>574</x:v>
      </x:c>
      <x:c r="W35" s="9"/>
      <x:c r="X35" s="1" t="s">
        <x:v>575</x:v>
      </x:c>
      <x:c r="Y35" s="1" t="s">
        <x:v>576</x:v>
      </x:c>
      <x:c r="Z35" s="11" t="s">
        <x:v>32</x:v>
      </x:c>
    </x:row>
    <x:row r="36" ht="45" hidden="0" customHeight="1">
      <x:c r="A36" s="9" t="s">
        <x:v>577</x:v>
      </x:c>
      <x:c r="B36" s="9" t="s">
        <x:v>578</x:v>
      </x:c>
      <x:c r="C36" s="9" t="s">
        <x:v>85</x:v>
      </x:c>
      <x:c r="D36" s="9" t="s">
        <x:v>229</x:v>
      </x:c>
      <x:c r="E36" s="9" t="s">
        <x:v>266</x:v>
      </x:c>
      <x:c r="F36" s="9" t="s">
        <x:v>358</x:v>
      </x:c>
      <x:c r="G36" s="9" t="s">
        <x:v>579</x:v>
      </x:c>
      <x:c r="H36" s="9" t="s">
        <x:v>20</x:v>
      </x:c>
      <x:c r="I36" s="9" t="s">
        <x:v>580</x:v>
      </x:c>
      <x:c r="J36" s="9" t="s">
        <x:v>581</x:v>
      </x:c>
      <x:c r="K36" s="9" t="s">
        <x:v>582</x:v>
      </x:c>
      <x:c r="L36" s="9" t="s">
        <x:v>583</x:v>
      </x:c>
      <x:c r="M36" s="9" t="s">
        <x:v>322</x:v>
      </x:c>
      <x:c r="N36" s="10" t="n">
        <x:v>5</x:v>
      </x:c>
      <x:c r="O36" s="9" t="s">
        <x:v>364</x:v>
      </x:c>
      <x:c r="P36" s="9" t="s">
        <x:v>379</x:v>
      </x:c>
      <x:c r="Q36" s="9" t="s">
        <x:v>380</x:v>
      </x:c>
      <x:c r="R36" s="9" t="s">
        <x:v>381</x:v>
      </x:c>
      <x:c r="S36" s="10" t="n">
        <x:v>5</x:v>
      </x:c>
      <x:c r="T36" s="9" t="s">
        <x:v>584</x:v>
      </x:c>
      <x:c r="U36" s="9" t="s">
        <x:v>585</x:v>
      </x:c>
      <x:c r="V36" s="9" t="s">
        <x:v>586</x:v>
      </x:c>
      <x:c r="W36" s="9"/>
      <x:c r="X36" s="1" t="s">
        <x:v>262</x:v>
      </x:c>
      <x:c r="Y36" s="1" t="s">
        <x:v>587</x:v>
      </x:c>
      <x:c r="Z36" s="11" t="s">
        <x:v>32</x:v>
      </x:c>
    </x:row>
    <x:row r="37" ht="45" hidden="0" customHeight="1">
      <x:c r="A37" s="9" t="s">
        <x:v>588</x:v>
      </x:c>
      <x:c r="B37" s="9" t="s">
        <x:v>589</x:v>
      </x:c>
      <x:c r="C37" s="9" t="s">
        <x:v>85</x:v>
      </x:c>
      <x:c r="D37" s="9" t="s">
        <x:v>504</x:v>
      </x:c>
      <x:c r="E37" s="9" t="s">
        <x:v>590</x:v>
      </x:c>
      <x:c r="F37" s="9" t="s">
        <x:v>591</x:v>
      </x:c>
      <x:c r="G37" s="9" t="s">
        <x:v>592</x:v>
      </x:c>
      <x:c r="H37" s="9" t="s">
        <x:v>16</x:v>
      </x:c>
      <x:c r="I37" s="9" t="s">
        <x:v>593</x:v>
      </x:c>
      <x:c r="J37" s="9" t="s">
        <x:v>594</x:v>
      </x:c>
      <x:c r="K37" s="9" t="s">
        <x:v>595</x:v>
      </x:c>
      <x:c r="L37" s="9" t="s">
        <x:v>596</x:v>
      </x:c>
      <x:c r="M37" s="9" t="s">
        <x:v>322</x:v>
      </x:c>
      <x:c r="N37" s="10" t="n">
        <x:v>3</x:v>
      </x:c>
      <x:c r="O37" s="9" t="s">
        <x:v>485</x:v>
      </x:c>
      <x:c r="P37" s="9" t="s">
        <x:v>424</x:v>
      </x:c>
      <x:c r="Q37" s="9" t="s">
        <x:v>425</x:v>
      </x:c>
      <x:c r="R37" s="9" t="s">
        <x:v>426</x:v>
      </x:c>
      <x:c r="S37" s="10" t="n">
        <x:v>4</x:v>
      </x:c>
      <x:c r="T37" s="9" t="s">
        <x:v>597</x:v>
      </x:c>
      <x:c r="U37" s="9" t="s">
        <x:v>598</x:v>
      </x:c>
      <x:c r="V37" s="9" t="s">
        <x:v>599</x:v>
      </x:c>
      <x:c r="W37" s="9" t="s">
        <x:v>558</x:v>
      </x:c>
      <x:c r="X37" s="1" t="s">
        <x:v>600</x:v>
      </x:c>
      <x:c r="Y37" s="1" t="s">
        <x:v>601</x:v>
      </x:c>
      <x:c r="Z37" s="11" t="s">
        <x:v>34</x:v>
      </x:c>
    </x:row>
    <x:row r="38" ht="30" hidden="0" customHeight="1">
      <x:c r="A38" s="9" t="s">
        <x:v>602</x:v>
      </x:c>
      <x:c r="B38" s="9" t="s">
        <x:v>589</x:v>
      </x:c>
      <x:c r="C38" s="9" t="s">
        <x:v>85</x:v>
      </x:c>
      <x:c r="D38" s="9" t="s">
        <x:v>282</x:v>
      </x:c>
      <x:c r="E38" s="9" t="s">
        <x:v>603</x:v>
      </x:c>
      <x:c r="F38" s="9" t="s">
        <x:v>604</x:v>
      </x:c>
      <x:c r="G38" s="9" t="s">
        <x:v>605</x:v>
      </x:c>
      <x:c r="H38" s="9" t="s">
        <x:v>20</x:v>
      </x:c>
      <x:c r="I38" s="9" t="s">
        <x:v>606</x:v>
      </x:c>
      <x:c r="J38" s="9" t="s">
        <x:v>607</x:v>
      </x:c>
      <x:c r="K38" s="9" t="s">
        <x:v>608</x:v>
      </x:c>
      <x:c r="L38" s="9" t="s">
        <x:v>609</x:v>
      </x:c>
      <x:c r="M38" s="9" t="s">
        <x:v>322</x:v>
      </x:c>
      <x:c r="N38" s="10" t="n">
        <x:v>3</x:v>
      </x:c>
      <x:c r="O38" s="9" t="s">
        <x:v>485</x:v>
      </x:c>
      <x:c r="P38" s="9" t="s">
        <x:v>458</x:v>
      </x:c>
      <x:c r="Q38" s="9" t="s">
        <x:v>459</x:v>
      </x:c>
      <x:c r="R38" s="9" t="s">
        <x:v>460</x:v>
      </x:c>
      <x:c r="S38" s="10" t="n">
        <x:v>2</x:v>
      </x:c>
      <x:c r="T38" s="9" t="s">
        <x:v>610</x:v>
      </x:c>
      <x:c r="U38" s="9" t="s">
        <x:v>611</x:v>
      </x:c>
      <x:c r="V38" s="9" t="s">
        <x:v>612</x:v>
      </x:c>
      <x:c r="W38" s="9" t="s">
        <x:v>613</x:v>
      </x:c>
      <x:c r="X38" s="1" t="s">
        <x:v>614</x:v>
      </x:c>
      <x:c r="Z38" s="11" t="s">
        <x:v>33</x:v>
      </x:c>
    </x:row>
    <x:row r="39" ht="30" hidden="0" customHeight="1">
      <x:c r="A39" s="9" t="s">
        <x:v>615</x:v>
      </x:c>
      <x:c r="B39" s="9" t="s">
        <x:v>616</x:v>
      </x:c>
      <x:c r="C39" s="9" t="s">
        <x:v>85</x:v>
      </x:c>
      <x:c r="D39" s="9" t="s">
        <x:v>282</x:v>
      </x:c>
      <x:c r="E39" s="9" t="s">
        <x:v>388</x:v>
      </x:c>
      <x:c r="F39" s="9" t="s">
        <x:v>617</x:v>
      </x:c>
      <x:c r="G39" s="9" t="s">
        <x:v>618</x:v>
      </x:c>
      <x:c r="H39" s="9" t="s">
        <x:v>23</x:v>
      </x:c>
      <x:c r="I39" s="9" t="s">
        <x:v>619</x:v>
      </x:c>
      <x:c r="J39" s="9" t="s">
        <x:v>620</x:v>
      </x:c>
      <x:c r="K39" s="9" t="s">
        <x:v>621</x:v>
      </x:c>
      <x:c r="L39" s="9" t="s">
        <x:v>622</x:v>
      </x:c>
      <x:c r="M39" s="9" t="s">
        <x:v>395</x:v>
      </x:c>
      <x:c r="N39" s="10" t="n">
        <x:v>3</x:v>
      </x:c>
      <x:c r="O39" s="9" t="s">
        <x:v>485</x:v>
      </x:c>
      <x:c r="P39" s="9" t="s">
        <x:v>623</x:v>
      </x:c>
      <x:c r="Q39" s="9" t="s">
        <x:v>624</x:v>
      </x:c>
      <x:c r="R39" s="9" t="s">
        <x:v>625</x:v>
      </x:c>
      <x:c r="S39" s="10" t="n">
        <x:v>3</x:v>
      </x:c>
      <x:c r="T39" s="9" t="s">
        <x:v>626</x:v>
      </x:c>
      <x:c r="U39" s="9" t="s">
        <x:v>627</x:v>
      </x:c>
      <x:c r="V39" s="9" t="s">
        <x:v>628</x:v>
      </x:c>
      <x:c r="W39" s="9" t="s">
        <x:v>629</x:v>
      </x:c>
      <x:c r="X39" s="1" t="s">
        <x:v>341</x:v>
      </x:c>
      <x:c r="Z39" s="11" t="s">
        <x:v>27</x:v>
      </x:c>
    </x:row>
    <x:row r="40" ht="30" hidden="0" customHeight="1">
      <x:c r="A40" s="9" t="s">
        <x:v>630</x:v>
      </x:c>
      <x:c r="B40" s="9" t="s">
        <x:v>616</x:v>
      </x:c>
      <x:c r="C40" s="9" t="s">
        <x:v>85</x:v>
      </x:c>
      <x:c r="D40" s="9" t="s">
        <x:v>504</x:v>
      </x:c>
      <x:c r="E40" s="9" t="s">
        <x:v>631</x:v>
      </x:c>
      <x:c r="F40" s="9" t="s">
        <x:v>632</x:v>
      </x:c>
      <x:c r="G40" s="9" t="s">
        <x:v>633</x:v>
      </x:c>
      <x:c r="H40" s="9" t="s">
        <x:v>24</x:v>
      </x:c>
      <x:c r="I40" s="9" t="s">
        <x:v>634</x:v>
      </x:c>
      <x:c r="J40" s="9" t="s">
        <x:v>635</x:v>
      </x:c>
      <x:c r="K40" s="9" t="s">
        <x:v>636</x:v>
      </x:c>
      <x:c r="L40" s="9" t="s">
        <x:v>637</x:v>
      </x:c>
      <x:c r="M40" s="9" t="s">
        <x:v>290</x:v>
      </x:c>
      <x:c r="N40" s="10" t="n">
        <x:v>3</x:v>
      </x:c>
      <x:c r="O40" s="9" t="s">
        <x:v>485</x:v>
      </x:c>
      <x:c r="P40" s="9" t="s">
        <x:v>424</x:v>
      </x:c>
      <x:c r="Q40" s="9" t="s">
        <x:v>425</x:v>
      </x:c>
      <x:c r="R40" s="9" t="s">
        <x:v>426</x:v>
      </x:c>
      <x:c r="S40" s="10" t="n">
        <x:v>4</x:v>
      </x:c>
      <x:c r="T40" s="9" t="s">
        <x:v>638</x:v>
      </x:c>
      <x:c r="U40" s="9" t="s">
        <x:v>639</x:v>
      </x:c>
      <x:c r="V40" s="9" t="s">
        <x:v>640</x:v>
      </x:c>
      <x:c r="W40" s="9"/>
      <x:c r="X40" s="1" t="s">
        <x:v>641</x:v>
      </x:c>
      <x:c r="Z40" s="11" t="s">
        <x:v>33</x:v>
      </x:c>
    </x:row>
    <x:row r="41" ht="30" hidden="0" customHeight="1">
      <x:c r="A41" s="9" t="s">
        <x:v>642</x:v>
      </x:c>
      <x:c r="B41" s="9" t="s">
        <x:v>643</x:v>
      </x:c>
      <x:c r="C41" s="9" t="s">
        <x:v>85</x:v>
      </x:c>
      <x:c r="D41" s="9" t="s">
        <x:v>282</x:v>
      </x:c>
      <x:c r="E41" s="9" t="s">
        <x:v>644</x:v>
      </x:c>
      <x:c r="F41" s="9" t="s">
        <x:v>604</x:v>
      </x:c>
      <x:c r="G41" s="9" t="s">
        <x:v>645</x:v>
      </x:c>
      <x:c r="H41" s="9" t="s">
        <x:v>20</x:v>
      </x:c>
      <x:c r="I41" s="9" t="s">
        <x:v>646</x:v>
      </x:c>
      <x:c r="J41" s="9" t="s">
        <x:v>647</x:v>
      </x:c>
      <x:c r="K41" s="9" t="s">
        <x:v>534</x:v>
      </x:c>
      <x:c r="L41" s="9" t="s">
        <x:v>648</x:v>
      </x:c>
      <x:c r="M41" s="9" t="s">
        <x:v>322</x:v>
      </x:c>
      <x:c r="N41" s="10" t="n">
        <x:v>5</x:v>
      </x:c>
      <x:c r="O41" s="9" t="s">
        <x:v>485</x:v>
      </x:c>
      <x:c r="P41" s="9" t="s">
        <x:v>538</x:v>
      </x:c>
      <x:c r="Q41" s="9" t="s">
        <x:v>539</x:v>
      </x:c>
      <x:c r="R41" s="9" t="s">
        <x:v>540</x:v>
      </x:c>
      <x:c r="S41" s="10" t="n">
        <x:v>5</x:v>
      </x:c>
      <x:c r="T41" s="9" t="s">
        <x:v>649</x:v>
      </x:c>
      <x:c r="U41" s="9" t="s">
        <x:v>650</x:v>
      </x:c>
      <x:c r="V41" s="9" t="s">
        <x:v>651</x:v>
      </x:c>
      <x:c r="W41" s="9"/>
      <x:c r="X41" s="1" t="s">
        <x:v>614</x:v>
      </x:c>
      <x:c r="Z41" s="11" t="s">
        <x:v>32</x:v>
      </x:c>
    </x:row>
    <x:row r="42" ht="45" hidden="0" customHeight="1">
      <x:c r="A42" s="9" t="s">
        <x:v>652</x:v>
      </x:c>
      <x:c r="B42" s="9" t="s">
        <x:v>653</x:v>
      </x:c>
      <x:c r="C42" s="9" t="s">
        <x:v>85</x:v>
      </x:c>
      <x:c r="D42" s="9" t="s">
        <x:v>229</x:v>
      </x:c>
      <x:c r="E42" s="9" t="s">
        <x:v>266</x:v>
      </x:c>
      <x:c r="F42" s="9" t="s">
        <x:v>654</x:v>
      </x:c>
      <x:c r="G42" s="9" t="s">
        <x:v>655</x:v>
      </x:c>
      <x:c r="H42" s="9" t="s">
        <x:v>21</x:v>
      </x:c>
      <x:c r="I42" s="9" t="s">
        <x:v>656</x:v>
      </x:c>
      <x:c r="J42" s="9" t="s">
        <x:v>657</x:v>
      </x:c>
      <x:c r="K42" s="9" t="s">
        <x:v>658</x:v>
      </x:c>
      <x:c r="L42" s="9" t="s">
        <x:v>659</x:v>
      </x:c>
      <x:c r="M42" s="9" t="s">
        <x:v>660</x:v>
      </x:c>
      <x:c r="N42" s="10" t="n">
        <x:v>5</x:v>
      </x:c>
      <x:c r="O42" s="9" t="s">
        <x:v>661</x:v>
      </x:c>
      <x:c r="P42" s="9" t="s">
        <x:v>662</x:v>
      </x:c>
      <x:c r="Q42" s="9" t="s">
        <x:v>663</x:v>
      </x:c>
      <x:c r="R42" s="9" t="s">
        <x:v>664</x:v>
      </x:c>
      <x:c r="S42" s="10" t="n">
        <x:v>5</x:v>
      </x:c>
      <x:c r="T42" s="9" t="s">
        <x:v>665</x:v>
      </x:c>
      <x:c r="U42" s="9" t="s">
        <x:v>666</x:v>
      </x:c>
      <x:c r="V42" s="9" t="s">
        <x:v>667</x:v>
      </x:c>
      <x:c r="W42" s="9"/>
      <x:c r="X42" s="1" t="s">
        <x:v>262</x:v>
      </x:c>
      <x:c r="Z42" s="11" t="s">
        <x:v>27</x:v>
      </x:c>
      <x:c r="AA42" s="1" t="s">
        <x:v>82</x:v>
      </x:c>
    </x:row>
    <x:row r="43" ht="45" hidden="0" customHeight="1">
      <x:c r="A43" s="9" t="s">
        <x:v>668</x:v>
      </x:c>
      <x:c r="B43" s="9" t="s">
        <x:v>669</x:v>
      </x:c>
      <x:c r="C43" s="9" t="s">
        <x:v>63</x:v>
      </x:c>
      <x:c r="D43" s="9" t="s">
        <x:v>670</x:v>
      </x:c>
      <x:c r="E43" s="9" t="s">
        <x:v>671</x:v>
      </x:c>
      <x:c r="F43" s="9" t="s">
        <x:v>672</x:v>
      </x:c>
      <x:c r="G43" s="9" t="s">
        <x:v>673</x:v>
      </x:c>
      <x:c r="H43" s="9" t="s">
        <x:v>21</x:v>
      </x:c>
      <x:c r="I43" s="9" t="s">
        <x:v>674</x:v>
      </x:c>
      <x:c r="J43" s="9" t="s">
        <x:v>675</x:v>
      </x:c>
      <x:c r="K43" s="9" t="s">
        <x:v>676</x:v>
      </x:c>
      <x:c r="L43" s="9" t="s">
        <x:v>677</x:v>
      </x:c>
      <x:c r="M43" s="9" t="s">
        <x:v>412</x:v>
      </x:c>
      <x:c r="N43" s="10" t="n">
        <x:v>5</x:v>
      </x:c>
      <x:c r="O43" s="9" t="s">
        <x:v>661</x:v>
      </x:c>
      <x:c r="P43" s="9" t="s">
        <x:v>662</x:v>
      </x:c>
      <x:c r="Q43" s="9" t="s">
        <x:v>663</x:v>
      </x:c>
      <x:c r="R43" s="9" t="s">
        <x:v>664</x:v>
      </x:c>
      <x:c r="S43" s="10" t="n">
        <x:v>5</x:v>
      </x:c>
      <x:c r="T43" s="9" t="s">
        <x:v>678</x:v>
      </x:c>
      <x:c r="U43" s="9" t="s">
        <x:v>679</x:v>
      </x:c>
      <x:c r="V43" s="9" t="s">
        <x:v>680</x:v>
      </x:c>
      <x:c r="W43" s="9"/>
      <x:c r="X43" s="1" t="s">
        <x:v>262</x:v>
      </x:c>
      <x:c r="Y43" s="1" t="s">
        <x:v>681</x:v>
      </x:c>
      <x:c r="Z43" s="11" t="s">
        <x:v>33</x:v>
      </x:c>
    </x:row>
    <x:row r="44" ht="45" hidden="0" customHeight="1">
      <x:c r="A44" s="9" t="s">
        <x:v>682</x:v>
      </x:c>
      <x:c r="B44" s="9" t="s">
        <x:v>653</x:v>
      </x:c>
      <x:c r="C44" s="9" t="s">
        <x:v>85</x:v>
      </x:c>
      <x:c r="D44" s="9" t="s">
        <x:v>229</x:v>
      </x:c>
      <x:c r="E44" s="9" t="s">
        <x:v>266</x:v>
      </x:c>
      <x:c r="F44" s="9" t="s">
        <x:v>654</x:v>
      </x:c>
      <x:c r="G44" s="9" t="s">
        <x:v>683</x:v>
      </x:c>
      <x:c r="H44" s="9" t="s">
        <x:v>21</x:v>
      </x:c>
      <x:c r="I44" s="9" t="s">
        <x:v>684</x:v>
      </x:c>
      <x:c r="J44" s="9" t="s">
        <x:v>685</x:v>
      </x:c>
      <x:c r="K44" s="9" t="s">
        <x:v>686</x:v>
      </x:c>
      <x:c r="L44" s="9" t="s">
        <x:v>687</x:v>
      </x:c>
      <x:c r="M44" s="9" t="s">
        <x:v>660</x:v>
      </x:c>
      <x:c r="N44" s="10" t="n">
        <x:v>5</x:v>
      </x:c>
      <x:c r="O44" s="9" t="s">
        <x:v>661</x:v>
      </x:c>
      <x:c r="P44" s="9" t="s">
        <x:v>662</x:v>
      </x:c>
      <x:c r="Q44" s="9" t="s">
        <x:v>663</x:v>
      </x:c>
      <x:c r="R44" s="9" t="s">
        <x:v>664</x:v>
      </x:c>
      <x:c r="S44" s="10" t="n">
        <x:v>5</x:v>
      </x:c>
      <x:c r="T44" s="9" t="s">
        <x:v>688</x:v>
      </x:c>
      <x:c r="U44" s="9" t="s">
        <x:v>689</x:v>
      </x:c>
      <x:c r="V44" s="9" t="s">
        <x:v>690</x:v>
      </x:c>
      <x:c r="W44" s="9"/>
      <x:c r="X44" s="1" t="s">
        <x:v>262</x:v>
      </x:c>
      <x:c r="Y44" s="1" t="s">
        <x:v>691</x:v>
      </x:c>
      <x:c r="Z44" s="11" t="s">
        <x:v>27</x:v>
      </x:c>
    </x:row>
    <x:row r="45" ht="30" hidden="0" customHeight="1">
      <x:c r="A45" s="9" t="s">
        <x:v>692</x:v>
      </x:c>
      <x:c r="B45" s="9" t="s">
        <x:v>693</x:v>
      </x:c>
      <x:c r="C45" s="9" t="s">
        <x:v>85</x:v>
      </x:c>
      <x:c r="D45" s="9" t="s">
        <x:v>229</x:v>
      </x:c>
      <x:c r="E45" s="9" t="s">
        <x:v>266</x:v>
      </x:c>
      <x:c r="F45" s="9" t="s">
        <x:v>654</x:v>
      </x:c>
      <x:c r="G45" s="9" t="s">
        <x:v>694</x:v>
      </x:c>
      <x:c r="H45" s="9" t="s">
        <x:v>21</x:v>
      </x:c>
      <x:c r="I45" s="9" t="s">
        <x:v>695</x:v>
      </x:c>
      <x:c r="J45" s="9" t="s">
        <x:v>696</x:v>
      </x:c>
      <x:c r="K45" s="9" t="s">
        <x:v>697</x:v>
      </x:c>
      <x:c r="L45" s="9" t="s">
        <x:v>698</x:v>
      </x:c>
      <x:c r="M45" s="9" t="s">
        <x:v>290</x:v>
      </x:c>
      <x:c r="N45" s="10" t="n">
        <x:v>4</x:v>
      </x:c>
      <x:c r="O45" s="9" t="s">
        <x:v>661</x:v>
      </x:c>
      <x:c r="P45" s="9" t="s">
        <x:v>662</x:v>
      </x:c>
      <x:c r="Q45" s="9" t="s">
        <x:v>663</x:v>
      </x:c>
      <x:c r="R45" s="9" t="s">
        <x:v>664</x:v>
      </x:c>
      <x:c r="S45" s="10" t="n">
        <x:v>5</x:v>
      </x:c>
      <x:c r="T45" s="9" t="s">
        <x:v>699</x:v>
      </x:c>
      <x:c r="U45" s="9" t="s">
        <x:v>700</x:v>
      </x:c>
      <x:c r="V45" s="9" t="s">
        <x:v>701</x:v>
      </x:c>
      <x:c r="W45" s="9"/>
      <x:c r="X45" s="1" t="s">
        <x:v>262</x:v>
      </x:c>
      <x:c r="Y45" s="1" t="s">
        <x:v>702</x:v>
      </x:c>
      <x:c r="Z45" s="11" t="s">
        <x:v>28</x:v>
      </x:c>
    </x:row>
    <x:row r="46" ht="30" hidden="0" customHeight="1">
      <x:c r="A46" s="9" t="s">
        <x:v>703</x:v>
      </x:c>
      <x:c r="B46" s="9" t="s">
        <x:v>704</x:v>
      </x:c>
      <x:c r="C46" s="9" t="s">
        <x:v>163</x:v>
      </x:c>
      <x:c r="D46" s="9" t="s">
        <x:v>705</x:v>
      </x:c>
      <x:c r="E46" s="9" t="s">
        <x:v>706</x:v>
      </x:c>
      <x:c r="F46" s="9" t="s">
        <x:v>707</x:v>
      </x:c>
      <x:c r="G46" s="9" t="s">
        <x:v>708</x:v>
      </x:c>
      <x:c r="H46" s="9" t="s">
        <x:v>22</x:v>
      </x:c>
      <x:c r="I46" s="9" t="s">
        <x:v>709</x:v>
      </x:c>
      <x:c r="J46" s="9" t="s">
        <x:v>710</x:v>
      </x:c>
      <x:c r="K46" s="9" t="s">
        <x:v>711</x:v>
      </x:c>
      <x:c r="L46" s="9" t="s">
        <x:v>712</x:v>
      </x:c>
      <x:c r="M46" s="9" t="s">
        <x:v>395</x:v>
      </x:c>
      <x:c r="N46" s="10" t="n">
        <x:v>4</x:v>
      </x:c>
      <x:c r="O46" s="9" t="s">
        <x:v>661</x:v>
      </x:c>
      <x:c r="P46" s="9" t="s">
        <x:v>713</x:v>
      </x:c>
      <x:c r="Q46" s="9" t="s">
        <x:v>714</x:v>
      </x:c>
      <x:c r="R46" s="9" t="s">
        <x:v>715</x:v>
      </x:c>
      <x:c r="S46" s="10" t="n">
        <x:v>4</x:v>
      </x:c>
      <x:c r="T46" s="9" t="s">
        <x:v>716</x:v>
      </x:c>
      <x:c r="U46" s="9" t="s">
        <x:v>717</x:v>
      </x:c>
      <x:c r="V46" s="9" t="s">
        <x:v>718</x:v>
      </x:c>
      <x:c r="W46" s="9"/>
      <x:c r="X46" s="1" t="s">
        <x:v>262</x:v>
      </x:c>
      <x:c r="Y46" s="1" t="s">
        <x:v>719</x:v>
      </x:c>
      <x:c r="Z46" s="11" t="s">
        <x:v>27</x:v>
      </x:c>
    </x:row>
    <x:row r="47" ht="30" hidden="0" customHeight="1">
      <x:c r="A47" s="9" t="s">
        <x:v>720</x:v>
      </x:c>
      <x:c r="B47" s="9" t="s">
        <x:v>721</x:v>
      </x:c>
      <x:c r="C47" s="9" t="s">
        <x:v>85</x:v>
      </x:c>
      <x:c r="D47" s="9" t="s">
        <x:v>504</x:v>
      </x:c>
      <x:c r="E47" s="9" t="s">
        <x:v>590</x:v>
      </x:c>
      <x:c r="F47" s="9" t="s">
        <x:v>722</x:v>
      </x:c>
      <x:c r="G47" s="9" t="s">
        <x:v>723</x:v>
      </x:c>
      <x:c r="H47" s="9" t="s">
        <x:v>22</x:v>
      </x:c>
      <x:c r="I47" s="9" t="s">
        <x:v>724</x:v>
      </x:c>
      <x:c r="J47" s="9" t="s">
        <x:v>725</x:v>
      </x:c>
      <x:c r="K47" s="9" t="s">
        <x:v>726</x:v>
      </x:c>
      <x:c r="L47" s="9" t="s">
        <x:v>727</x:v>
      </x:c>
      <x:c r="M47" s="9" t="s">
        <x:v>395</x:v>
      </x:c>
      <x:c r="N47" s="10" t="n">
        <x:v>3</x:v>
      </x:c>
      <x:c r="O47" s="9" t="s">
        <x:v>661</x:v>
      </x:c>
      <x:c r="P47" s="9" t="s">
        <x:v>713</x:v>
      </x:c>
      <x:c r="Q47" s="9" t="s">
        <x:v>714</x:v>
      </x:c>
      <x:c r="R47" s="9" t="s">
        <x:v>715</x:v>
      </x:c>
      <x:c r="S47" s="10" t="n">
        <x:v>5</x:v>
      </x:c>
      <x:c r="T47" s="9" t="s">
        <x:v>728</x:v>
      </x:c>
      <x:c r="U47" s="9" t="s">
        <x:v>729</x:v>
      </x:c>
      <x:c r="V47" s="9" t="s">
        <x:v>730</x:v>
      </x:c>
      <x:c r="W47" s="9"/>
      <x:c r="X47" s="1" t="s">
        <x:v>600</x:v>
      </x:c>
      <x:c r="Y47" s="1" t="s">
        <x:v>719</x:v>
      </x:c>
      <x:c r="Z47" s="11" t="s">
        <x:v>27</x:v>
      </x:c>
    </x:row>
    <x:row r="48" ht="45" hidden="0" customHeight="1">
      <x:c r="A48" s="9" t="s">
        <x:v>731</x:v>
      </x:c>
      <x:c r="B48" s="9" t="s">
        <x:v>732</x:v>
      </x:c>
      <x:c r="C48" s="9" t="s">
        <x:v>63</x:v>
      </x:c>
      <x:c r="D48" s="9" t="s">
        <x:v>733</x:v>
      </x:c>
      <x:c r="E48" s="9" t="s">
        <x:v>734</x:v>
      </x:c>
      <x:c r="F48" s="9" t="s">
        <x:v>672</x:v>
      </x:c>
      <x:c r="G48" s="9" t="s">
        <x:v>735</x:v>
      </x:c>
      <x:c r="H48" s="9" t="s">
        <x:v>21</x:v>
      </x:c>
      <x:c r="I48" s="9" t="s">
        <x:v>736</x:v>
      </x:c>
      <x:c r="J48" s="9" t="s">
        <x:v>737</x:v>
      </x:c>
      <x:c r="K48" s="9" t="s">
        <x:v>738</x:v>
      </x:c>
      <x:c r="L48" s="9" t="s">
        <x:v>739</x:v>
      </x:c>
      <x:c r="M48" s="9" t="s">
        <x:v>660</x:v>
      </x:c>
      <x:c r="N48" s="10" t="n">
        <x:v>5</x:v>
      </x:c>
      <x:c r="O48" s="9" t="s">
        <x:v>661</x:v>
      </x:c>
      <x:c r="P48" s="9" t="s">
        <x:v>538</x:v>
      </x:c>
      <x:c r="Q48" s="9" t="s">
        <x:v>539</x:v>
      </x:c>
      <x:c r="R48" s="9" t="s">
        <x:v>540</x:v>
      </x:c>
      <x:c r="S48" s="10" t="n">
        <x:v>5</x:v>
      </x:c>
      <x:c r="T48" s="9" t="s">
        <x:v>740</x:v>
      </x:c>
      <x:c r="U48" s="9" t="s">
        <x:v>741</x:v>
      </x:c>
      <x:c r="V48" s="9" t="s">
        <x:v>742</x:v>
      </x:c>
      <x:c r="W48" s="9"/>
      <x:c r="Y48" s="1" t="s">
        <x:v>743</x:v>
      </x:c>
      <x:c r="Z48" s="11" t="s">
        <x:v>32</x:v>
      </x:c>
    </x:row>
    <x:row r="49" ht="45" hidden="0" customHeight="1">
      <x:c r="A49" s="9" t="s">
        <x:v>744</x:v>
      </x:c>
      <x:c r="B49" s="9" t="s">
        <x:v>745</x:v>
      </x:c>
      <x:c r="C49" s="9" t="s">
        <x:v>85</x:v>
      </x:c>
      <x:c r="D49" s="9" t="s">
        <x:v>746</x:v>
      </x:c>
      <x:c r="E49" s="9" t="s">
        <x:v>746</x:v>
      </x:c>
      <x:c r="F49" s="9" t="s">
        <x:v>747</x:v>
      </x:c>
      <x:c r="G49" s="9" t="s">
        <x:v>748</x:v>
      </x:c>
      <x:c r="H49" s="9" t="s">
        <x:v>22</x:v>
      </x:c>
      <x:c r="I49" s="9" t="s">
        <x:v>749</x:v>
      </x:c>
      <x:c r="J49" s="9" t="s">
        <x:v>750</x:v>
      </x:c>
      <x:c r="K49" s="9" t="s">
        <x:v>751</x:v>
      </x:c>
      <x:c r="L49" s="9" t="s">
        <x:v>752</x:v>
      </x:c>
      <x:c r="M49" s="9" t="s">
        <x:v>753</x:v>
      </x:c>
      <x:c r="N49" s="10" t="n">
        <x:v>3</x:v>
      </x:c>
      <x:c r="O49" s="9" t="s">
        <x:v>661</x:v>
      </x:c>
      <x:c r="P49" s="9" t="s">
        <x:v>713</x:v>
      </x:c>
      <x:c r="Q49" s="9" t="s">
        <x:v>714</x:v>
      </x:c>
      <x:c r="R49" s="9" t="s">
        <x:v>715</x:v>
      </x:c>
      <x:c r="S49" s="10" t="n">
        <x:v>4</x:v>
      </x:c>
      <x:c r="T49" s="9" t="s">
        <x:v>754</x:v>
      </x:c>
      <x:c r="U49" s="9" t="s">
        <x:v>755</x:v>
      </x:c>
      <x:c r="V49" s="9" t="s">
        <x:v>756</x:v>
      </x:c>
      <x:c r="W49" s="9" t="s">
        <x:v>757</x:v>
      </x:c>
      <x:c r="Y49" s="1" t="s">
        <x:v>758</x:v>
      </x:c>
      <x:c r="Z49" s="11" t="s">
        <x:v>27</x:v>
      </x:c>
    </x:row>
    <x:row r="50" ht="45.75" hidden="0" customHeight="1">
      <x:c r="A50" s="7" t="s">
        <x:v>759</x:v>
      </x:c>
      <x:c r="B50" s="7" t="s">
        <x:v>760</x:v>
      </x:c>
      <x:c r="C50" s="7" t="s">
        <x:v>85</x:v>
      </x:c>
      <x:c r="D50" s="7" t="s">
        <x:v>229</x:v>
      </x:c>
      <x:c r="E50" s="7" t="s">
        <x:v>761</x:v>
      </x:c>
      <x:c r="F50" s="7" t="s">
        <x:v>762</x:v>
      </x:c>
      <x:c r="G50" s="7" t="s">
        <x:v>763</x:v>
      </x:c>
      <x:c r="H50" s="7" t="s">
        <x:v>18</x:v>
      </x:c>
      <x:c r="I50" s="7" t="s">
        <x:v>764</x:v>
      </x:c>
      <x:c r="J50" s="7" t="s">
        <x:v>765</x:v>
      </x:c>
      <x:c r="K50" s="7" t="s">
        <x:v>766</x:v>
      </x:c>
      <x:c r="L50" s="7" t="s">
        <x:v>767</x:v>
      </x:c>
      <x:c r="M50" s="7" t="s">
        <x:v>322</x:v>
      </x:c>
      <x:c r="N50" s="7" t="n">
        <x:v>5</x:v>
      </x:c>
      <x:c r="O50" s="7" t="s">
        <x:v>768</x:v>
      </x:c>
      <x:c r="P50" s="7" t="s">
        <x:v>769</x:v>
      </x:c>
      <x:c r="Q50" s="7" t="s">
        <x:v>770</x:v>
      </x:c>
      <x:c r="R50" s="7" t="s">
        <x:v>771</x:v>
      </x:c>
      <x:c r="S50" s="7" t="n">
        <x:v>5</x:v>
      </x:c>
      <x:c r="T50" s="7" t="s">
        <x:v>772</x:v>
      </x:c>
      <x:c r="U50" s="7" t="s">
        <x:v>773</x:v>
      </x:c>
      <x:c r="V50" s="7" t="s">
        <x:v>774</x:v>
      </x:c>
      <x:c r="W50" s="7" t="s">
        <x:v>775</x:v>
      </x:c>
      <x:c r="X50" s="7" t="s">
        <x:v>262</x:v>
      </x:c>
      <x:c r="Y50" s="7" t="s">
        <x:v>776</x:v>
      </x:c>
      <x:c r="Z50" s="7" t="s">
        <x:v>27</x:v>
      </x:c>
      <x:c r="AA50" s="1" t="s">
        <x:v>82</x:v>
      </x:c>
    </x:row>
    <x:row r="51" ht="45.75" hidden="0" customHeight="1">
      <x:c r="A51" s="7" t="s">
        <x:v>777</x:v>
      </x:c>
      <x:c r="B51" s="7" t="s">
        <x:v>778</x:v>
      </x:c>
      <x:c r="C51" s="7" t="s">
        <x:v>85</x:v>
      </x:c>
      <x:c r="D51" s="7" t="s">
        <x:v>229</x:v>
      </x:c>
      <x:c r="E51" s="7" t="s">
        <x:v>779</x:v>
      </x:c>
      <x:c r="F51" s="7" t="s">
        <x:v>780</x:v>
      </x:c>
      <x:c r="G51" s="7" t="s">
        <x:v>781</x:v>
      </x:c>
      <x:c r="H51" s="7" t="s">
        <x:v>18</x:v>
      </x:c>
      <x:c r="I51" s="7" t="s">
        <x:v>782</x:v>
      </x:c>
      <x:c r="J51" s="7" t="s">
        <x:v>783</x:v>
      </x:c>
      <x:c r="K51" s="7" t="s">
        <x:v>784</x:v>
      </x:c>
      <x:c r="L51" s="7" t="s">
        <x:v>785</x:v>
      </x:c>
      <x:c r="M51" s="7" t="s">
        <x:v>33</x:v>
      </x:c>
      <x:c r="N51" s="7" t="n">
        <x:v>4</x:v>
      </x:c>
      <x:c r="O51" s="7" t="s">
        <x:v>768</x:v>
      </x:c>
      <x:c r="P51" s="7" t="s">
        <x:v>769</x:v>
      </x:c>
      <x:c r="Q51" s="7" t="s">
        <x:v>770</x:v>
      </x:c>
      <x:c r="R51" s="7" t="s">
        <x:v>771</x:v>
      </x:c>
      <x:c r="S51" s="7" t="n">
        <x:v>4</x:v>
      </x:c>
      <x:c r="T51" s="7" t="s">
        <x:v>786</x:v>
      </x:c>
      <x:c r="U51" s="7" t="s">
        <x:v>787</x:v>
      </x:c>
      <x:c r="V51" s="7" t="s">
        <x:v>788</x:v>
      </x:c>
      <x:c r="W51" s="7" t="s">
        <x:v>789</x:v>
      </x:c>
      <x:c r="X51" s="7" t="s">
        <x:v>790</x:v>
      </x:c>
      <x:c r="Y51" s="7" t="s">
        <x:v>791</x:v>
      </x:c>
      <x:c r="Z51" s="7" t="s">
        <x:v>33</x:v>
      </x:c>
    </x:row>
    <x:row r="52" ht="34.5" hidden="0" customHeight="1">
      <x:c r="A52" s="7" t="s">
        <x:v>792</x:v>
      </x:c>
      <x:c r="B52" s="7" t="s">
        <x:v>793</x:v>
      </x:c>
      <x:c r="C52" s="7" t="s">
        <x:v>85</x:v>
      </x:c>
      <x:c r="D52" s="7" t="s">
        <x:v>229</x:v>
      </x:c>
      <x:c r="E52" s="7" t="s">
        <x:v>266</x:v>
      </x:c>
      <x:c r="F52" s="7" t="s">
        <x:v>794</x:v>
      </x:c>
      <x:c r="G52" s="7" t="s">
        <x:v>795</x:v>
      </x:c>
      <x:c r="H52" s="7" t="s">
        <x:v>18</x:v>
      </x:c>
      <x:c r="I52" s="7" t="s">
        <x:v>796</x:v>
      </x:c>
      <x:c r="J52" s="7" t="s">
        <x:v>797</x:v>
      </x:c>
      <x:c r="K52" s="7" t="s">
        <x:v>798</x:v>
      </x:c>
      <x:c r="L52" s="7" t="s">
        <x:v>799</x:v>
      </x:c>
      <x:c r="M52" s="7" t="s">
        <x:v>322</x:v>
      </x:c>
      <x:c r="N52" s="7" t="n">
        <x:v>5</x:v>
      </x:c>
      <x:c r="O52" s="7" t="s">
        <x:v>768</x:v>
      </x:c>
      <x:c r="P52" s="7" t="s">
        <x:v>800</x:v>
      </x:c>
      <x:c r="Q52" s="7" t="s">
        <x:v>801</x:v>
      </x:c>
      <x:c r="R52" s="7" t="s">
        <x:v>802</x:v>
      </x:c>
      <x:c r="S52" s="7" t="n">
        <x:v>5</x:v>
      </x:c>
      <x:c r="T52" s="7" t="s">
        <x:v>803</x:v>
      </x:c>
      <x:c r="U52" s="7" t="s">
        <x:v>804</x:v>
      </x:c>
      <x:c r="V52" s="7" t="s">
        <x:v>805</x:v>
      </x:c>
      <x:c r="W52" s="7"/>
      <x:c r="X52" s="7" t="s">
        <x:v>262</x:v>
      </x:c>
      <x:c r="Y52" s="7" t="s">
        <x:v>806</x:v>
      </x:c>
      <x:c r="Z52" s="7" t="s">
        <x:v>27</x:v>
      </x:c>
    </x:row>
    <x:row r="53" ht="34.5" hidden="0" customHeight="1">
      <x:c r="A53" s="7" t="s">
        <x:v>807</x:v>
      </x:c>
      <x:c r="B53" s="7" t="s">
        <x:v>793</x:v>
      </x:c>
      <x:c r="C53" s="7" t="s">
        <x:v>85</x:v>
      </x:c>
      <x:c r="D53" s="7" t="s">
        <x:v>808</x:v>
      </x:c>
      <x:c r="E53" s="7" t="s">
        <x:v>809</x:v>
      </x:c>
      <x:c r="F53" s="7" t="s">
        <x:v>810</x:v>
      </x:c>
      <x:c r="G53" s="7" t="s">
        <x:v>811</x:v>
      </x:c>
      <x:c r="H53" s="7" t="s">
        <x:v>18</x:v>
      </x:c>
      <x:c r="I53" s="7" t="s">
        <x:v>812</x:v>
      </x:c>
      <x:c r="J53" s="7" t="s">
        <x:v>813</x:v>
      </x:c>
      <x:c r="K53" s="7" t="s">
        <x:v>814</x:v>
      </x:c>
      <x:c r="L53" s="7" t="s">
        <x:v>815</x:v>
      </x:c>
      <x:c r="M53" s="7" t="s">
        <x:v>660</x:v>
      </x:c>
      <x:c r="N53" s="7" t="n">
        <x:v>5</x:v>
      </x:c>
      <x:c r="O53" s="7" t="s">
        <x:v>768</x:v>
      </x:c>
      <x:c r="P53" s="7" t="s">
        <x:v>816</x:v>
      </x:c>
      <x:c r="Q53" s="7" t="s">
        <x:v>817</x:v>
      </x:c>
      <x:c r="R53" s="7" t="s">
        <x:v>818</x:v>
      </x:c>
      <x:c r="S53" s="7" t="n">
        <x:v>5</x:v>
      </x:c>
      <x:c r="T53" s="7" t="s">
        <x:v>819</x:v>
      </x:c>
      <x:c r="U53" s="7" t="s">
        <x:v>820</x:v>
      </x:c>
      <x:c r="V53" s="7" t="s">
        <x:v>821</x:v>
      </x:c>
      <x:c r="W53" s="7"/>
      <x:c r="X53" s="7" t="s">
        <x:v>262</x:v>
      </x:c>
      <x:c r="Y53" s="7" t="s">
        <x:v>822</x:v>
      </x:c>
      <x:c r="Z53" s="7" t="s">
        <x:v>31</x:v>
      </x:c>
    </x:row>
    <x:row r="54" ht="45.75" hidden="0" customHeight="1">
      <x:c r="A54" s="7" t="s">
        <x:v>823</x:v>
      </x:c>
      <x:c r="B54" s="7" t="s">
        <x:v>824</x:v>
      </x:c>
      <x:c r="C54" s="7" t="s">
        <x:v>63</x:v>
      </x:c>
      <x:c r="D54" s="7" t="s">
        <x:v>733</x:v>
      </x:c>
      <x:c r="E54" s="7" t="s">
        <x:v>825</x:v>
      </x:c>
      <x:c r="F54" s="7" t="s">
        <x:v>826</x:v>
      </x:c>
      <x:c r="G54" s="7" t="s">
        <x:v>827</x:v>
      </x:c>
      <x:c r="H54" s="7" t="s">
        <x:v>18</x:v>
      </x:c>
      <x:c r="I54" s="7" t="s">
        <x:v>828</x:v>
      </x:c>
      <x:c r="J54" s="7" t="s">
        <x:v>829</x:v>
      </x:c>
      <x:c r="K54" s="7" t="s">
        <x:v>830</x:v>
      </x:c>
      <x:c r="L54" s="7" t="s">
        <x:v>831</x:v>
      </x:c>
      <x:c r="M54" s="7" t="s">
        <x:v>322</x:v>
      </x:c>
      <x:c r="N54" s="7" t="n">
        <x:v>4</x:v>
      </x:c>
      <x:c r="O54" s="7" t="s">
        <x:v>768</x:v>
      </x:c>
      <x:c r="P54" s="7" t="s">
        <x:v>832</x:v>
      </x:c>
      <x:c r="Q54" s="7" t="s">
        <x:v>833</x:v>
      </x:c>
      <x:c r="R54" s="7" t="s">
        <x:v>834</x:v>
      </x:c>
      <x:c r="S54" s="7" t="n">
        <x:v>4</x:v>
      </x:c>
      <x:c r="T54" s="7" t="s">
        <x:v>835</x:v>
      </x:c>
      <x:c r="U54" s="7" t="s">
        <x:v>836</x:v>
      </x:c>
      <x:c r="V54" s="7" t="s">
        <x:v>837</x:v>
      </x:c>
      <x:c r="W54" s="7"/>
      <x:c r="X54" s="7"/>
      <x:c r="Y54" s="7" t="s">
        <x:v>838</x:v>
      </x:c>
      <x:c r="Z54" s="7" t="s">
        <x:v>35</x:v>
      </x:c>
    </x:row>
    <x:row r="55" ht="34.5" hidden="0" customHeight="1">
      <x:c r="A55" s="7" t="s">
        <x:v>839</x:v>
      </x:c>
      <x:c r="B55" s="7" t="s">
        <x:v>840</x:v>
      </x:c>
      <x:c r="C55" s="7" t="s">
        <x:v>85</x:v>
      </x:c>
      <x:c r="D55" s="7" t="s">
        <x:v>504</x:v>
      </x:c>
      <x:c r="E55" s="7" t="s">
        <x:v>841</x:v>
      </x:c>
      <x:c r="F55" s="7" t="s">
        <x:v>842</x:v>
      </x:c>
      <x:c r="G55" s="7" t="s">
        <x:v>843</x:v>
      </x:c>
      <x:c r="H55" s="7" t="s">
        <x:v>18</x:v>
      </x:c>
      <x:c r="I55" s="7" t="s">
        <x:v>844</x:v>
      </x:c>
      <x:c r="J55" s="7" t="s">
        <x:v>845</x:v>
      </x:c>
      <x:c r="K55" s="7" t="s">
        <x:v>846</x:v>
      </x:c>
      <x:c r="L55" s="7" t="s">
        <x:v>847</x:v>
      </x:c>
      <x:c r="M55" s="7" t="s">
        <x:v>33</x:v>
      </x:c>
      <x:c r="N55" s="7" t="n">
        <x:v>4</x:v>
      </x:c>
      <x:c r="O55" s="7" t="s">
        <x:v>768</x:v>
      </x:c>
      <x:c r="P55" s="7" t="s">
        <x:v>848</x:v>
      </x:c>
      <x:c r="Q55" s="7" t="s">
        <x:v>849</x:v>
      </x:c>
      <x:c r="R55" s="7" t="s">
        <x:v>850</x:v>
      </x:c>
      <x:c r="S55" s="7" t="n">
        <x:v>5</x:v>
      </x:c>
      <x:c r="T55" s="7" t="s">
        <x:v>851</x:v>
      </x:c>
      <x:c r="U55" s="7" t="s">
        <x:v>852</x:v>
      </x:c>
      <x:c r="V55" s="7" t="s">
        <x:v>853</x:v>
      </x:c>
      <x:c r="W55" s="7"/>
      <x:c r="X55" s="7" t="s">
        <x:v>854</x:v>
      </x:c>
      <x:c r="Y55" s="7" t="s">
        <x:v>855</x:v>
      </x:c>
      <x:c r="Z55" s="7" t="s">
        <x:v>33</x:v>
      </x:c>
    </x:row>
    <x:row r="56" ht="34.5" hidden="0" customHeight="1">
      <x:c r="A56" s="7" t="s">
        <x:v>856</x:v>
      </x:c>
      <x:c r="B56" s="7" t="s">
        <x:v>857</x:v>
      </x:c>
      <x:c r="C56" s="7" t="s">
        <x:v>405</x:v>
      </x:c>
      <x:c r="D56" s="7" t="s">
        <x:v>504</x:v>
      </x:c>
      <x:c r="E56" s="7" t="s">
        <x:v>841</x:v>
      </x:c>
      <x:c r="F56" s="7" t="s">
        <x:v>858</x:v>
      </x:c>
      <x:c r="G56" s="7" t="s">
        <x:v>859</x:v>
      </x:c>
      <x:c r="H56" s="7" t="s">
        <x:v>18</x:v>
      </x:c>
      <x:c r="I56" s="7" t="s">
        <x:v>860</x:v>
      </x:c>
      <x:c r="J56" s="7" t="s">
        <x:v>861</x:v>
      </x:c>
      <x:c r="K56" s="7" t="s">
        <x:v>862</x:v>
      </x:c>
      <x:c r="L56" s="7" t="s">
        <x:v>863</x:v>
      </x:c>
      <x:c r="M56" s="7" t="s">
        <x:v>33</x:v>
      </x:c>
      <x:c r="N56" s="7" t="n">
        <x:v>4</x:v>
      </x:c>
      <x:c r="O56" s="7" t="s">
        <x:v>768</x:v>
      </x:c>
      <x:c r="P56" s="7" t="s">
        <x:v>864</x:v>
      </x:c>
      <x:c r="Q56" s="7" t="s">
        <x:v>865</x:v>
      </x:c>
      <x:c r="R56" s="7" t="s">
        <x:v>866</x:v>
      </x:c>
      <x:c r="S56" s="7" t="n">
        <x:v>5</x:v>
      </x:c>
      <x:c r="T56" s="7" t="s">
        <x:v>867</x:v>
      </x:c>
      <x:c r="U56" s="7" t="s">
        <x:v>868</x:v>
      </x:c>
      <x:c r="V56" s="7" t="s">
        <x:v>869</x:v>
      </x:c>
      <x:c r="W56" s="7"/>
      <x:c r="X56" s="7" t="s">
        <x:v>854</x:v>
      </x:c>
      <x:c r="Y56" s="7" t="s">
        <x:v>870</x:v>
      </x:c>
      <x:c r="Z56" s="7" t="s">
        <x:v>33</x:v>
      </x:c>
    </x:row>
    <x:row r="57" ht="34.5" hidden="0" customHeight="1">
      <x:c r="A57" s="7" t="s">
        <x:v>871</x:v>
      </x:c>
      <x:c r="B57" s="7" t="s">
        <x:v>872</x:v>
      </x:c>
      <x:c r="C57" s="7" t="s">
        <x:v>63</x:v>
      </x:c>
      <x:c r="D57" s="7" t="s">
        <x:v>733</x:v>
      </x:c>
      <x:c r="E57" s="7" t="s">
        <x:v>825</x:v>
      </x:c>
      <x:c r="F57" s="7" t="s">
        <x:v>873</x:v>
      </x:c>
      <x:c r="G57" s="7" t="s">
        <x:v>874</x:v>
      </x:c>
      <x:c r="H57" s="7" t="s">
        <x:v>18</x:v>
      </x:c>
      <x:c r="I57" s="7" t="s">
        <x:v>875</x:v>
      </x:c>
      <x:c r="J57" s="7" t="s">
        <x:v>876</x:v>
      </x:c>
      <x:c r="K57" s="7" t="s">
        <x:v>877</x:v>
      </x:c>
      <x:c r="L57" s="7" t="s">
        <x:v>878</x:v>
      </x:c>
      <x:c r="M57" s="7" t="s">
        <x:v>660</x:v>
      </x:c>
      <x:c r="N57" s="7" t="n">
        <x:v>4</x:v>
      </x:c>
      <x:c r="O57" s="7" t="s">
        <x:v>768</x:v>
      </x:c>
      <x:c r="P57" s="7" t="s">
        <x:v>879</x:v>
      </x:c>
      <x:c r="Q57" s="7" t="s">
        <x:v>880</x:v>
      </x:c>
      <x:c r="R57" s="7" t="s">
        <x:v>881</x:v>
      </x:c>
      <x:c r="S57" s="7" t="n">
        <x:v>5</x:v>
      </x:c>
      <x:c r="T57" s="7" t="s">
        <x:v>882</x:v>
      </x:c>
      <x:c r="U57" s="7" t="s">
        <x:v>883</x:v>
      </x:c>
      <x:c r="V57" s="7" t="s">
        <x:v>884</x:v>
      </x:c>
      <x:c r="W57" s="7"/>
      <x:c r="X57" s="7"/>
      <x:c r="Y57" s="7" t="s">
        <x:v>885</x:v>
      </x:c>
      <x:c r="Z57" s="7" t="s">
        <x:v>36</x:v>
      </x:c>
    </x:row>
    <x:row r="58" ht="45.75" hidden="0" customHeight="1">
      <x:c r="A58" s="7" t="s">
        <x:v>886</x:v>
      </x:c>
      <x:c r="B58" s="7" t="s">
        <x:v>887</x:v>
      </x:c>
      <x:c r="C58" s="7" t="s">
        <x:v>63</x:v>
      </x:c>
      <x:c r="D58" s="7" t="s">
        <x:v>733</x:v>
      </x:c>
      <x:c r="E58" s="7" t="s">
        <x:v>825</x:v>
      </x:c>
      <x:c r="F58" s="7" t="s">
        <x:v>888</x:v>
      </x:c>
      <x:c r="G58" s="7" t="s">
        <x:v>889</x:v>
      </x:c>
      <x:c r="H58" s="7" t="s">
        <x:v>18</x:v>
      </x:c>
      <x:c r="I58" s="7" t="s">
        <x:v>890</x:v>
      </x:c>
      <x:c r="J58" s="7" t="s">
        <x:v>891</x:v>
      </x:c>
      <x:c r="K58" s="7" t="s">
        <x:v>892</x:v>
      </x:c>
      <x:c r="L58" s="7" t="s">
        <x:v>893</x:v>
      </x:c>
      <x:c r="M58" s="7" t="s">
        <x:v>322</x:v>
      </x:c>
      <x:c r="N58" s="7" t="n">
        <x:v>5</x:v>
      </x:c>
      <x:c r="O58" s="7" t="s">
        <x:v>768</x:v>
      </x:c>
      <x:c r="P58" s="7" t="s">
        <x:v>894</x:v>
      </x:c>
      <x:c r="Q58" s="7" t="s">
        <x:v>895</x:v>
      </x:c>
      <x:c r="R58" s="7" t="s">
        <x:v>896</x:v>
      </x:c>
      <x:c r="S58" s="7" t="n">
        <x:v>5</x:v>
      </x:c>
      <x:c r="T58" s="7" t="s">
        <x:v>897</x:v>
      </x:c>
      <x:c r="U58" s="7" t="s">
        <x:v>898</x:v>
      </x:c>
      <x:c r="V58" s="7" t="s">
        <x:v>899</x:v>
      </x:c>
      <x:c r="W58" s="7"/>
      <x:c r="X58" s="7"/>
      <x:c r="Y58" s="7" t="s">
        <x:v>900</x:v>
      </x:c>
      <x:c r="Z58" s="7" t="s">
        <x:v>31</x:v>
      </x:c>
    </x:row>
    <x:row r="59" ht="45.75" hidden="0" customHeight="1">
      <x:c r="A59" s="7" t="s">
        <x:v>901</x:v>
      </x:c>
      <x:c r="B59" s="7" t="s">
        <x:v>887</x:v>
      </x:c>
      <x:c r="C59" s="7" t="s">
        <x:v>63</x:v>
      </x:c>
      <x:c r="D59" s="7" t="s">
        <x:v>746</x:v>
      </x:c>
      <x:c r="E59" s="7" t="s">
        <x:v>902</x:v>
      </x:c>
      <x:c r="F59" s="7" t="s">
        <x:v>903</x:v>
      </x:c>
      <x:c r="G59" s="7" t="s">
        <x:v>904</x:v>
      </x:c>
      <x:c r="H59" s="7" t="s">
        <x:v>18</x:v>
      </x:c>
      <x:c r="I59" s="7" t="s">
        <x:v>905</x:v>
      </x:c>
      <x:c r="J59" s="7" t="s">
        <x:v>906</x:v>
      </x:c>
      <x:c r="K59" s="7" t="s">
        <x:v>907</x:v>
      </x:c>
      <x:c r="L59" s="7" t="s">
        <x:v>908</x:v>
      </x:c>
      <x:c r="M59" s="7" t="s">
        <x:v>31</x:v>
      </x:c>
      <x:c r="N59" s="7" t="n">
        <x:v>5</x:v>
      </x:c>
      <x:c r="O59" s="7" t="s">
        <x:v>768</x:v>
      </x:c>
      <x:c r="P59" s="7" t="s">
        <x:v>848</x:v>
      </x:c>
      <x:c r="Q59" s="7" t="s">
        <x:v>849</x:v>
      </x:c>
      <x:c r="R59" s="7" t="s">
        <x:v>850</x:v>
      </x:c>
      <x:c r="S59" s="7" t="n">
        <x:v>4</x:v>
      </x:c>
      <x:c r="T59" s="7" t="s">
        <x:v>909</x:v>
      </x:c>
      <x:c r="U59" s="7" t="s">
        <x:v>910</x:v>
      </x:c>
      <x:c r="V59" s="7" t="s">
        <x:v>911</x:v>
      </x:c>
      <x:c r="W59" s="7" t="s">
        <x:v>912</x:v>
      </x:c>
      <x:c r="X59" s="7" t="s">
        <x:v>854</x:v>
      </x:c>
      <x:c r="Y59" s="7" t="s">
        <x:v>913</x:v>
      </x:c>
      <x:c r="Z59" s="7" t="s">
        <x:v>31</x:v>
      </x:c>
    </x:row>
    <x:row r="60" ht="12.75" hidden="0" customHeight="1">
      <x:c r="A60" s="28" t="str">
        <x:v>PL-HIST-0059</x:v>
      </x:c>
      <x:c r="B60" s="28" t="str">
        <x:v>1884</x:v>
      </x:c>
      <x:c r="C60" s="28" t="str">
        <x:v>год</x:v>
      </x:c>
      <x:c r="D60" s="28" t="str">
        <x:v>США</x:v>
      </x:c>
      <x:c r="E60" s="28" t="str">
        <x:v>Рочестер, Нью-Йорк</x:v>
      </x:c>
      <x:c r="F60" s="28" t="str">
        <x:v>Джордж Истмен / Eastman Dry Plate and Film Company</x:v>
      </x:c>
      <x:c r="G60" s="28" t="str">
        <x:v>Компания Истмена меняет акцент с одних сухих пластин на поиск более удобного рулонного носителя для фотографии.</x:v>
      </x:c>
      <x:c r="H60" s="28" t="str">
        <x:v>Негатив-позитив</x:v>
      </x:c>
      <x:c r="I60" s="28" t="str">
        <x:v>Eastman Dry Plate and Film Company / roll-film direction</x:v>
      </x:c>
      <x:c r="J60" s="28" t="str">
        <x:v>После сухих пластин следующей проблемой становится не химия, а носитель: стекло нужно заменить чем-то гибким и лёгким.</x:v>
      </x:c>
      <x:c r="K60" s="28" t="str">
        <x:v>Сухие желатиновые пластины освободили фотографа от мокрой лаборатории, но не от тяжёлого стекла.</x:v>
      </x:c>
      <x:c r="L60" s="28" t="str">
        <x:v>Eastman-Walker roll holder и бумажная рулонная плёнка</x:v>
      </x:c>
      <x:c r="M60" s="28" t="str">
        <x:v>Связь / переход</x:v>
      </x:c>
      <x:c r="N60" s="28" t="n">
        <x:v>4</x:v>
      </x:c>
      <x:c r="O60" s="28" t="str">
        <x:v>PL-007</x:v>
      </x:c>
      <x:c r="P60" s="28" t="str">
        <x:v>SRC-031</x:v>
      </x:c>
      <x:c r="Q60" s="28" t="str">
        <x:v>Kodak — History</x:v>
      </x:c>
      <x:c r="R60" s="28" t="str">
        <x:v>https://www.kodak.com/en/company/page/history/</x:v>
      </x:c>
      <x:c r="S60" s="28" t="n">
        <x:v>4</x:v>
      </x:c>
      <x:c r="T60" s="28" t="str">
        <x:v>В уроке это мост: фотография уже стала сухой, но ещё остаётся стеклянной. Истмен ищет следующий уровень удобства.</x:v>
      </x:c>
      <x:c r="U60" s="28" t="str">
        <x:v>Стеклянная пластина на карте превращается в намотанную ленту.</x:v>
      </x:c>
      <x:c r="V60" s="28" t="str">
        <x:v>#PL007 #Eastman #roll-film #Rochester #bridge</x:v>
      </x:c>
      <x:c r="W60" s="28" t="str">
        <x:v>Уточнить, нужна ли отдельная строка по юридическому переименованию компании 1884 или достаточно оставить как контекст.</x:v>
      </x:c>
      <x:c r="X60" s="28" t="str">
        <x:v>43.1566, -77.6088</x:v>
      </x:c>
      <x:c r="Y60" s="28" t="str">
        <x:v>Рулонная плёнка / бизнес-переход</x:v>
      </x:c>
      <x:c r="Z60" s="28" t="str">
        <x:v>Связь / переход</x:v>
      </x:c>
      <x:c r="AA60" s="28"/>
    </x:row>
    <x:row r="61" ht="12.75" hidden="0" customHeight="1">
      <x:c r="A61" s="28" t="str">
        <x:v>PL-HIST-0060</x:v>
      </x:c>
      <x:c r="B61" s="28" t="str">
        <x:v>1885</x:v>
      </x:c>
      <x:c r="C61" s="28" t="str">
        <x:v>год</x:v>
      </x:c>
      <x:c r="D61" s="28" t="str">
        <x:v>США</x:v>
      </x:c>
      <x:c r="E61" s="28" t="str">
        <x:v>Рочестер, Нью-Йорк</x:v>
      </x:c>
      <x:c r="F61" s="28" t="str">
        <x:v>Джордж Истмен / Уильям Холл Уокер</x:v>
      </x:c>
      <x:c r="G61" s="28" t="str">
        <x:v>Появляется Eastman-Walker roll holder — держатель, позволявший использовать рулонный носитель в камерах, рассчитанных на пластины.</x:v>
      </x:c>
      <x:c r="H61" s="28" t="str">
        <x:v>Негатив-позитив</x:v>
      </x:c>
      <x:c r="I61" s="28" t="str">
        <x:v>Eastman-Walker roll holder</x:v>
      </x:c>
      <x:c r="J61" s="28" t="str">
        <x:v>Камера начинает работать не с одиночными стеклянными пластинами, а с последовательностью кадров на рулоне.</x:v>
      </x:c>
      <x:c r="K61" s="28" t="str">
        <x:v>Сухая пластина как готовый негативный материал</x:v>
      </x:c>
      <x:c r="L61" s="28" t="str">
        <x:v>American Film и первые попытки коммерческого рулонного процесса</x:v>
      </x:c>
      <x:c r="M61" s="28" t="str">
        <x:v>Главная линия</x:v>
      </x:c>
      <x:c r="N61" s="28" t="n">
        <x:v>5</x:v>
      </x:c>
      <x:c r="O61" s="28" t="str">
        <x:v>PL-007</x:v>
      </x:c>
      <x:c r="P61" s="28" t="str">
        <x:v>SRC-035</x:v>
      </x:c>
      <x:c r="Q61" s="28" t="str">
        <x:v>Science Museum Group — Eastman-Walker roll holder</x:v>
      </x:c>
      <x:c r="R61" s="28" t="str">
        <x:v>https://collection.sciencemuseumgroup.org.uk/objects/co15879/eastman-walker-roll-holder</x:v>
      </x:c>
      <x:c r="S61" s="28" t="n">
        <x:v>5</x:v>
      </x:c>
      <x:c r="T61" s="28" t="str">
        <x:v>Для новичка: рулонная плёнка сначала вошла не как маленькая камера Kodak, а как приставка/держатель для уже существующих камер.</x:v>
      </x:c>
      <x:c r="U61" s="28" t="str">
        <x:v>На карте: рядом с камерой появляется рулонный модуль вместо стопки стеклянных пластин.</x:v>
      </x:c>
      <x:c r="V61" s="28" t="str">
        <x:v>#PL007 #EastmanWalker #roll-holder #Rochester</x:v>
      </x:c>
      <x:c r="W61" s="28"/>
      <x:c r="X61" s="28" t="str">
        <x:v>43.1566, -77.6088</x:v>
      </x:c>
      <x:c r="Y61" s="28" t="str">
        <x:v>Рулонная плёнка / держатель</x:v>
      </x:c>
      <x:c r="Z61" s="28" t="str">
        <x:v>Инструмент / устройство</x:v>
      </x:c>
      <x:c r="AA61" s="28"/>
    </x:row>
    <x:row r="62" ht="12.75" hidden="0" customHeight="1">
      <x:c r="A62" s="28" t="str">
        <x:v>PL-HIST-0061</x:v>
      </x:c>
      <x:c r="B62" s="28" t="str">
        <x:v>1885</x:v>
      </x:c>
      <x:c r="C62" s="28" t="str">
        <x:v>год</x:v>
      </x:c>
      <x:c r="D62" s="28" t="str">
        <x:v>США</x:v>
      </x:c>
      <x:c r="E62" s="28" t="str">
        <x:v>Рочестер, Нью-Йорк</x:v>
      </x:c>
      <x:c r="F62" s="28" t="str">
        <x:v>Джордж Истмен / Eastman Dry Plate and Film Company</x:v>
      </x:c>
      <x:c r="G62" s="28" t="str">
        <x:v>Eastman American Film с бумажной основой вводится вместе с Eastman-Walker roll holder и предлагается профессиональным фотографам.</x:v>
      </x:c>
      <x:c r="H62" s="28" t="str">
        <x:v>Негатив-позитив</x:v>
      </x:c>
      <x:c r="I62" s="28" t="str">
        <x:v>American Film / paper-based roll film</x:v>
      </x:c>
      <x:c r="J62" s="28" t="str">
        <x:v>Рулонный носитель становится реальным коммерческим продуктом, но бумажная основа ещё даёт ограничения по качеству.</x:v>
      </x:c>
      <x:c r="K62" s="28" t="str">
        <x:v>Eastman-Walker roll holder</x:v>
      </x:c>
      <x:c r="L62" s="28" t="str">
        <x:v>Kodak camera 1888 и прозрачная рулонная плёнка 1889</x:v>
      </x:c>
      <x:c r="M62" s="28" t="str">
        <x:v>Переходная технология</x:v>
      </x:c>
      <x:c r="N62" s="28" t="n">
        <x:v>4</x:v>
      </x:c>
      <x:c r="O62" s="28" t="str">
        <x:v>PL-007</x:v>
      </x:c>
      <x:c r="P62" s="28" t="str">
        <x:v>SRC-036</x:v>
      </x:c>
      <x:c r="Q62" s="28" t="str">
        <x:v>George Eastman Museum — Two rare rolls of early Kodak film</x:v>
      </x:c>
      <x:c r="R62" s="28" t="str">
        <x:v>https://www.eastman.org/two-rare-rolls-early-kodak-film-acquired-george-eastman-museum</x:v>
      </x:c>
      <x:c r="S62" s="28" t="n">
        <x:v>5</x:v>
      </x:c>
      <x:c r="T62" s="28" t="str">
        <x:v>Важно показать честно: первая рулонная плёнка была удобнее стекла, но ещё не идеальна по изображению.</x:v>
      </x:c>
      <x:c r="U62" s="28" t="str">
        <x:v>Пунктирная лента: рулон уже появился, но ещё требует улучшения.</x:v>
      </x:c>
      <x:c r="V62" s="28" t="str">
        <x:v>#PL007 #AmericanFilm #paper-roll-film #Eastman</x:v>
      </x:c>
      <x:c r="W62" s="28"/>
      <x:c r="X62" s="28" t="str">
        <x:v>43.1566, -77.6088</x:v>
      </x:c>
      <x:c r="Y62" s="28" t="str">
        <x:v>Рулонная плёнка / бумажная основа</x:v>
      </x:c>
      <x:c r="Z62" s="28" t="str">
        <x:v>Технология / процесс</x:v>
      </x:c>
      <x:c r="AA62" s="28"/>
    </x:row>
    <x:row r="63" ht="12.75" hidden="0" customHeight="1">
      <x:c r="A63" s="28" t="str">
        <x:v>PL-HIST-0062</x:v>
      </x:c>
      <x:c r="B63" s="28" t="str">
        <x:v>1887</x:v>
      </x:c>
      <x:c r="C63" s="28" t="str">
        <x:v>год</x:v>
      </x:c>
      <x:c r="D63" s="28" t="str">
        <x:v>США</x:v>
      </x:c>
      <x:c r="E63" s="28" t="str">
        <x:v>Ньюарк, Нью-Джерси</x:v>
      </x:c>
      <x:c r="F63" s="28" t="str">
        <x:v>Ганнибал Гудвин</x:v>
      </x:c>
      <x:c r="G63" s="28" t="str">
        <x:v>Гудвин подаёт патентную заявку на прозрачную гибкую фотографическую плёнку на нитроцеллюлозной основе.</x:v>
      </x:c>
      <x:c r="H63" s="28" t="str">
        <x:v>Негатив-позитив</x:v>
      </x:c>
      <x:c r="I63" s="28" t="str">
        <x:v>Flexible transparent nitrocellulose film</x:v>
      </x:c>
      <x:c r="J63" s="28" t="str">
        <x:v>Рулонная фотография получает направление к прозрачной гибкой основе, которая лучше подходит для качественного негатива и будущего кино.</x:v>
      </x:c>
      <x:c r="K63" s="28" t="str">
        <x:v>Ограничения бумажной рулонной плёнки</x:v>
      </x:c>
      <x:c r="L63" s="28" t="str">
        <x:v>Прозрачная плёнка Eastman/Reichenbach и патентные споры вокруг целлулоидной основы</x:v>
      </x:c>
      <x:c r="M63" s="28" t="str">
        <x:v>Исторически важная ограниченная ветка</x:v>
      </x:c>
      <x:c r="N63" s="28" t="n">
        <x:v>4</x:v>
      </x:c>
      <x:c r="O63" s="28" t="str">
        <x:v>PL-007</x:v>
      </x:c>
      <x:c r="P63" s="28" t="str">
        <x:v>SRC-037</x:v>
      </x:c>
      <x:c r="Q63" s="28" t="str">
        <x:v>National Inventors Hall of Fame — Hannibal Goodwin</x:v>
      </x:c>
      <x:c r="R63" s="28" t="str">
        <x:v>https://www.invent.org/inductees/hannibal-goodwin</x:v>
      </x:c>
      <x:c r="S63" s="28" t="n">
        <x:v>4</x:v>
      </x:c>
      <x:c r="T63" s="28" t="str">
        <x:v>Этот узел нужен как параллельная ветка: история плёнки — не только Истмен, но и спорная линия Гудвина.</x:v>
      </x:c>
      <x:c r="U63" s="28" t="str">
        <x:v>От основной линии Kodak отходит пунктирная ветка к Ньюарку: изобретатель вне большой фабрики.</x:v>
      </x:c>
      <x:c r="V63" s="28" t="str">
        <x:v>#PL007 #Goodwin #celluloid #transparent-film #patent</x:v>
      </x:c>
      <x:c r="W63" s="28" t="str">
        <x:v>Проверить формулировку: заявка 1887, патент выдан позже; не писать как мгновенно утверждённый патент.</x:v>
      </x:c>
      <x:c r="X63" s="28" t="str">
        <x:v>40.7357, -74.1724</x:v>
      </x:c>
      <x:c r="Y63" s="28" t="str">
        <x:v>Рулонная плёнка / целлулоидная основа</x:v>
      </x:c>
      <x:c r="Z63" s="28" t="str">
        <x:v>Технология / процесс</x:v>
      </x:c>
      <x:c r="AA63" s="28"/>
    </x:row>
    <x:row r="64" ht="12.75" hidden="0" customHeight="1">
      <x:c r="A64" s="28" t="str">
        <x:v>PL-HIST-0063</x:v>
      </x:c>
      <x:c r="B64" s="28" t="str">
        <x:v>1888</x:v>
      </x:c>
      <x:c r="C64" s="28" t="str">
        <x:v>год</x:v>
      </x:c>
      <x:c r="D64" s="28" t="str">
        <x:v>США</x:v>
      </x:c>
      <x:c r="E64" s="28" t="str">
        <x:v>Рочестер, Нью-Йорк</x:v>
      </x:c>
      <x:c r="F64" s="28" t="str">
        <x:v>Джордж Истмен / Kodak</x:v>
      </x:c>
      <x:c r="G64" s="28" t="str">
        <x:v>Появляется первая камера Kodak: простая box-camera, заранее заряженная рулоном на 100 снимков.</x:v>
      </x:c>
      <x:c r="H64" s="28" t="str">
        <x:v>Негатив-позитив</x:v>
      </x:c>
      <x:c r="I64" s="28" t="str">
        <x:v>Original Kodak camera / roll-film camera</x:v>
      </x:c>
      <x:c r="J64" s="28" t="str">
        <x:v>Фотография становится не только технологией профессионалов: пользователь нажимает кнопку, а сложную обработку берёт на себя компания.</x:v>
      </x:c>
      <x:c r="K64" s="28" t="str">
        <x:v>American Film и попытки заменить стеклянную пластину рулонным носителем</x:v>
      </x:c>
      <x:c r="L64" s="28" t="str">
        <x:v>Сервисная модель Kodak и массовая любительская фотография</x:v>
      </x:c>
      <x:c r="M64" s="28" t="str">
        <x:v>Главная линия</x:v>
      </x:c>
      <x:c r="N64" s="28" t="n">
        <x:v>5</x:v>
      </x:c>
      <x:c r="O64" s="28" t="str">
        <x:v>PL-007</x:v>
      </x:c>
      <x:c r="P64" s="28" t="str">
        <x:v>SRC-038</x:v>
      </x:c>
      <x:c r="Q64" s="28" t="str">
        <x:v>Smithsonian NMAH — Original Kodak Camera, Serial No. 540</x:v>
      </x:c>
      <x:c r="R64" s="28" t="str">
        <x:v>https://americanhistory.si.edu/collections/object/nmah_760118</x:v>
      </x:c>
      <x:c r="S64" s="28" t="n">
        <x:v>5</x:v>
      </x:c>
      <x:c r="T64" s="28" t="str">
        <x:v>Это флагман PL-007: камера Kodak изменила не только материал, но и саму роль фотографа.</x:v>
      </x:c>
      <x:c r="U64" s="28" t="str">
        <x:v>Главный узел: маленькая box-camera с рулоном внутри, от неё расходится линия к массовой фотографии.</x:v>
      </x:c>
      <x:c r="V64" s="28" t="str">
        <x:v>#PL007 #Kodak #roll-film-camera #Eastman #Rochester</x:v>
      </x:c>
      <x:c r="W64" s="28"/>
      <x:c r="X64" s="28" t="str">
        <x:v>43.1566, -77.6088</x:v>
      </x:c>
      <x:c r="Y64" s="28" t="str">
        <x:v>Рулонная плёнка / Kodak camera</x:v>
      </x:c>
      <x:c r="Z64" s="28" t="str">
        <x:v>Ключевой исторический узел</x:v>
      </x:c>
      <x:c r="AA64" s="28" t="str">
        <x:v>да</x:v>
      </x:c>
    </x:row>
    <x:row r="65" ht="12.75" hidden="0" customHeight="1">
      <x:c r="A65" s="28" t="str">
        <x:v>PL-HIST-0064</x:v>
      </x:c>
      <x:c r="B65" s="28" t="str">
        <x:v>1888</x:v>
      </x:c>
      <x:c r="C65" s="28" t="str">
        <x:v>год</x:v>
      </x:c>
      <x:c r="D65" s="28" t="str">
        <x:v>США</x:v>
      </x:c>
      <x:c r="E65" s="28" t="str">
        <x:v>Рочестер, Нью-Йорк</x:v>
      </x:c>
      <x:c r="F65" s="28" t="str">
        <x:v>Джордж Истмен / Kodak</x:v>
      </x:c>
      <x:c r="G65" s="28" t="str">
        <x:v>Kodak продаёт камеру уже заряженной плёнкой; после съёмки всю камеру отправляют в Рочестер для проявки, печати и перезарядки.</x:v>
      </x:c>
      <x:c r="H65" s="28" t="str">
        <x:v>Негатив-позитив</x:v>
      </x:c>
      <x:c r="I65" s="28" t="str">
        <x:v>Kodak processing service model</x:v>
      </x:c>
      <x:c r="J65" s="28" t="str">
        <x:v>Фотограф больше не обязан быть химиком и печатником: процесс съёмки отделяется от лабораторной обработки.</x:v>
      </x:c>
      <x:c r="K65" s="28" t="str">
        <x:v>Original Kodak camera 1888</x:v>
      </x:c>
      <x:c r="L65" s="28" t="str">
        <x:v>Слоган «You press the button, we do the rest» и рост любительской фотографии</x:v>
      </x:c>
      <x:c r="M65" s="28" t="str">
        <x:v>Распространение / коммерциализация</x:v>
      </x:c>
      <x:c r="N65" s="28" t="n">
        <x:v>5</x:v>
      </x:c>
      <x:c r="O65" s="28" t="str">
        <x:v>PL-007</x:v>
      </x:c>
      <x:c r="P65" s="28" t="str">
        <x:v>SRC-039</x:v>
      </x:c>
      <x:c r="Q65" s="28" t="str">
        <x:v>The Met — Kodak and the Rise of Amateur Photography</x:v>
      </x:c>
      <x:c r="R65" s="28" t="str">
        <x:v>https://www.metmuseum.org/essays/kodak-and-the-rise-of-amateur-photography</x:v>
      </x:c>
      <x:c r="S65" s="28" t="n">
        <x:v>5</x:v>
      </x:c>
      <x:c r="T65" s="28" t="str">
        <x:v>Главная мысль для лекции: Kodak продавал не просто камеру, а целую систему — камера + плёнка + обработка.</x:v>
      </x:c>
      <x:c r="U65" s="28" t="str">
        <x:v>Маршрут: камера у пользователя → фабрика в Рочестере → готовые отпечатки возвращаются обратно.</x:v>
      </x:c>
      <x:c r="V65" s="28" t="str">
        <x:v>#PL007 #Kodak #service-model #amateur-photography</x:v>
      </x:c>
      <x:c r="W65" s="28"/>
      <x:c r="X65" s="28" t="str">
        <x:v>43.1566, -77.6088</x:v>
      </x:c>
      <x:c r="Y65" s="28" t="str">
        <x:v>Рулонная плёнка / сервисная модель</x:v>
      </x:c>
      <x:c r="Z65" s="28" t="str">
        <x:v>Распространение / коммерциализация</x:v>
      </x:c>
      <x:c r="AA65" s="28"/>
    </x:row>
    <x:row r="66" ht="12.75" hidden="0" customHeight="1">
      <x:c r="A66" s="28" t="str">
        <x:v>PL-HIST-0065</x:v>
      </x:c>
      <x:c r="B66" s="28" t="str">
        <x:v>4 сентября 1888</x:v>
      </x:c>
      <x:c r="C66" s="28" t="str">
        <x:v>точная дата</x:v>
      </x:c>
      <x:c r="D66" s="28" t="str">
        <x:v>США</x:v>
      </x:c>
      <x:c r="E66" s="28" t="str">
        <x:v>Рочестер, Нью-Йорк</x:v>
      </x:c>
      <x:c r="F66" s="28" t="str">
        <x:v>Джордж Истмен / Kodak</x:v>
      </x:c>
      <x:c r="G66" s="28" t="str">
        <x:v>Истмен получает патент на камеру Kodak и регистрирует товарный знак Kodak.</x:v>
      </x:c>
      <x:c r="H66" s="28" t="str">
        <x:v>Негатив-позитив</x:v>
      </x:c>
      <x:c r="I66" s="28" t="str">
        <x:v>Kodak patent and trademark</x:v>
      </x:c>
      <x:c r="J66" s="28" t="str">
        <x:v>Рулонная камера становится не только техническим устройством, но и брендом, который легко запомнить и продвигать.</x:v>
      </x:c>
      <x:c r="K66" s="28" t="str">
        <x:v>Original Kodak camera 1888</x:v>
      </x:c>
      <x:c r="L66" s="28" t="str">
        <x:v>Переименование компании и формирование Kodak как массового фотобренда</x:v>
      </x:c>
      <x:c r="M66" s="28" t="str">
        <x:v>Распространение / коммерциализация</x:v>
      </x:c>
      <x:c r="N66" s="28" t="n">
        <x:v>4</x:v>
      </x:c>
      <x:c r="O66" s="28" t="str">
        <x:v>PL-007</x:v>
      </x:c>
      <x:c r="P66" s="28" t="str">
        <x:v>SRC-040</x:v>
      </x:c>
      <x:c r="Q66" s="28" t="str">
        <x:v>George Eastman Museum — From the Camera Obscura to the Revolutionary Kodak</x:v>
      </x:c>
      <x:c r="R66" s="28" t="str">
        <x:v>https://www.eastman.org/camera-obscura-revolutionary-kodak</x:v>
      </x:c>
      <x:c r="S66" s="28" t="n">
        <x:v>5</x:v>
      </x:c>
      <x:c r="T66" s="28" t="str">
        <x:v>Этот узел можно использовать коротко: фотография входит в эпоху бренда, рекламы и простого обещания пользователю.</x:v>
      </x:c>
      <x:c r="U66" s="28" t="str">
        <x:v>На карте: рядом с Рочестером появляется знак KODAK как брендовый маяк.</x:v>
      </x:c>
      <x:c r="V66" s="28" t="str">
        <x:v>#PL007 #Kodak #patent #trademark #brand</x:v>
      </x:c>
      <x:c r="W66" s="28"/>
      <x:c r="X66" s="28" t="str">
        <x:v>43.1566, -77.6088</x:v>
      </x:c>
      <x:c r="Y66" s="28" t="str">
        <x:v>Рулонная плёнка / патент и бренд</x:v>
      </x:c>
      <x:c r="Z66" s="28" t="str">
        <x:v>Публикация / объявление</x:v>
      </x:c>
      <x:c r="AA66" s="28"/>
    </x:row>
    <x:row r="67" ht="12.75" hidden="0" customHeight="1">
      <x:c r="A67" s="28" t="str">
        <x:v>PL-HIST-0066</x:v>
      </x:c>
      <x:c r="B67" s="28" t="str">
        <x:v>1889</x:v>
      </x:c>
      <x:c r="C67" s="28" t="str">
        <x:v>год</x:v>
      </x:c>
      <x:c r="D67" s="28" t="str">
        <x:v>США</x:v>
      </x:c>
      <x:c r="E67" s="28" t="str">
        <x:v>Рочестер, Нью-Йорк</x:v>
      </x:c>
      <x:c r="F67" s="28" t="str">
        <x:v>Джордж Истмен / Генри Райхенбах</x:v>
      </x:c>
      <x:c r="G67" s="28" t="str">
        <x:v>На рынок выходит первая коммерческая прозрачная рулонная плёнка, усовершенствованная Истменом и его химиком.</x:v>
      </x:c>
      <x:c r="H67" s="28" t="str">
        <x:v>Негатив-позитив</x:v>
      </x:c>
      <x:c r="I67" s="28" t="str">
        <x:v>Commercial transparent roll film</x:v>
      </x:c>
      <x:c r="J67" s="28" t="str">
        <x:v>Плёнка становится более удобной для качественного негатива и открывает путь не только фотографии, но и движущемуся изображению.</x:v>
      </x:c>
      <x:c r="K67" s="28" t="str">
        <x:v>Бумажная American Film и поиски прозрачной гибкой основы</x:v>
      </x:c>
      <x:c r="L67" s="28" t="str">
        <x:v>Развитие кинематографа и дальнейшая массовая плёночная фотография</x:v>
      </x:c>
      <x:c r="M67" s="28" t="str">
        <x:v>Главная линия</x:v>
      </x:c>
      <x:c r="N67" s="28" t="n">
        <x:v>5</x:v>
      </x:c>
      <x:c r="O67" s="28" t="str">
        <x:v>PL-007</x:v>
      </x:c>
      <x:c r="P67" s="28" t="str">
        <x:v>SRC-041</x:v>
      </x:c>
      <x:c r="Q67" s="28" t="str">
        <x:v>Kodak — Chronology of Film</x:v>
      </x:c>
      <x:c r="R67" s="28" t="str">
        <x:v>https://www.kodak.com/en/motion/page/chronology-of-film/</x:v>
      </x:c>
      <x:c r="S67" s="28" t="n">
        <x:v>5</x:v>
      </x:c>
      <x:c r="T67" s="28" t="str">
        <x:v>В уроке важно отличить: Kodak 1888 уже был рулонной камерой, но прозрачная рулонная плёнка как коммерческий материал — отдельный шаг 1889 года.</x:v>
      </x:c>
      <x:c r="U67" s="28" t="str">
        <x:v>Рулон из полупрозрачной ленты, уходящий от фотографии к кино.</x:v>
      </x:c>
      <x:c r="V67" s="28" t="str">
        <x:v>#PL007 #transparent-roll-film #Reichenbach #Eastman #motion-picture</x:v>
      </x:c>
      <x:c r="W67" s="28"/>
      <x:c r="X67" s="28" t="str">
        <x:v>43.1566, -77.6088</x:v>
      </x:c>
      <x:c r="Y67" s="28" t="str">
        <x:v>Рулонная плёнка / прозрачная плёнка</x:v>
      </x:c>
      <x:c r="Z67" s="28" t="str">
        <x:v>Технология / процесс</x:v>
      </x:c>
      <x:c r="AA67" s="28"/>
    </x:row>
    <x:row r="68" ht="12.75" hidden="0" customHeight="1">
      <x:c r="A68" s="28" t="str">
        <x:v>PL-HIST-0067</x:v>
      </x:c>
      <x:c r="B68" s="28" t="str">
        <x:v>1891</x:v>
      </x:c>
      <x:c r="C68" s="28" t="str">
        <x:v>год</x:v>
      </x:c>
      <x:c r="D68" s="28" t="str">
        <x:v>США</x:v>
      </x:c>
      <x:c r="E68" s="28" t="str">
        <x:v>Рочестер, Нью-Йорк</x:v>
      </x:c>
      <x:c r="F68" s="28" t="str">
        <x:v>Kodak / Eastman Company</x:v>
      </x:c>
      <x:c r="G68" s="28" t="str">
        <x:v>Kodak выводит первую daylight-loading camera: фотограф может перезаряжать плёнку без тёмной комнаты.</x:v>
      </x:c>
      <x:c r="H68" s="28" t="str">
        <x:v>Негатив-позитив</x:v>
      </x:c>
      <x:c r="I68" s="28" t="str">
        <x:v>Daylight-loading roll-film camera</x:v>
      </x:c>
      <x:c r="J68" s="28" t="str">
        <x:v>Рулонная фотография становится ещё удобнее: перезарядка перестаёт требовать полной темноты.</x:v>
      </x:c>
      <x:c r="K68" s="28" t="str">
        <x:v>Kodak camera 1888 and factory service model</x:v>
      </x:c>
      <x:c r="L68" s="28" t="str">
        <x:v>Pocket Kodak, Folding Pocket Kodak, Brownie and standard roll-film formats</x:v>
      </x:c>
      <x:c r="M68" s="28" t="str">
        <x:v>Главная линия</x:v>
      </x:c>
      <x:c r="N68" s="28" t="n">
        <x:v>4</x:v>
      </x:c>
      <x:c r="O68" s="28" t="str">
        <x:v>PL-007</x:v>
      </x:c>
      <x:c r="P68" s="28" t="str">
        <x:v>SRC-042</x:v>
      </x:c>
      <x:c r="Q68" s="28" t="str">
        <x:v>Kodak — Milestones</x:v>
      </x:c>
      <x:c r="R68" s="28" t="str">
        <x:v>https://www.kodak.com/en/company/page/milestones/</x:v>
      </x:c>
      <x:c r="S68" s="28" t="n">
        <x:v>5</x:v>
      </x:c>
      <x:c r="T68" s="28" t="str">
        <x:v>Это не главный герой урока, но важный шаг удобства: фотограф получает больше самостоятельности.</x:v>
      </x:c>
      <x:c r="U68" s="28" t="str">
        <x:v>На карте: маленькая камера открывается на свету без тёмной комнаты.</x:v>
      </x:c>
      <x:c r="V68" s="28" t="str">
        <x:v>#PL007 #daylight-loading #roll-film #Kodak</x:v>
      </x:c>
      <x:c r="W68" s="28"/>
      <x:c r="X68" s="28" t="str">
        <x:v>43.1566, -77.6088</x:v>
      </x:c>
      <x:c r="Y68" s="28" t="str">
        <x:v>Рулонная плёнка / дневная перезарядка</x:v>
      </x:c>
      <x:c r="Z68" s="28" t="str">
        <x:v>Технология / процесс</x:v>
      </x:c>
      <x:c r="AA68" s="28"/>
    </x:row>
    <x:row r="69" ht="12.75" hidden="0" customHeight="1">
      <x:c r="A69" s="28" t="str">
        <x:v>PL-HIST-0068</x:v>
      </x:c>
      <x:c r="B69" s="28" t="str">
        <x:v>1900</x:v>
      </x:c>
      <x:c r="C69" s="28" t="str">
        <x:v>год</x:v>
      </x:c>
      <x:c r="D69" s="28" t="str">
        <x:v>США</x:v>
      </x:c>
      <x:c r="E69" s="28" t="str">
        <x:v>Рочестер, Нью-Йорк</x:v>
      </x:c>
      <x:c r="F69" s="28" t="str">
        <x:v>Eastman Kodak / Brownie</x:v>
      </x:c>
      <x:c r="G69" s="28" t="str">
        <x:v>Камера Brownie делает рулонную фотографию ещё более дешёвой и доступной для массового пользователя.</x:v>
      </x:c>
      <x:c r="H69" s="28" t="str">
        <x:v>Негатив-позитив</x:v>
      </x:c>
      <x:c r="I69" s="28" t="str">
        <x:v>Kodak Brownie / mass snapshot photography</x:v>
      </x:c>
      <x:c r="J69" s="28" t="str">
        <x:v>Идея Kodak доводится до массового уровня: фотография становится повседневным занятием и семейной практикой.</x:v>
      </x:c>
      <x:c r="K69" s="28" t="str">
        <x:v>Kodak camera 1888 and roll-film service model</x:v>
      </x:c>
      <x:c r="L69" s="28" t="str">
        <x:v>PL-008: массовая любительская фотография, snapshot-культура и Brownie как социальный перелом</x:v>
      </x:c>
      <x:c r="M69" s="28" t="str">
        <x:v>Связь / переход</x:v>
      </x:c>
      <x:c r="N69" s="28" t="n">
        <x:v>4</x:v>
      </x:c>
      <x:c r="O69" s="28" t="str">
        <x:v>PL-007</x:v>
      </x:c>
      <x:c r="P69" s="28" t="str">
        <x:v>SRC-043</x:v>
      </x:c>
      <x:c r="Q69" s="28" t="str">
        <x:v>National Science and Media Museum — Kodak Gallery</x:v>
      </x:c>
      <x:c r="R69" s="28" t="str">
        <x:v>https://www.scienceandmediamuseum.org.uk/whats-on/kodak-gallery</x:v>
      </x:c>
      <x:c r="S69" s="28" t="n">
        <x:v>5</x:v>
      </x:c>
      <x:c r="T69" s="28" t="str">
        <x:v>Это мост к следующему уроку: Kodak сделал фотографию проще, Brownie сделает её по-настоящему массовой.</x:v>
      </x:c>
      <x:c r="U69" s="28" t="str">
        <x:v>От Kodak 1888 линия идёт к дешёвой коробочной камере Brownie и семейным снимкам.</x:v>
      </x:c>
      <x:c r="V69" s="28" t="str">
        <x:v>#PL007 #Brownie #snapshot #mass-photography #future-PL</x:v>
      </x:c>
      <x:c r="W69" s="28" t="str">
        <x:v>Решить позже: Brownie оставить как мост в PL-007 или вынести главным узлом PL-008.</x:v>
      </x:c>
      <x:c r="X69" s="28" t="str">
        <x:v>43.1566, -77.6088</x:v>
      </x:c>
      <x:c r="Y69" s="28" t="str">
        <x:v>Рулонная плёнка / массовая фотография</x:v>
      </x:c>
      <x:c r="Z69" s="28" t="str">
        <x:v>Связь / переход</x:v>
      </x:c>
      <x:c r="AA69" s="28"/>
    </x:row>
    <x:row r="70" ht="12.75" hidden="0" customHeight="1">
      <x:c r="Z70" s="11"/>
    </x:row>
    <x:row r="71" ht="12.75" hidden="0" customHeight="1">
      <x:c r="Z71" s="11"/>
    </x:row>
    <x:row r="72" ht="12.75" hidden="0" customHeight="1">
      <x:c r="Z72" s="11"/>
    </x:row>
    <x:row r="73" ht="12.75" hidden="0" customHeight="1">
      <x:c r="Z73" s="11"/>
    </x:row>
    <x:row r="74" ht="12.75" hidden="0" customHeight="1">
      <x:c r="Z74" s="11"/>
    </x:row>
    <x:row r="75" ht="12.75" hidden="0" customHeight="1">
      <x:c r="Z75" s="11"/>
    </x:row>
    <x:row r="76" ht="12.75" hidden="0" customHeight="1">
      <x:c r="Z76" s="11"/>
    </x:row>
    <x:row r="77" ht="12.75" hidden="0" customHeight="1">
      <x:c r="Z77" s="11"/>
    </x:row>
    <x:row r="78" ht="12.75" hidden="0" customHeight="1">
      <x:c r="Z78" s="11"/>
    </x:row>
    <x:row r="79" ht="12.75" hidden="0" customHeight="1">
      <x:c r="Z79" s="11"/>
    </x:row>
    <x:row r="80" ht="12.75" hidden="0" customHeight="1">
      <x:c r="Z80" s="11"/>
    </x:row>
    <x:row r="81" ht="12.75" hidden="0" customHeight="1">
      <x:c r="Z81" s="11"/>
    </x:row>
    <x:row r="82" ht="12.75" hidden="0" customHeight="1">
      <x:c r="Z82" s="11"/>
    </x:row>
    <x:row r="83" ht="12.75" hidden="0" customHeight="1">
      <x:c r="Z83" s="11"/>
    </x:row>
    <x:row r="84" ht="12.75" hidden="0" customHeight="1">
      <x:c r="Z84" s="11"/>
    </x:row>
    <x:row r="85" ht="12.75" hidden="0" customHeight="1">
      <x:c r="Z85" s="11"/>
    </x:row>
    <x:row r="86" ht="12.75" hidden="0" customHeight="1">
      <x:c r="Z86" s="11"/>
    </x:row>
    <x:row r="87" ht="12.75" hidden="0" customHeight="1">
      <x:c r="Z87" s="11"/>
    </x:row>
    <x:row r="88" ht="12.75" hidden="0" customHeight="1">
      <x:c r="Z88" s="11"/>
    </x:row>
    <x:row r="89" ht="12.75" hidden="0" customHeight="1">
      <x:c r="Z89" s="11"/>
    </x:row>
    <x:row r="90" ht="12.75" hidden="0" customHeight="1">
      <x:c r="Z90" s="11"/>
    </x:row>
    <x:row r="91" ht="12.75" hidden="0" customHeight="1">
      <x:c r="Z91" s="11"/>
    </x:row>
    <x:row r="92" ht="12.75" hidden="0" customHeight="1">
      <x:c r="Z92" s="11"/>
    </x:row>
    <x:row r="93" ht="12.75" hidden="0" customHeight="1">
      <x:c r="Z93" s="11"/>
    </x:row>
    <x:row r="94" ht="12.75" hidden="0" customHeight="1">
      <x:c r="Z94" s="11"/>
    </x:row>
    <x:row r="95" ht="12.75" hidden="0" customHeight="1">
      <x:c r="Z95" s="11"/>
    </x:row>
    <x:row r="96" ht="12.75" hidden="0" customHeight="1">
      <x:c r="Z96" s="11"/>
    </x:row>
    <x:row r="97" ht="12.75" hidden="0" customHeight="1">
      <x:c r="Z97" s="11"/>
    </x:row>
    <x:row r="98" ht="12.75" hidden="0" customHeight="1">
      <x:c r="Z98" s="11"/>
    </x:row>
    <x:row r="99" ht="12.75" hidden="0" customHeight="1">
      <x:c r="Z99" s="11"/>
    </x:row>
    <x:row r="100" ht="12.75" hidden="0" customHeight="1">
      <x:c r="Z100" s="11"/>
    </x:row>
    <x:row r="101" ht="12.75" hidden="0" customHeight="1">
      <x:c r="Z101" s="11"/>
    </x:row>
    <x:row r="102" ht="12.75" hidden="0" customHeight="1">
      <x:c r="Z102" s="11"/>
    </x:row>
    <x:row r="103" ht="12.75" hidden="0" customHeight="1">
      <x:c r="Z103" s="11"/>
    </x:row>
    <x:row r="104" ht="12.75" hidden="0" customHeight="1">
      <x:c r="Z104" s="11"/>
    </x:row>
    <x:row r="105" ht="12.75" hidden="0" customHeight="1">
      <x:c r="Z105" s="11"/>
    </x:row>
    <x:row r="106" ht="12.75" hidden="0" customHeight="1">
      <x:c r="Z106" s="11"/>
    </x:row>
    <x:row r="107" ht="12.75" hidden="0" customHeight="1">
      <x:c r="Z107" s="11"/>
    </x:row>
    <x:row r="108" ht="12.75" hidden="0" customHeight="1">
      <x:c r="Z108" s="11"/>
    </x:row>
    <x:row r="109" ht="12.75" hidden="0" customHeight="1">
      <x:c r="Z109" s="11"/>
    </x:row>
    <x:row r="110" ht="12.75" hidden="0" customHeight="1">
      <x:c r="Z110" s="11"/>
    </x:row>
    <x:row r="111" ht="12.75" hidden="0" customHeight="1">
      <x:c r="Z111" s="11"/>
    </x:row>
    <x:row r="112" ht="12.75" hidden="0" customHeight="1">
      <x:c r="Z112" s="11"/>
    </x:row>
    <x:row r="113" ht="12.75" hidden="0" customHeight="1">
      <x:c r="Z113" s="11"/>
    </x:row>
    <x:row r="114" ht="12.75" hidden="0" customHeight="1">
      <x:c r="Z114" s="11"/>
    </x:row>
    <x:row r="115" ht="12.75" hidden="0" customHeight="1">
      <x:c r="Z115" s="11"/>
    </x:row>
    <x:row r="116" ht="12.75" hidden="0" customHeight="1">
      <x:c r="Z116" s="11"/>
    </x:row>
    <x:row r="117" ht="12.75" hidden="0" customHeight="1">
      <x:c r="Z117" s="11"/>
    </x:row>
    <x:row r="118" ht="12.75" hidden="0" customHeight="1">
      <x:c r="Z118" s="11"/>
    </x:row>
    <x:row r="119" ht="12.75" hidden="0" customHeight="1">
      <x:c r="Z119" s="11"/>
    </x:row>
    <x:row r="120" ht="12.75" hidden="0" customHeight="1">
      <x:c r="Z120" s="11"/>
    </x:row>
    <x:row r="121" ht="12.75" hidden="0" customHeight="1">
      <x:c r="Z121" s="11"/>
    </x:row>
    <x:row r="122" ht="12.75" hidden="0" customHeight="1">
      <x:c r="Z122" s="11"/>
    </x:row>
    <x:row r="123" ht="12.75" hidden="0" customHeight="1">
      <x:c r="Z123" s="11"/>
    </x:row>
    <x:row r="124" ht="12.75" hidden="0" customHeight="1">
      <x:c r="Z124" s="11"/>
    </x:row>
    <x:row r="125" ht="12.75" hidden="0" customHeight="1">
      <x:c r="Z125" s="11"/>
    </x:row>
    <x:row r="126" ht="12.75" hidden="0" customHeight="1">
      <x:c r="Z126" s="11"/>
    </x:row>
    <x:row r="127" ht="12.75" hidden="0" customHeight="1">
      <x:c r="Z127" s="11"/>
    </x:row>
    <x:row r="128" ht="12.75" hidden="0" customHeight="1">
      <x:c r="Z128" s="11"/>
    </x:row>
    <x:row r="129" ht="12.75" hidden="0" customHeight="1">
      <x:c r="Z129" s="11"/>
    </x:row>
    <x:row r="130" ht="12.75" hidden="0" customHeight="1">
      <x:c r="Z130" s="11"/>
    </x:row>
    <x:row r="131" ht="12.75" hidden="0" customHeight="1">
      <x:c r="Z131" s="11"/>
    </x:row>
    <x:row r="132" ht="12.75" hidden="0" customHeight="1">
      <x:c r="Z132" s="11"/>
    </x:row>
    <x:row r="133" ht="12.75" hidden="0" customHeight="1">
      <x:c r="Z133" s="11"/>
    </x:row>
    <x:row r="134" ht="12.75" hidden="0" customHeight="1">
      <x:c r="Z134" s="11"/>
    </x:row>
    <x:row r="135" ht="12.75" hidden="0" customHeight="1">
      <x:c r="Z135" s="11"/>
    </x:row>
    <x:row r="136" ht="12.75" hidden="0" customHeight="1">
      <x:c r="Z136" s="11"/>
    </x:row>
    <x:row r="137" ht="12.75" hidden="0" customHeight="1">
      <x:c r="Z137" s="11"/>
    </x:row>
    <x:row r="138" ht="12.75" hidden="0" customHeight="1">
      <x:c r="Z138" s="11"/>
    </x:row>
    <x:row r="139" ht="12.75" hidden="0" customHeight="1">
      <x:c r="Z139" s="11"/>
    </x:row>
    <x:row r="140" ht="12.75" hidden="0" customHeight="1">
      <x:c r="Z140" s="11"/>
    </x:row>
    <x:row r="141" ht="12.75" hidden="0" customHeight="1">
      <x:c r="Z141" s="11"/>
    </x:row>
    <x:row r="142" ht="12.75" hidden="0" customHeight="1">
      <x:c r="Z142" s="11"/>
    </x:row>
    <x:row r="143" ht="12.75" hidden="0" customHeight="1">
      <x:c r="Z143" s="11"/>
    </x:row>
    <x:row r="144" ht="12.75" hidden="0" customHeight="1">
      <x:c r="Z144" s="11"/>
    </x:row>
    <x:row r="145" ht="12.75" hidden="0" customHeight="1">
      <x:c r="Z145" s="11"/>
    </x:row>
    <x:row r="146" ht="12.75" hidden="0" customHeight="1">
      <x:c r="Z146" s="11"/>
    </x:row>
    <x:row r="147" ht="12.75" hidden="0" customHeight="1">
      <x:c r="Z147" s="11"/>
    </x:row>
    <x:row r="148" ht="12.75" hidden="0" customHeight="1">
      <x:c r="Z148" s="11"/>
    </x:row>
    <x:row r="149" ht="12.75" hidden="0" customHeight="1">
      <x:c r="Z149" s="11"/>
    </x:row>
    <x:row r="150" ht="12.75" hidden="0" customHeight="1">
      <x:c r="Z150" s="11"/>
    </x:row>
    <x:row r="151" ht="12.75" hidden="0" customHeight="1">
      <x:c r="Z151" s="11"/>
    </x:row>
    <x:row r="152" ht="12.75" hidden="0" customHeight="1">
      <x:c r="Z152" s="11"/>
    </x:row>
    <x:row r="153" ht="12.75" hidden="0" customHeight="1">
      <x:c r="Z153" s="11"/>
    </x:row>
    <x:row r="154" ht="12.75" hidden="0" customHeight="1">
      <x:c r="Z154" s="11"/>
    </x:row>
    <x:row r="155" ht="12.75" hidden="0" customHeight="1">
      <x:c r="Z155" s="11"/>
    </x:row>
    <x:row r="156" ht="12.75" hidden="0" customHeight="1">
      <x:c r="Z156" s="11"/>
    </x:row>
    <x:row r="157" ht="12.75" hidden="0" customHeight="1">
      <x:c r="Z157" s="11"/>
    </x:row>
    <x:row r="158" ht="12.75" hidden="0" customHeight="1">
      <x:c r="Z158" s="11"/>
    </x:row>
    <x:row r="159" ht="12.75" hidden="0" customHeight="1">
      <x:c r="Z159" s="11"/>
    </x:row>
    <x:row r="160" ht="12.75" hidden="0" customHeight="1">
      <x:c r="Z160" s="11"/>
    </x:row>
    <x:row r="161" ht="12.75" hidden="0" customHeight="1">
      <x:c r="Z161" s="11"/>
    </x:row>
    <x:row r="162" ht="12.75" hidden="0" customHeight="1">
      <x:c r="Z162" s="11"/>
    </x:row>
    <x:row r="163" ht="12.75" hidden="0" customHeight="1">
      <x:c r="Z163" s="11"/>
    </x:row>
    <x:row r="164" ht="12.75" hidden="0" customHeight="1">
      <x:c r="Z164" s="11"/>
    </x:row>
    <x:row r="165" ht="12.75" hidden="0" customHeight="1">
      <x:c r="Z165" s="11"/>
    </x:row>
    <x:row r="166" ht="12.75" hidden="0" customHeight="1">
      <x:c r="Z166" s="11"/>
    </x:row>
    <x:row r="167" ht="12.75" hidden="0" customHeight="1">
      <x:c r="Z167" s="11"/>
    </x:row>
    <x:row r="168" ht="12.75" hidden="0" customHeight="1">
      <x:c r="Z168" s="11"/>
    </x:row>
    <x:row r="169" ht="12.75" hidden="0" customHeight="1">
      <x:c r="Z169" s="11"/>
    </x:row>
    <x:row r="170" ht="12.75" hidden="0" customHeight="1">
      <x:c r="Z170" s="11"/>
    </x:row>
    <x:row r="171" ht="12.75" hidden="0" customHeight="1">
      <x:c r="Z171" s="11"/>
    </x:row>
    <x:row r="172" ht="12.75" hidden="0" customHeight="1">
      <x:c r="Z172" s="11"/>
    </x:row>
    <x:row r="173" ht="12.75" hidden="0" customHeight="1">
      <x:c r="Z173" s="11"/>
    </x:row>
    <x:row r="174" ht="12.75" hidden="0" customHeight="1">
      <x:c r="Z174" s="11"/>
    </x:row>
    <x:row r="175" ht="12.75" hidden="0" customHeight="1">
      <x:c r="Z175" s="11"/>
    </x:row>
    <x:row r="176" ht="12.75" hidden="0" customHeight="1">
      <x:c r="Z176" s="11"/>
    </x:row>
    <x:row r="177" ht="12.75" hidden="0" customHeight="1">
      <x:c r="Z177" s="11"/>
    </x:row>
    <x:row r="178" ht="12.75" hidden="0" customHeight="1">
      <x:c r="Z178" s="11"/>
    </x:row>
    <x:row r="179" ht="12.75" hidden="0" customHeight="1">
      <x:c r="Z179" s="11"/>
    </x:row>
    <x:row r="180" ht="12.75" hidden="0" customHeight="1">
      <x:c r="Z180" s="11"/>
    </x:row>
    <x:row r="181" ht="12.75" hidden="0" customHeight="1">
      <x:c r="Z181" s="11"/>
    </x:row>
    <x:row r="182" ht="12.75" hidden="0" customHeight="1">
      <x:c r="Z182" s="11"/>
    </x:row>
    <x:row r="183" ht="12.75" hidden="0" customHeight="1">
      <x:c r="Z183" s="11"/>
    </x:row>
    <x:row r="184" ht="12.75" hidden="0" customHeight="1">
      <x:c r="Z184" s="11"/>
    </x:row>
    <x:row r="185" ht="12.75" hidden="0" customHeight="1">
      <x:c r="Z185" s="11"/>
    </x:row>
    <x:row r="186" ht="12.75" hidden="0" customHeight="1">
      <x:c r="Z186" s="11"/>
    </x:row>
    <x:row r="187" ht="12.75" hidden="0" customHeight="1">
      <x:c r="Z187" s="11"/>
    </x:row>
    <x:row r="188" ht="12.75" hidden="0" customHeight="1">
      <x:c r="Z188" s="11"/>
    </x:row>
    <x:row r="189" ht="12.75" hidden="0" customHeight="1">
      <x:c r="Z189" s="11"/>
    </x:row>
    <x:row r="190" ht="12.75" hidden="0" customHeight="1">
      <x:c r="Z190" s="11"/>
    </x:row>
    <x:row r="191" ht="12.75" hidden="0" customHeight="1">
      <x:c r="Z191" s="11"/>
    </x:row>
    <x:row r="192" ht="12.75" hidden="0" customHeight="1">
      <x:c r="Z192" s="11"/>
    </x:row>
    <x:row r="193" ht="12.75" hidden="0" customHeight="1">
      <x:c r="Z193" s="11"/>
    </x:row>
    <x:row r="194" ht="12.75" hidden="0" customHeight="1">
      <x:c r="Z194" s="11"/>
    </x:row>
    <x:row r="195" ht="12.75" hidden="0" customHeight="1">
      <x:c r="Z195" s="11"/>
    </x:row>
    <x:row r="196" ht="12.75" hidden="0" customHeight="1">
      <x:c r="Z196" s="11"/>
    </x:row>
    <x:row r="197" ht="12.75" hidden="0" customHeight="1">
      <x:c r="Z197" s="11"/>
    </x:row>
    <x:row r="198" ht="12.75" hidden="0" customHeight="1">
      <x:c r="Z198" s="11"/>
    </x:row>
    <x:row r="199" ht="12.75" hidden="0" customHeight="1">
      <x:c r="Z199" s="11"/>
    </x:row>
    <x:row r="200" ht="12.75" hidden="0" customHeight="1">
      <x:c r="Z200" s="11"/>
    </x:row>
    <x:row r="201" ht="12.75" hidden="0" customHeight="1">
      <x:c r="Z201" s="11"/>
    </x:row>
    <x:row r="202" ht="12.75" hidden="0" customHeight="1">
      <x:c r="Z202" s="11"/>
    </x:row>
    <x:row r="203" ht="12.75" hidden="0" customHeight="1">
      <x:c r="Z203" s="11"/>
    </x:row>
    <x:row r="204" ht="12.75" hidden="0" customHeight="1">
      <x:c r="Z204" s="11"/>
    </x:row>
    <x:row r="205" ht="12.75" hidden="0" customHeight="1">
      <x:c r="Z205" s="11"/>
    </x:row>
    <x:row r="206" ht="12.75" hidden="0" customHeight="1">
      <x:c r="Z206" s="11"/>
    </x:row>
    <x:row r="207" ht="12.75" hidden="0" customHeight="1">
      <x:c r="Z207" s="11"/>
    </x:row>
    <x:row r="208" ht="12.75" hidden="0" customHeight="1">
      <x:c r="Z208" s="11"/>
    </x:row>
    <x:row r="209" ht="12.75" hidden="0" customHeight="1">
      <x:c r="Z209" s="11"/>
    </x:row>
    <x:row r="210" ht="12.75" hidden="0" customHeight="1">
      <x:c r="Z210" s="11"/>
    </x:row>
    <x:row r="211" ht="12.75" hidden="0" customHeight="1">
      <x:c r="Z211" s="11"/>
    </x:row>
    <x:row r="212" ht="12.75" hidden="0" customHeight="1">
      <x:c r="Z212" s="11"/>
    </x:row>
    <x:row r="213" ht="12.75" hidden="0" customHeight="1">
      <x:c r="Z213" s="11"/>
    </x:row>
    <x:row r="214" ht="12.75" hidden="0" customHeight="1">
      <x:c r="Z214" s="11"/>
    </x:row>
    <x:row r="215" ht="12.75" hidden="0" customHeight="1">
      <x:c r="Z215" s="11"/>
    </x:row>
    <x:row r="216" ht="12.75" hidden="0" customHeight="1">
      <x:c r="Z216" s="11"/>
    </x:row>
    <x:row r="217" ht="12.75" hidden="0" customHeight="1">
      <x:c r="Z217" s="11"/>
    </x:row>
    <x:row r="218" ht="12.75" hidden="0" customHeight="1">
      <x:c r="Z218" s="11"/>
    </x:row>
    <x:row r="219" ht="12.75" hidden="0" customHeight="1">
      <x:c r="Z219" s="11"/>
    </x:row>
    <x:row r="220" ht="12.75" hidden="0" customHeight="1">
      <x:c r="Z220" s="11"/>
    </x:row>
    <x:row r="221" ht="12.75" hidden="0" customHeight="1">
      <x:c r="Z221" s="11"/>
    </x:row>
    <x:row r="222" ht="12.75" hidden="0" customHeight="1">
      <x:c r="Z222" s="11"/>
    </x:row>
    <x:row r="223" ht="12.75" hidden="0" customHeight="1">
      <x:c r="Z223" s="11"/>
    </x:row>
    <x:row r="224" ht="12.75" hidden="0" customHeight="1">
      <x:c r="Z224" s="11"/>
    </x:row>
    <x:row r="225" ht="12.75" hidden="0" customHeight="1">
      <x:c r="Z225" s="11"/>
    </x:row>
    <x:row r="226" ht="12.75" hidden="0" customHeight="1">
      <x:c r="Z226" s="11"/>
    </x:row>
    <x:row r="227" ht="12.75" hidden="0" customHeight="1">
      <x:c r="Z227" s="11"/>
    </x:row>
    <x:row r="228" ht="12.75" hidden="0" customHeight="1">
      <x:c r="Z228" s="11"/>
    </x:row>
    <x:row r="229" ht="12.75" hidden="0" customHeight="1">
      <x:c r="Z229" s="11"/>
    </x:row>
    <x:row r="230" ht="12.75" hidden="0" customHeight="1">
      <x:c r="Z230" s="11"/>
    </x:row>
    <x:row r="231" ht="12.75" hidden="0" customHeight="1">
      <x:c r="Z231" s="11"/>
    </x:row>
    <x:row r="232" ht="12.75" hidden="0" customHeight="1">
      <x:c r="Z232" s="11"/>
    </x:row>
    <x:row r="233" ht="12.75" hidden="0" customHeight="1">
      <x:c r="Z233" s="11"/>
    </x:row>
    <x:row r="234" ht="12.75" hidden="0" customHeight="1">
      <x:c r="Z234" s="11"/>
    </x:row>
    <x:row r="235" ht="12.75" hidden="0" customHeight="1">
      <x:c r="Z235" s="11"/>
    </x:row>
    <x:row r="236" ht="12.75" hidden="0" customHeight="1">
      <x:c r="Z236" s="11"/>
    </x:row>
    <x:row r="237" ht="12.75" hidden="0" customHeight="1">
      <x:c r="Z237" s="11"/>
    </x:row>
    <x:row r="238" ht="12.75" hidden="0" customHeight="1">
      <x:c r="Z238" s="11"/>
    </x:row>
    <x:row r="239" ht="12.75" hidden="0" customHeight="1">
      <x:c r="Z239" s="11"/>
    </x:row>
    <x:row r="240" ht="12.75" hidden="0" customHeight="1">
      <x:c r="Z240" s="11"/>
    </x:row>
    <x:row r="241" ht="12.75" hidden="0" customHeight="1">
      <x:c r="Z241" s="11"/>
    </x:row>
    <x:row r="242" ht="12.75" hidden="0" customHeight="1">
      <x:c r="Z242" s="11"/>
    </x:row>
    <x:row r="243" ht="12.75" hidden="0" customHeight="1">
      <x:c r="Z243" s="11"/>
    </x:row>
    <x:row r="244" ht="12.75" hidden="0" customHeight="1">
      <x:c r="Z244" s="11"/>
    </x:row>
    <x:row r="245" ht="12.75" hidden="0" customHeight="1">
      <x:c r="Z245" s="11"/>
    </x:row>
    <x:row r="246" ht="12.75" hidden="0" customHeight="1">
      <x:c r="Z246" s="11"/>
    </x:row>
    <x:row r="247" ht="12.75" hidden="0" customHeight="1">
      <x:c r="Z247" s="11"/>
    </x:row>
    <x:row r="248" ht="12.75" hidden="0" customHeight="1">
      <x:c r="Z248" s="11"/>
    </x:row>
    <x:row r="249" ht="12.75" hidden="0" customHeight="1">
      <x:c r="Z249" s="11"/>
    </x:row>
    <x:row r="250" ht="12.75" hidden="0" customHeight="1">
      <x:c r="Z250" s="11"/>
    </x:row>
    <x:row r="251" ht="12.75" hidden="0" customHeight="1">
      <x:c r="Z251" s="11"/>
    </x:row>
    <x:row r="252" ht="12.75" hidden="0" customHeight="1">
      <x:c r="Z252" s="11"/>
    </x:row>
    <x:row r="253" ht="12.75" hidden="0" customHeight="1">
      <x:c r="Z253" s="11"/>
    </x:row>
    <x:row r="254" ht="12.75" hidden="0" customHeight="1">
      <x:c r="Z254" s="11"/>
    </x:row>
    <x:row r="255" ht="12.75" hidden="0" customHeight="1">
      <x:c r="Z255" s="11"/>
    </x:row>
    <x:row r="256" ht="12.75" hidden="0" customHeight="1">
      <x:c r="Z256" s="11"/>
    </x:row>
    <x:row r="257" ht="12.75" hidden="0" customHeight="1">
      <x:c r="Z257" s="11"/>
    </x:row>
    <x:row r="258" ht="12.75" hidden="0" customHeight="1">
      <x:c r="Z258" s="11"/>
    </x:row>
    <x:row r="259" ht="12.75" hidden="0" customHeight="1">
      <x:c r="Z259" s="11"/>
    </x:row>
    <x:row r="260" ht="12.75" hidden="0" customHeight="1">
      <x:c r="Z260" s="11"/>
    </x:row>
    <x:row r="261" ht="12.75" hidden="0" customHeight="1">
      <x:c r="Z261" s="11"/>
    </x:row>
    <x:row r="262" ht="12.75" hidden="0" customHeight="1">
      <x:c r="Z262" s="11"/>
    </x:row>
    <x:row r="263" ht="12.75" hidden="0" customHeight="1">
      <x:c r="Z263" s="11"/>
    </x:row>
    <x:row r="264" ht="12.75" hidden="0" customHeight="1">
      <x:c r="Z264" s="11"/>
    </x:row>
    <x:row r="265" ht="12.75" hidden="0" customHeight="1">
      <x:c r="Z265" s="11"/>
    </x:row>
    <x:row r="266" ht="12.75" hidden="0" customHeight="1">
      <x:c r="Z266" s="11"/>
    </x:row>
    <x:row r="267" ht="12.75" hidden="0" customHeight="1">
      <x:c r="Z267" s="11"/>
    </x:row>
    <x:row r="268" ht="12.75" hidden="0" customHeight="1">
      <x:c r="Z268" s="11"/>
    </x:row>
    <x:row r="269" ht="12.75" hidden="0" customHeight="1">
      <x:c r="Z269" s="11"/>
    </x:row>
    <x:row r="270" ht="12.75" hidden="0" customHeight="1">
      <x:c r="Z270" s="11"/>
    </x:row>
    <x:row r="271" ht="12.75" hidden="0" customHeight="1">
      <x:c r="Z271" s="11"/>
    </x:row>
    <x:row r="272" ht="12.75" hidden="0" customHeight="1">
      <x:c r="Z272" s="11"/>
    </x:row>
    <x:row r="273" ht="12.75" hidden="0" customHeight="1">
      <x:c r="Z273" s="11"/>
    </x:row>
    <x:row r="274" ht="12.75" hidden="0" customHeight="1">
      <x:c r="Z274" s="11"/>
    </x:row>
    <x:row r="275" ht="12.75" hidden="0" customHeight="1">
      <x:c r="Z275" s="11"/>
    </x:row>
    <x:row r="276" ht="12.75" hidden="0" customHeight="1">
      <x:c r="Z276" s="11"/>
    </x:row>
    <x:row r="277" ht="12.75" hidden="0" customHeight="1">
      <x:c r="Z277" s="11"/>
    </x:row>
    <x:row r="278" ht="12.75" hidden="0" customHeight="1">
      <x:c r="Z278" s="11"/>
    </x:row>
    <x:row r="279" ht="12.75" hidden="0" customHeight="1">
      <x:c r="Z279" s="11"/>
    </x:row>
    <x:row r="280" ht="12.75" hidden="0" customHeight="1">
      <x:c r="Z280" s="11"/>
    </x:row>
    <x:row r="281" ht="12.75" hidden="0" customHeight="1">
      <x:c r="Z281" s="11"/>
    </x:row>
    <x:row r="282" ht="12.75" hidden="0" customHeight="1">
      <x:c r="Z282" s="11"/>
    </x:row>
    <x:row r="283" ht="12.75" hidden="0" customHeight="1">
      <x:c r="Z283" s="11"/>
    </x:row>
    <x:row r="284" ht="12.75" hidden="0" customHeight="1">
      <x:c r="Z284" s="11"/>
    </x:row>
    <x:row r="285" ht="12.75" hidden="0" customHeight="1">
      <x:c r="Z285" s="11"/>
    </x:row>
    <x:row r="286" ht="12.75" hidden="0" customHeight="1">
      <x:c r="Z286" s="11"/>
    </x:row>
    <x:row r="287" ht="12.75" hidden="0" customHeight="1">
      <x:c r="Z287" s="11"/>
    </x:row>
    <x:row r="288" ht="12.75" hidden="0" customHeight="1">
      <x:c r="Z288" s="11"/>
    </x:row>
    <x:row r="289" ht="12.75" hidden="0" customHeight="1">
      <x:c r="Z289" s="11"/>
    </x:row>
    <x:row r="290" ht="12.75" hidden="0" customHeight="1">
      <x:c r="Z290" s="11"/>
    </x:row>
    <x:row r="291" ht="12.75" hidden="0" customHeight="1">
      <x:c r="Z291" s="11"/>
    </x:row>
    <x:row r="292" ht="12.75" hidden="0" customHeight="1">
      <x:c r="Z292" s="11"/>
    </x:row>
    <x:row r="293" ht="12.75" hidden="0" customHeight="1">
      <x:c r="Z293" s="11"/>
    </x:row>
    <x:row r="294" ht="12.75" hidden="0" customHeight="1">
      <x:c r="Z294" s="11"/>
    </x:row>
    <x:row r="295" ht="12.75" hidden="0" customHeight="1">
      <x:c r="Z295" s="11"/>
    </x:row>
    <x:row r="296" ht="12.75" hidden="0" customHeight="1">
      <x:c r="Z296" s="11"/>
    </x:row>
    <x:row r="297" ht="12.75" hidden="0" customHeight="1">
      <x:c r="Z297" s="11"/>
    </x:row>
    <x:row r="298" ht="12.75" hidden="0" customHeight="1">
      <x:c r="Z298" s="11"/>
    </x:row>
    <x:row r="299" ht="12.75" hidden="0" customHeight="1">
      <x:c r="Z299" s="11"/>
    </x:row>
    <x:row r="300" ht="12.75" hidden="0" customHeight="1">
      <x:c r="Z300" s="11"/>
    </x:row>
    <x:row r="301" ht="12.75" hidden="0" customHeight="1">
      <x:c r="Z301" s="11"/>
    </x:row>
    <x:row r="302" ht="12.75" hidden="0" customHeight="1">
      <x:c r="Z302" s="11"/>
    </x:row>
    <x:row r="303" ht="12.75" hidden="0" customHeight="1">
      <x:c r="Z303" s="11"/>
    </x:row>
    <x:row r="304" ht="12.75" hidden="0" customHeight="1">
      <x:c r="Z304" s="11"/>
    </x:row>
    <x:row r="305" ht="12.75" hidden="0" customHeight="1">
      <x:c r="Z305" s="11"/>
    </x:row>
    <x:row r="306" ht="12.75" hidden="0" customHeight="1">
      <x:c r="Z306" s="11"/>
    </x:row>
    <x:row r="307" ht="12.75" hidden="0" customHeight="1">
      <x:c r="Z307" s="11"/>
    </x:row>
    <x:row r="308" ht="12.75" hidden="0" customHeight="1">
      <x:c r="Z308" s="11"/>
    </x:row>
    <x:row r="309" ht="12.75" hidden="0" customHeight="1">
      <x:c r="Z309" s="11"/>
    </x:row>
    <x:row r="310" ht="12.75" hidden="0" customHeight="1">
      <x:c r="Z310" s="11"/>
    </x:row>
    <x:row r="311" ht="12.75" hidden="0" customHeight="1">
      <x:c r="Z311" s="11"/>
    </x:row>
    <x:row r="312" ht="12.75" hidden="0" customHeight="1">
      <x:c r="Z312" s="11"/>
    </x:row>
    <x:row r="313" ht="12.75" hidden="0" customHeight="1">
      <x:c r="Z313" s="11"/>
    </x:row>
    <x:row r="314" ht="12.75" hidden="0" customHeight="1">
      <x:c r="Z314" s="11"/>
    </x:row>
    <x:row r="315" ht="12.75" hidden="0" customHeight="1">
      <x:c r="Z315" s="11"/>
    </x:row>
    <x:row r="316" ht="12.75" hidden="0" customHeight="1">
      <x:c r="Z316" s="11"/>
    </x:row>
    <x:row r="317" ht="12.75" hidden="0" customHeight="1">
      <x:c r="Z317" s="11"/>
    </x:row>
    <x:row r="318" ht="12.75" hidden="0" customHeight="1">
      <x:c r="Z318" s="11"/>
    </x:row>
    <x:row r="319" ht="12.75" hidden="0" customHeight="1">
      <x:c r="Z319" s="11"/>
    </x:row>
    <x:row r="320" ht="12.75" hidden="0" customHeight="1">
      <x:c r="Z320" s="11"/>
    </x:row>
    <x:row r="321" ht="12.75" hidden="0" customHeight="1">
      <x:c r="Z321" s="11"/>
    </x:row>
    <x:row r="322" ht="12.75" hidden="0" customHeight="1">
      <x:c r="Z322" s="11"/>
    </x:row>
    <x:row r="323" ht="12.75" hidden="0" customHeight="1">
      <x:c r="Z323" s="11"/>
    </x:row>
    <x:row r="324" ht="12.75" hidden="0" customHeight="1">
      <x:c r="Z324" s="11"/>
    </x:row>
    <x:row r="325" ht="12.75" hidden="0" customHeight="1">
      <x:c r="Z325" s="11"/>
    </x:row>
    <x:row r="326" ht="12.75" hidden="0" customHeight="1">
      <x:c r="Z326" s="11"/>
    </x:row>
    <x:row r="327" ht="12.75" hidden="0" customHeight="1">
      <x:c r="Z327" s="11"/>
    </x:row>
    <x:row r="328" ht="12.75" hidden="0" customHeight="1">
      <x:c r="Z328" s="11"/>
    </x:row>
    <x:row r="329" ht="12.75" hidden="0" customHeight="1">
      <x:c r="Z329" s="11"/>
    </x:row>
    <x:row r="330" ht="12.75" hidden="0" customHeight="1">
      <x:c r="Z330" s="11"/>
    </x:row>
    <x:row r="331" ht="12.75" hidden="0" customHeight="1">
      <x:c r="Z331" s="11"/>
    </x:row>
    <x:row r="332" ht="12.75" hidden="0" customHeight="1">
      <x:c r="Z332" s="11"/>
    </x:row>
    <x:row r="333" ht="12.75" hidden="0" customHeight="1">
      <x:c r="Z333" s="11"/>
    </x:row>
    <x:row r="334" ht="12.75" hidden="0" customHeight="1">
      <x:c r="Z334" s="11"/>
    </x:row>
    <x:row r="335" ht="12.75" hidden="0" customHeight="1">
      <x:c r="Z335" s="11"/>
    </x:row>
    <x:row r="336" ht="12.75" hidden="0" customHeight="1">
      <x:c r="Z336" s="11"/>
    </x:row>
    <x:row r="337" ht="12.75" hidden="0" customHeight="1">
      <x:c r="Z337" s="11"/>
    </x:row>
    <x:row r="338" ht="12.75" hidden="0" customHeight="1">
      <x:c r="Z338" s="11"/>
    </x:row>
    <x:row r="339" ht="12.75" hidden="0" customHeight="1">
      <x:c r="Z339" s="11"/>
    </x:row>
    <x:row r="340" ht="12.75" hidden="0" customHeight="1">
      <x:c r="Z340" s="11"/>
    </x:row>
    <x:row r="341" ht="12.75" hidden="0" customHeight="1">
      <x:c r="Z341" s="11"/>
    </x:row>
    <x:row r="342" ht="12.75" hidden="0" customHeight="1">
      <x:c r="Z342" s="11"/>
    </x:row>
    <x:row r="343" ht="12.75" hidden="0" customHeight="1">
      <x:c r="Z343" s="11"/>
    </x:row>
    <x:row r="344" ht="12.75" hidden="0" customHeight="1">
      <x:c r="Z344" s="11"/>
    </x:row>
    <x:row r="345" ht="12.75" hidden="0" customHeight="1">
      <x:c r="Z345" s="11"/>
    </x:row>
    <x:row r="346" ht="12.75" hidden="0" customHeight="1">
      <x:c r="Z346" s="11"/>
    </x:row>
    <x:row r="347" ht="12.75" hidden="0" customHeight="1">
      <x:c r="Z347" s="11"/>
    </x:row>
    <x:row r="348" ht="12.75" hidden="0" customHeight="1">
      <x:c r="Z348" s="11"/>
    </x:row>
    <x:row r="349" ht="12.75" hidden="0" customHeight="1">
      <x:c r="Z349" s="11"/>
    </x:row>
    <x:row r="350" ht="12.75" hidden="0" customHeight="1">
      <x:c r="Z350" s="11"/>
    </x:row>
    <x:row r="351" ht="12.75" hidden="0" customHeight="1">
      <x:c r="Z351" s="11"/>
    </x:row>
    <x:row r="352" ht="12.75" hidden="0" customHeight="1">
      <x:c r="Z352" s="11"/>
    </x:row>
    <x:row r="353" ht="12.75" hidden="0" customHeight="1">
      <x:c r="Z353" s="11"/>
    </x:row>
    <x:row r="354" ht="12.75" hidden="0" customHeight="1">
      <x:c r="Z354" s="11"/>
    </x:row>
    <x:row r="355" ht="12.75" hidden="0" customHeight="1">
      <x:c r="Z355" s="11"/>
    </x:row>
    <x:row r="356" ht="12.75" hidden="0" customHeight="1">
      <x:c r="Z356" s="11"/>
    </x:row>
    <x:row r="357" ht="12.75" hidden="0" customHeight="1">
      <x:c r="Z357" s="11"/>
    </x:row>
    <x:row r="358" ht="12.75" hidden="0" customHeight="1">
      <x:c r="Z358" s="11"/>
    </x:row>
    <x:row r="359" ht="12.75" hidden="0" customHeight="1">
      <x:c r="Z359" s="11"/>
    </x:row>
    <x:row r="360" ht="12.75" hidden="0" customHeight="1">
      <x:c r="Z360" s="11"/>
    </x:row>
    <x:row r="361" ht="12.75" hidden="0" customHeight="1">
      <x:c r="Z361" s="11"/>
    </x:row>
    <x:row r="362" ht="12.75" hidden="0" customHeight="1">
      <x:c r="Z362" s="11"/>
    </x:row>
    <x:row r="363" ht="12.75" hidden="0" customHeight="1">
      <x:c r="Z363" s="11"/>
    </x:row>
    <x:row r="364" ht="12.75" hidden="0" customHeight="1">
      <x:c r="Z364" s="11"/>
    </x:row>
    <x:row r="365" ht="12.75" hidden="0" customHeight="1">
      <x:c r="Z365" s="11"/>
    </x:row>
    <x:row r="366" ht="12.75" hidden="0" customHeight="1">
      <x:c r="Z366" s="11"/>
    </x:row>
    <x:row r="367" ht="12.75" hidden="0" customHeight="1">
      <x:c r="Z367" s="11"/>
    </x:row>
    <x:row r="368" ht="12.75" hidden="0" customHeight="1">
      <x:c r="Z368" s="11"/>
    </x:row>
    <x:row r="369" ht="12.75" hidden="0" customHeight="1">
      <x:c r="Z369" s="11"/>
    </x:row>
    <x:row r="370" ht="12.75" hidden="0" customHeight="1">
      <x:c r="Z370" s="11"/>
    </x:row>
    <x:row r="371" ht="12.75" hidden="0" customHeight="1">
      <x:c r="Z371" s="11"/>
    </x:row>
    <x:row r="372" ht="12.75" hidden="0" customHeight="1">
      <x:c r="Z372" s="11"/>
    </x:row>
    <x:row r="373" ht="12.75" hidden="0" customHeight="1">
      <x:c r="Z373" s="11"/>
    </x:row>
    <x:row r="374" ht="12.75" hidden="0" customHeight="1">
      <x:c r="Z374" s="11"/>
    </x:row>
    <x:row r="375" ht="12.75" hidden="0" customHeight="1">
      <x:c r="Z375" s="11"/>
    </x:row>
    <x:row r="376" ht="12.75" hidden="0" customHeight="1">
      <x:c r="Z376" s="11"/>
    </x:row>
    <x:row r="377" ht="12.75" hidden="0" customHeight="1">
      <x:c r="Z377" s="11"/>
    </x:row>
    <x:row r="378" ht="12.75" hidden="0" customHeight="1">
      <x:c r="Z378" s="11"/>
    </x:row>
    <x:row r="379" ht="12.75" hidden="0" customHeight="1">
      <x:c r="Z379" s="11"/>
    </x:row>
    <x:row r="380" ht="12.75" hidden="0" customHeight="1">
      <x:c r="Z380" s="11"/>
    </x:row>
    <x:row r="381" ht="12.75" hidden="0" customHeight="1">
      <x:c r="Z381" s="11"/>
    </x:row>
    <x:row r="382" ht="12.75" hidden="0" customHeight="1">
      <x:c r="Z382" s="11"/>
    </x:row>
    <x:row r="383" ht="12.75" hidden="0" customHeight="1">
      <x:c r="Z383" s="11"/>
    </x:row>
    <x:row r="384" ht="12.75" hidden="0" customHeight="1">
      <x:c r="Z384" s="11"/>
    </x:row>
    <x:row r="385" ht="12.75" hidden="0" customHeight="1">
      <x:c r="Z385" s="11"/>
    </x:row>
    <x:row r="386" ht="12.75" hidden="0" customHeight="1">
      <x:c r="Z386" s="11"/>
    </x:row>
    <x:row r="387" ht="12.75" hidden="0" customHeight="1">
      <x:c r="Z387" s="11"/>
    </x:row>
    <x:row r="388" ht="12.75" hidden="0" customHeight="1">
      <x:c r="Z388" s="11"/>
    </x:row>
    <x:row r="389" ht="12.75" hidden="0" customHeight="1">
      <x:c r="Z389" s="11"/>
    </x:row>
    <x:row r="390" ht="12.75" hidden="0" customHeight="1">
      <x:c r="Z390" s="11"/>
    </x:row>
    <x:row r="391" ht="12.75" hidden="0" customHeight="1">
      <x:c r="Z391" s="11"/>
    </x:row>
    <x:row r="392" ht="12.75" hidden="0" customHeight="1">
      <x:c r="Z392" s="11"/>
    </x:row>
    <x:row r="393" ht="12.75" hidden="0" customHeight="1">
      <x:c r="Z393" s="11"/>
    </x:row>
    <x:row r="394" ht="12.75" hidden="0" customHeight="1">
      <x:c r="Z394" s="11"/>
    </x:row>
    <x:row r="395" ht="12.75" hidden="0" customHeight="1">
      <x:c r="Z395" s="11"/>
    </x:row>
    <x:row r="396" ht="12.75" hidden="0" customHeight="1">
      <x:c r="Z396" s="11"/>
    </x:row>
    <x:row r="397" ht="12.75" hidden="0" customHeight="1">
      <x:c r="Z397" s="11"/>
    </x:row>
    <x:row r="398" ht="12.75" hidden="0" customHeight="1">
      <x:c r="Z398" s="11"/>
    </x:row>
    <x:row r="399" ht="12.75" hidden="0" customHeight="1">
      <x:c r="Z399" s="11"/>
    </x:row>
    <x:row r="400" ht="12.75" hidden="0" customHeight="1">
      <x:c r="Z400" s="11"/>
    </x:row>
    <x:row r="401" ht="12.75" hidden="0" customHeight="1">
      <x:c r="Z401" s="11"/>
    </x:row>
    <x:row r="402" ht="12.75" hidden="0" customHeight="1">
      <x:c r="Z402" s="11"/>
    </x:row>
    <x:row r="403" ht="12.75" hidden="0" customHeight="1">
      <x:c r="Z403" s="11"/>
    </x:row>
    <x:row r="404" ht="12.75" hidden="0" customHeight="1">
      <x:c r="Z404" s="11"/>
    </x:row>
    <x:row r="405" ht="12.75" hidden="0" customHeight="1">
      <x:c r="Z405" s="11"/>
    </x:row>
    <x:row r="406" ht="12.75" hidden="0" customHeight="1">
      <x:c r="Z406" s="11"/>
    </x:row>
    <x:row r="407" ht="12.75" hidden="0" customHeight="1">
      <x:c r="Z407" s="11"/>
    </x:row>
    <x:row r="408" ht="12.75" hidden="0" customHeight="1">
      <x:c r="Z408" s="11"/>
    </x:row>
    <x:row r="409" ht="12.75" hidden="0" customHeight="1">
      <x:c r="Z409" s="11"/>
    </x:row>
    <x:row r="410" ht="12.75" hidden="0" customHeight="1">
      <x:c r="Z410" s="11"/>
    </x:row>
    <x:row r="411" ht="12.75" hidden="0" customHeight="1">
      <x:c r="Z411" s="11"/>
    </x:row>
    <x:row r="412" ht="12.75" hidden="0" customHeight="1">
      <x:c r="Z412" s="11"/>
    </x:row>
    <x:row r="413" ht="12.75" hidden="0" customHeight="1">
      <x:c r="Z413" s="11"/>
    </x:row>
    <x:row r="414" ht="12.75" hidden="0" customHeight="1">
      <x:c r="Z414" s="11"/>
    </x:row>
    <x:row r="415" ht="12.75" hidden="0" customHeight="1">
      <x:c r="Z415" s="11"/>
    </x:row>
    <x:row r="416" ht="12.75" hidden="0" customHeight="1">
      <x:c r="Z416" s="11"/>
    </x:row>
    <x:row r="417" ht="12.75" hidden="0" customHeight="1">
      <x:c r="Z417" s="11"/>
    </x:row>
    <x:row r="418" ht="12.75" hidden="0" customHeight="1">
      <x:c r="Z418" s="11"/>
    </x:row>
    <x:row r="419" ht="12.75" hidden="0" customHeight="1">
      <x:c r="Z419" s="11"/>
    </x:row>
    <x:row r="420" ht="12.75" hidden="0" customHeight="1">
      <x:c r="Z420" s="11"/>
    </x:row>
    <x:row r="421" ht="12.75" hidden="0" customHeight="1">
      <x:c r="Z421" s="11"/>
    </x:row>
    <x:row r="422" ht="12.75" hidden="0" customHeight="1">
      <x:c r="Z422" s="11"/>
    </x:row>
    <x:row r="423" ht="12.75" hidden="0" customHeight="1">
      <x:c r="Z423" s="11"/>
    </x:row>
    <x:row r="424" ht="12.75" hidden="0" customHeight="1">
      <x:c r="Z424" s="11"/>
    </x:row>
    <x:row r="425" ht="12.75" hidden="0" customHeight="1">
      <x:c r="Z425" s="11"/>
    </x:row>
    <x:row r="426" ht="12.75" hidden="0" customHeight="1">
      <x:c r="Z426" s="11"/>
    </x:row>
    <x:row r="427" ht="12.75" hidden="0" customHeight="1">
      <x:c r="Z427" s="11"/>
    </x:row>
    <x:row r="428" ht="12.75" hidden="0" customHeight="1">
      <x:c r="Z428" s="11"/>
    </x:row>
    <x:row r="429" ht="12.75" hidden="0" customHeight="1">
      <x:c r="Z429" s="11"/>
    </x:row>
    <x:row r="430" ht="12.75" hidden="0" customHeight="1">
      <x:c r="Z430" s="11"/>
    </x:row>
    <x:row r="431" ht="12.75" hidden="0" customHeight="1">
      <x:c r="Z431" s="11"/>
    </x:row>
    <x:row r="432" ht="12.75" hidden="0" customHeight="1">
      <x:c r="Z432" s="11"/>
    </x:row>
    <x:row r="433" ht="12.75" hidden="0" customHeight="1">
      <x:c r="Z433" s="11"/>
    </x:row>
    <x:row r="434" ht="12.75" hidden="0" customHeight="1">
      <x:c r="Z434" s="11"/>
    </x:row>
    <x:row r="435" ht="12.75" hidden="0" customHeight="1">
      <x:c r="Z435" s="11"/>
    </x:row>
    <x:row r="436" ht="12.75" hidden="0" customHeight="1">
      <x:c r="Z436" s="11"/>
    </x:row>
    <x:row r="437" ht="12.75" hidden="0" customHeight="1">
      <x:c r="Z437" s="11"/>
    </x:row>
    <x:row r="438" ht="12.75" hidden="0" customHeight="1">
      <x:c r="Z438" s="11"/>
    </x:row>
    <x:row r="439" ht="12.75" hidden="0" customHeight="1">
      <x:c r="Z439" s="11"/>
    </x:row>
    <x:row r="440" ht="12.75" hidden="0" customHeight="1">
      <x:c r="Z440" s="11"/>
    </x:row>
    <x:row r="441" ht="12.75" hidden="0" customHeight="1">
      <x:c r="Z441" s="11"/>
    </x:row>
    <x:row r="442" ht="12.75" hidden="0" customHeight="1">
      <x:c r="Z442" s="11"/>
    </x:row>
    <x:row r="443" ht="12.75" hidden="0" customHeight="1">
      <x:c r="Z443" s="11"/>
    </x:row>
    <x:row r="444" ht="12.75" hidden="0" customHeight="1">
      <x:c r="Z444" s="11"/>
    </x:row>
    <x:row r="445" ht="12.75" hidden="0" customHeight="1">
      <x:c r="Z445" s="11"/>
    </x:row>
    <x:row r="446" ht="12.75" hidden="0" customHeight="1">
      <x:c r="Z446" s="11"/>
    </x:row>
    <x:row r="447" ht="12.75" hidden="0" customHeight="1">
      <x:c r="Z447" s="11"/>
    </x:row>
    <x:row r="448" ht="12.75" hidden="0" customHeight="1">
      <x:c r="Z448" s="11"/>
    </x:row>
    <x:row r="449" ht="12.75" hidden="0" customHeight="1">
      <x:c r="Z449" s="11"/>
    </x:row>
    <x:row r="450" ht="12.75" hidden="0" customHeight="1">
      <x:c r="Z450" s="11"/>
    </x:row>
    <x:row r="451" ht="12.75" hidden="0" customHeight="1">
      <x:c r="Z451" s="11"/>
    </x:row>
    <x:row r="452" ht="12.75" hidden="0" customHeight="1">
      <x:c r="Z452" s="11"/>
    </x:row>
    <x:row r="453" ht="12.75" hidden="0" customHeight="1">
      <x:c r="Z453" s="11"/>
    </x:row>
    <x:row r="454" ht="12.75" hidden="0" customHeight="1">
      <x:c r="Z454" s="11"/>
    </x:row>
    <x:row r="455" ht="12.75" hidden="0" customHeight="1">
      <x:c r="Z455" s="11"/>
    </x:row>
    <x:row r="456" ht="12.75" hidden="0" customHeight="1">
      <x:c r="Z456" s="11"/>
    </x:row>
    <x:row r="457" ht="12.75" hidden="0" customHeight="1">
      <x:c r="Z457" s="11"/>
    </x:row>
    <x:row r="458" ht="12.75" hidden="0" customHeight="1">
      <x:c r="Z458" s="11"/>
    </x:row>
    <x:row r="459" ht="12.75" hidden="0" customHeight="1">
      <x:c r="Z459" s="11"/>
    </x:row>
    <x:row r="460" ht="12.75" hidden="0" customHeight="1">
      <x:c r="Z460" s="11"/>
    </x:row>
    <x:row r="461" ht="12.75" hidden="0" customHeight="1">
      <x:c r="Z461" s="11"/>
    </x:row>
    <x:row r="462" ht="12.75" hidden="0" customHeight="1">
      <x:c r="Z462" s="11"/>
    </x:row>
    <x:row r="463" ht="12.75" hidden="0" customHeight="1">
      <x:c r="Z463" s="11"/>
    </x:row>
    <x:row r="464" ht="12.75" hidden="0" customHeight="1">
      <x:c r="Z464" s="11"/>
    </x:row>
    <x:row r="465" ht="12.75" hidden="0" customHeight="1">
      <x:c r="Z465" s="11"/>
    </x:row>
    <x:row r="466" ht="12.75" hidden="0" customHeight="1">
      <x:c r="Z466" s="11"/>
    </x:row>
    <x:row r="467" ht="12.75" hidden="0" customHeight="1">
      <x:c r="Z467" s="11"/>
    </x:row>
    <x:row r="468" ht="12.75" hidden="0" customHeight="1">
      <x:c r="Z468" s="11"/>
    </x:row>
    <x:row r="469" ht="12.75" hidden="0" customHeight="1">
      <x:c r="Z469" s="11"/>
    </x:row>
    <x:row r="470" ht="12.75" hidden="0" customHeight="1">
      <x:c r="Z470" s="11"/>
    </x:row>
    <x:row r="471" ht="12.75" hidden="0" customHeight="1">
      <x:c r="Z471" s="11"/>
    </x:row>
    <x:row r="472" ht="12.75" hidden="0" customHeight="1">
      <x:c r="Z472" s="11"/>
    </x:row>
    <x:row r="473" ht="12.75" hidden="0" customHeight="1">
      <x:c r="Z473" s="11"/>
    </x:row>
    <x:row r="474" ht="12.75" hidden="0" customHeight="1">
      <x:c r="Z474" s="11"/>
    </x:row>
    <x:row r="475" ht="12.75" hidden="0" customHeight="1">
      <x:c r="Z475" s="11"/>
    </x:row>
    <x:row r="476" ht="12.75" hidden="0" customHeight="1">
      <x:c r="Z476" s="11"/>
    </x:row>
    <x:row r="477" ht="12.75" hidden="0" customHeight="1">
      <x:c r="Z477" s="11"/>
    </x:row>
    <x:row r="478" ht="12.75" hidden="0" customHeight="1">
      <x:c r="Z478" s="11"/>
    </x:row>
    <x:row r="479" ht="12.75" hidden="0" customHeight="1">
      <x:c r="Z479" s="11"/>
    </x:row>
    <x:row r="480" ht="12.75" hidden="0" customHeight="1">
      <x:c r="Z480" s="11"/>
    </x:row>
    <x:row r="481" ht="12.75" hidden="0" customHeight="1">
      <x:c r="Z481" s="11"/>
    </x:row>
    <x:row r="482" ht="12.75" hidden="0" customHeight="1">
      <x:c r="Z482" s="11"/>
    </x:row>
    <x:row r="483" ht="12.75" hidden="0" customHeight="1">
      <x:c r="Z483" s="11"/>
    </x:row>
    <x:row r="484" ht="12.75" hidden="0" customHeight="1">
      <x:c r="Z484" s="11"/>
    </x:row>
    <x:row r="485" ht="12.75" hidden="0" customHeight="1">
      <x:c r="Z485" s="11"/>
    </x:row>
    <x:row r="486" ht="12.75" hidden="0" customHeight="1">
      <x:c r="Z486" s="11"/>
    </x:row>
    <x:row r="487" ht="12.75" hidden="0" customHeight="1">
      <x:c r="Z487" s="11"/>
    </x:row>
    <x:row r="488" ht="12.75" hidden="0" customHeight="1">
      <x:c r="Z488" s="11"/>
    </x:row>
    <x:row r="489" ht="12.75" hidden="0" customHeight="1">
      <x:c r="Z489" s="11"/>
    </x:row>
    <x:row r="490" ht="12.75" hidden="0" customHeight="1">
      <x:c r="Z490" s="11"/>
    </x:row>
    <x:row r="491" ht="12.75" hidden="0" customHeight="1">
      <x:c r="Z491" s="11"/>
    </x:row>
    <x:row r="492" ht="12.75" hidden="0" customHeight="1">
      <x:c r="Z492" s="11"/>
    </x:row>
    <x:row r="493" ht="12.75" hidden="0" customHeight="1">
      <x:c r="Z493" s="11"/>
    </x:row>
    <x:row r="494" ht="12.75" hidden="0" customHeight="1">
      <x:c r="Z494" s="11"/>
    </x:row>
    <x:row r="495" ht="12.75" hidden="0" customHeight="1">
      <x:c r="Z495" s="11"/>
    </x:row>
    <x:row r="496" ht="12.75" hidden="0" customHeight="1">
      <x:c r="Z496" s="11"/>
    </x:row>
    <x:row r="497" ht="12.75" hidden="0" customHeight="1">
      <x:c r="Z497" s="11"/>
    </x:row>
    <x:row r="498" ht="12.75" hidden="0" customHeight="1">
      <x:c r="Z498" s="11"/>
    </x:row>
    <x:row r="499" ht="12.75" hidden="0" customHeight="1">
      <x:c r="Z499" s="11"/>
    </x:row>
    <x:row r="500" ht="12.75" hidden="0" customHeight="1">
      <x:c r="Z500" s="11"/>
    </x:row>
  </x:sheetData>
  <x:conditionalFormatting sqref="N2:N49">
    <x:cfRule type="colorScale" priority="2">
      <x:colorScale>
        <x:cfvo type="min" val="0"/>
        <x:cfvo type="percentile" val="50"/>
        <x:cfvo type="max" val="0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 val="0"/>
        <x:cfvo type="percentile" val="50"/>
        <x:cfvo type="max" val="0"/>
        <x:color rgb="FFFEE2E2"/>
        <x:color rgb="FFFEF3C7"/>
        <x:color rgb="FFDCFCE7"/>
      </x:colorScale>
    </x:cfRule>
  </x:conditionalFormatting>
  <x:dataValidations count="8">
    <x:dataValidation type="list" errorStyle="stop" allowBlank="0" showDropDown="0" showInputMessage="0" showErrorMessage="0" sqref="C2:C500">
      <x:formula1>'06_Lists'!$A$2:$A$6</x:formula1>
    </x:dataValidation>
    <x:dataValidation type="list" errorStyle="stop" allowBlank="0" showDropDown="0" showInputMessage="0" showErrorMessage="0" sqref="M2:M500">
      <x:formula1>'06_Lists'!$B$2:$B$10</x:formula1>
    </x:dataValidation>
    <x:dataValidation type="list" errorStyle="stop" allowBlank="0" showDropDown="0" showInputMessage="0" showErrorMessage="0" sqref="N2:N500">
      <x:formula1>'06_Lists'!$E$2:$E$6</x:formula1>
    </x:dataValidation>
    <x:dataValidation type="list" errorStyle="stop" allowBlank="0" showDropDown="0" showInputMessage="0" showErrorMessage="0" sqref="O2:O500">
      <x:formula1>'06_Lists'!$C$2:$C$11</x:formula1>
    </x:dataValidation>
    <x:dataValidation type="list" errorStyle="stop" allowBlank="0" showDropDown="0" showInputMessage="0" showErrorMessage="0" sqref="S2:S500">
      <x:formula1>'06_Lists'!$F$2:$F$6</x:formula1>
    </x:dataValidation>
    <x:dataValidation type="list" errorStyle="stop" allowBlank="0" showDropDown="0" showInputMessage="0" showErrorMessage="0" sqref="H2:H500">
      <x:formula1>'06_Lists'!$D$2:$D$14</x:formula1>
    </x:dataValidation>
    <x:dataValidation type="list" errorStyle="stop" allowBlank="0" showDropDown="0" showInputMessage="0" showErrorMessage="0" sqref="Y2:Y500">
      <x:formula1>'06_Lists'!$H$2:$H$46</x:formula1>
    </x:dataValidation>
    <x:dataValidation type="list" errorStyle="stop" allowBlank="0" showDropDown="0" showInputMessage="0" showErrorMessage="0" sqref="Z2:Z500">
      <x:formula1>'06_Lists'!$G$2:$G$12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0cb9002991483a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28" style="1" hidden="0" customWidth="1"/>
    <x:col min="2" max="2" width="44" style="1" hidden="0" customWidth="1"/>
    <x:col min="3" max="3" width="22" style="1" hidden="0" customWidth="1"/>
    <x:col min="4" max="4" width="20" style="1" hidden="0" customWidth="1"/>
    <x:col min="5" max="5" width="42" style="1" hidden="0" customWidth="1"/>
  </x:cols>
  <x:sheetData>
    <x:row r="1" ht="27.75" hidden="0" customHeight="1">
      <x:c r="A1" s="12" t="s">
        <x:v>914</x:v>
      </x:c>
      <x:c r="B1" s="12" t="s">
        <x:v>915</x:v>
      </x:c>
      <x:c r="C1" s="12" t="s">
        <x:v>916</x:v>
      </x:c>
      <x:c r="D1" s="12" t="s">
        <x:v>917</x:v>
      </x:c>
      <x:c r="E1" s="12" t="s">
        <x:v>2</x:v>
      </x:c>
    </x:row>
    <x:row r="2" ht="31.5" hidden="0" customHeight="1">
      <x:c r="A2" s="8" t="s">
        <x:v>12</x:v>
      </x:c>
      <x:c r="B2" s="8" t="s">
        <x:v>918</x:v>
      </x:c>
      <x:c r="C2" s="8" t="s">
        <x:v>73</x:v>
      </x:c>
      <x:c r="D2" s="8" t="s">
        <x:v>919</x:v>
      </x:c>
      <x:c r="E2" s="8" t="s">
        <x:v>920</x:v>
      </x:c>
    </x:row>
    <x:row r="3" ht="31.5" hidden="0" customHeight="1">
      <x:c r="A3" s="8" t="s">
        <x:v>13</x:v>
      </x:c>
      <x:c r="B3" s="8" t="s">
        <x:v>921</x:v>
      </x:c>
      <x:c r="C3" s="8" t="s">
        <x:v>922</x:v>
      </x:c>
      <x:c r="D3" s="8" t="s">
        <x:v>923</x:v>
      </x:c>
      <x:c r="E3" s="8" t="s">
        <x:v>924</x:v>
      </x:c>
    </x:row>
    <x:row r="4" ht="15.75" hidden="0" customHeight="1">
      <x:c r="A4" s="8" t="s">
        <x:v>14</x:v>
      </x:c>
      <x:c r="B4" s="8" t="s">
        <x:v>925</x:v>
      </x:c>
      <x:c r="C4" s="8" t="s">
        <x:v>926</x:v>
      </x:c>
      <x:c r="D4" s="8" t="s">
        <x:v>927</x:v>
      </x:c>
      <x:c r="E4" s="8" t="s">
        <x:v>928</x:v>
      </x:c>
    </x:row>
    <x:row r="5" ht="15.75" hidden="0" customHeight="1">
      <x:c r="A5" s="8" t="s">
        <x:v>15</x:v>
      </x:c>
      <x:c r="B5" s="8" t="s">
        <x:v>929</x:v>
      </x:c>
      <x:c r="C5" s="8" t="s">
        <x:v>200</x:v>
      </x:c>
      <x:c r="D5" s="8" t="s">
        <x:v>930</x:v>
      </x:c>
      <x:c r="E5" s="8" t="s">
        <x:v>931</x:v>
      </x:c>
    </x:row>
    <x:row r="6" ht="31.5" hidden="0" customHeight="1">
      <x:c r="A6" s="8" t="s">
        <x:v>16</x:v>
      </x:c>
      <x:c r="B6" s="8" t="s">
        <x:v>932</x:v>
      </x:c>
      <x:c r="C6" s="8" t="s">
        <x:v>337</x:v>
      </x:c>
      <x:c r="D6" s="8" t="s">
        <x:v>933</x:v>
      </x:c>
      <x:c r="E6" s="8" t="s">
        <x:v>934</x:v>
      </x:c>
    </x:row>
    <x:row r="7" ht="31.5" hidden="0" customHeight="1">
      <x:c r="A7" s="8" t="s">
        <x:v>17</x:v>
      </x:c>
      <x:c r="B7" s="8" t="s">
        <x:v>935</x:v>
      </x:c>
      <x:c r="C7" s="8" t="s">
        <x:v>364</x:v>
      </x:c>
      <x:c r="D7" s="8" t="s">
        <x:v>936</x:v>
      </x:c>
      <x:c r="E7" s="8" t="s">
        <x:v>937</x:v>
      </x:c>
    </x:row>
    <x:row r="8" ht="15.75" hidden="0" customHeight="1">
      <x:c r="A8" s="8" t="s">
        <x:v>18</x:v>
      </x:c>
      <x:c r="B8" s="8" t="str">
        <x:v>бумажный негатив, калотип, стеклянный негатив, сухая желатиновая пластина, рулонная плёнка, копирование</x:v>
      </x:c>
      <x:c r="C8" s="8" t="str">
        <x:v>PL-004 / PL-006 / PL-007</x:v>
      </x:c>
      <x:c r="D8" s="8" t="s">
        <x:v>938</x:v>
      </x:c>
      <x:c r="E8" s="8" t="s">
        <x:v>939</x:v>
      </x:c>
    </x:row>
    <x:row r="9" ht="15.75" hidden="0" customHeight="1">
      <x:c r="A9" s="8" t="s">
        <x:v>19</x:v>
      </x:c>
      <x:c r="B9" s="8" t="s">
        <x:v>940</x:v>
      </x:c>
      <x:c r="C9" s="8" t="s">
        <x:v>364</x:v>
      </x:c>
      <x:c r="D9" s="8" t="s">
        <x:v>941</x:v>
      </x:c>
      <x:c r="E9" s="8" t="s">
        <x:v>942</x:v>
      </x:c>
    </x:row>
    <x:row r="10" ht="15.75" hidden="0" customHeight="1">
      <x:c r="A10" s="8" t="s">
        <x:v>20</x:v>
      </x:c>
      <x:c r="B10" s="8" t="s">
        <x:v>943</x:v>
      </x:c>
      <x:c r="C10" s="8" t="s">
        <x:v>944</x:v>
      </x:c>
      <x:c r="D10" s="8" t="s">
        <x:v>945</x:v>
      </x:c>
      <x:c r="E10" s="8" t="s">
        <x:v>946</x:v>
      </x:c>
    </x:row>
    <x:row r="11" ht="15.75" hidden="0" customHeight="1">
      <x:c r="A11" s="8" t="s">
        <x:v>21</x:v>
      </x:c>
      <x:c r="B11" s="8" t="s">
        <x:v>947</x:v>
      </x:c>
      <x:c r="C11" s="8" t="s">
        <x:v>661</x:v>
      </x:c>
      <x:c r="D11" s="8" t="s">
        <x:v>948</x:v>
      </x:c>
      <x:c r="E11" s="8" t="s">
        <x:v>949</x:v>
      </x:c>
    </x:row>
    <x:row r="12" ht="15.75" hidden="0" customHeight="1">
      <x:c r="A12" s="8" t="s">
        <x:v>22</x:v>
      </x:c>
      <x:c r="B12" s="8" t="s">
        <x:v>950</x:v>
      </x:c>
      <x:c r="C12" s="8" t="s">
        <x:v>951</x:v>
      </x:c>
      <x:c r="D12" s="8" t="s">
        <x:v>952</x:v>
      </x:c>
      <x:c r="E12" s="8" t="s">
        <x:v>953</x:v>
      </x:c>
    </x:row>
    <x:row r="13" ht="15.75" hidden="0" customHeight="1">
      <x:c r="A13" s="8" t="s">
        <x:v>23</x:v>
      </x:c>
      <x:c r="B13" s="8" t="s">
        <x:v>954</x:v>
      </x:c>
      <x:c r="C13" s="8" t="s">
        <x:v>485</x:v>
      </x:c>
      <x:c r="D13" s="8" t="s">
        <x:v>955</x:v>
      </x:c>
      <x:c r="E13" s="8" t="s">
        <x:v>956</x:v>
      </x:c>
    </x:row>
    <x:row r="14" ht="15.75" hidden="0" customHeight="1">
      <x:c r="A14" s="8" t="s">
        <x:v>24</x:v>
      </x:c>
      <x:c r="B14" s="8" t="s">
        <x:v>957</x:v>
      </x:c>
      <x:c r="C14" s="8" t="s">
        <x:v>485</x:v>
      </x:c>
      <x:c r="D14" s="8" t="s">
        <x:v>958</x:v>
      </x:c>
      <x:c r="E14" s="8" t="s">
        <x:v>959</x:v>
      </x:c>
    </x:row>
  </x:sheetData>
  <x:pageMargins left="0.7" right="0.7" top="0.75" bottom="0.75" header="0.3" footer="0.3"/>
  <x:tableParts count="1">
    <x:tablePart xmlns:r="http://schemas.openxmlformats.org/officeDocument/2006/relationships" r:id="R4ab01d85c3854a61"/>
  </x:tableParts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9.670000076293945" style="1" hidden="0" customWidth="1"/>
    <x:col min="2" max="2" width="27.34000015258789" style="1" hidden="0" customWidth="1"/>
    <x:col min="3" max="3" width="42" style="1" hidden="0" customWidth="1"/>
    <x:col min="4" max="4" width="76.16000366210938" style="1" hidden="0" customWidth="1"/>
    <x:col min="5" max="5" width="11.329999923706055" style="1" hidden="0" customWidth="1"/>
    <x:col min="6" max="6" width="28" hidden="0" customWidth="1"/>
  </x:cols>
  <x:sheetData>
    <x:row r="1" ht="27.75" hidden="0" customHeight="1">
      <x:c r="A1" s="29" t="str">
        <x:v>Урок</x:v>
      </x:c>
      <x:c r="B1" s="29" t="str">
        <x:v>Главная тема</x:v>
      </x:c>
      <x:c r="C1" s="29" t="str">
        <x:v>Исторические узлы</x:v>
      </x:c>
      <x:c r="D1" s="29" t="str">
        <x:v>Что должен понять новичок</x:v>
      </x:c>
      <x:c r="E1" s="29" t="str">
        <x:v>Статус</x:v>
      </x:c>
      <x:c r="F1" s="28" t="str">
        <x:v>Ссылка на урок (Telegram)</x:v>
      </x:c>
    </x:row>
    <x:row r="2" ht="31.5" hidden="0" customHeight="1">
      <x:c r="A2" s="30" t="str">
        <x:v>PL-001</x:v>
      </x:c>
      <x:c r="B2" s="30" t="str">
        <x:v>Камера-обскура и оптика</x:v>
      </x:c>
      <x:c r="C2" s="30" t="str">
        <x:v>PL-HIST-0001…0008, 0013, 0028</x:v>
      </x:c>
      <x:c r="D2" s="30" t="str">
        <x:v>Свет умеет строить изображение, но ещё не сохраняет его.</x:v>
      </x:c>
      <x:c r="E2" s="30" t="str">
        <x:v>основа готова</x:v>
      </x:c>
      <x:c r="F2" s="28" t="str">
        <x:v>https://t.me/photolab_vf</x:v>
      </x:c>
    </x:row>
    <x:row r="3" ht="31.5" hidden="0" customHeight="1">
      <x:c r="A3" s="30" t="str">
        <x:v>PL-002</x:v>
      </x:c>
      <x:c r="B3" s="30" t="str">
        <x:v>Ньепс и первая фиксация</x:v>
      </x:c>
      <x:c r="C3" s="30" t="str">
        <x:v>PL-HIST-0009…0016</x:v>
      </x:c>
      <x:c r="D3" s="30" t="str">
        <x:v>Недостаточно увидеть изображение — его нужно зафиксировать.</x:v>
      </x:c>
      <x:c r="E3" s="30" t="str">
        <x:v>основа готова</x:v>
      </x:c>
      <x:c r="F3" s="28" t="str">
        <x:v>https://t.me/photolab_vf</x:v>
      </x:c>
    </x:row>
    <x:row r="4" ht="31.5" hidden="0" customHeight="1">
      <x:c r="A4" s="30" t="str">
        <x:v>PL-003</x:v>
      </x:c>
      <x:c r="B4" s="30" t="str">
        <x:v>Дагеротип</x:v>
      </x:c>
      <x:c r="C4" s="30" t="str">
        <x:v>PL-HIST-0017…0023, 0027</x:v>
      </x:c>
      <x:c r="D4" s="30" t="str">
        <x:v>Фотография стала публичной, резкой и убедительной, но изображение было уникальным.</x:v>
      </x:c>
      <x:c r="E4" s="30" t="str">
        <x:v>основа готова</x:v>
      </x:c>
      <x:c r="F4" s="28" t="str">
        <x:v>https://t.me/photolab_vf</x:v>
      </x:c>
    </x:row>
    <x:row r="5" ht="31.5" hidden="0" customHeight="1">
      <x:c r="A5" s="30" t="str">
        <x:v>PL-004</x:v>
      </x:c>
      <x:c r="B5" s="30" t="str">
        <x:v>Тальбот, калотип, негатив-позитив</x:v>
      </x:c>
      <x:c r="C5" s="30" t="str">
        <x:v>PL-HIST-0019…0026, 0029…0035</x:v>
      </x:c>
      <x:c r="D5" s="30" t="str">
        <x:v>Идея копирования победила: один негатив может дать много отпечатков.</x:v>
      </x:c>
      <x:c r="E5" s="30" t="str">
        <x:v>основа готова</x:v>
      </x:c>
      <x:c r="F5" s="28" t="str">
        <x:v>https://t.me/photolab_vf</x:v>
      </x:c>
    </x:row>
    <x:row r="6" ht="31.5" hidden="0" customHeight="1">
      <x:c r="A6" s="30" t="str">
        <x:v>PL-005</x:v>
      </x:c>
      <x:c r="B6" s="30" t="str">
        <x:v>Мокрый коллодий</x:v>
      </x:c>
      <x:c r="C6" s="30" t="str">
        <x:v>PL-HIST-0041…0048</x:v>
      </x:c>
      <x:c r="D6" s="30" t="str">
        <x:v>Резкость дагеротипа и тираж калотипа встретились на стеклянной влажной пластине.</x:v>
      </x:c>
      <x:c r="E6" s="30" t="str">
        <x:v>основа готова</x:v>
      </x:c>
      <x:c r="F6" s="28" t="str">
        <x:v>https://t.me/photolab_vf</x:v>
      </x:c>
    </x:row>
    <x:row r="7" ht="31.5" hidden="0" customHeight="1">
      <x:c r="A7" s="30" t="str">
        <x:v>PL-006</x:v>
      </x:c>
      <x:c r="B7" s="30" t="str">
        <x:v>Сухие желатиновые пластины</x:v>
      </x:c>
      <x:c r="C7" s="30" t="str">
        <x:v>PL-HIST-0049…0058</x:v>
      </x:c>
      <x:c r="D7" s="30" t="str">
        <x:v>Фотография освобождается от немедленной полевой химии: пластину можно купить, хранить, экспонировать и проявлять позже.</x:v>
      </x:c>
      <x:c r="E7" s="30" t="str">
        <x:v>основа заполнена</x:v>
      </x:c>
      <x:c r="F7" s="28" t="str">
        <x:v>https://t.me/photolab_vf</x:v>
      </x:c>
    </x:row>
    <x:row r="8" ht="12.75" hidden="0" customHeight="1">
      <x:c r="A8" s="28" t="str">
        <x:v>PL-007</x:v>
      </x:c>
      <x:c r="B8" s="28" t="str">
        <x:v>Рулонная плёнка и Kodak</x:v>
      </x:c>
      <x:c r="C8" s="28" t="str">
        <x:v>PL-HIST-0059…0068</x:v>
      </x:c>
      <x:c r="D8" s="28" t="str">
        <x:v>Фотография освобождается от стеклянной пластины: рулонный носитель, Kodak и сервис обработки делают съёмку проще и ближе к массовому пользователю.</x:v>
      </x:c>
      <x:c r="E8" s="28" t="str">
        <x:v>основа заполнена</x:v>
      </x:c>
      <x:c r="F8" s="28" t="str">
        <x:v>https://t.me/photolab_vf</x:v>
      </x:c>
    </x:row>
    <x:row r="9">
      <x:c r="A9" s="28" t="str">
        <x:v>будущие PL</x:v>
      </x:c>
      <x:c r="B9" s="28" t="str">
        <x:v>Расширение после PL-007</x:v>
      </x:c>
      <x:c r="C9" s="28" t="str">
        <x:v>Brownie, массовая snapshot-культура, 35 мм, Leica, цвет, цифровая фотография, AI</x:v>
      </x:c>
      <x:c r="D9" s="28" t="str">
        <x:v>Фотография станет дешёвой, массовой, компактной, цветной, цифровой и вычислительной.</x:v>
      </x:c>
      <x:c r="E9" s="28" t="str">
        <x:v>планируется</x:v>
      </x:c>
      <x:c r="F9" s="28"/>
    </x:row>
    <x:row r="10">
      <x:c r="A10"/>
      <x:c r="B10"/>
      <x:c r="C10"/>
      <x:c r="D10"/>
      <x:c r="E10"/>
      <x:c r="F10"/>
    </x:row>
  </x:sheetData>
  <x:pageMargins left="0.7" right="0.7" top="0.75" bottom="0.75" header="0.3" footer="0.3"/>
  <x:tableParts count="1">
    <x:tablePart xmlns:r="http://schemas.openxmlformats.org/officeDocument/2006/relationships" r:id="R19bfc331056f4487"/>
  </x:tableParts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14" style="1" hidden="0" customWidth="1"/>
    <x:col min="2" max="2" width="42" style="1" hidden="0" customWidth="1"/>
    <x:col min="3" max="3" width="70" style="1" hidden="0" customWidth="1"/>
    <x:col min="4" max="4" width="42" style="1" hidden="0" customWidth="1"/>
    <x:col min="5" max="5" width="30" style="1" hidden="0" customWidth="1"/>
  </x:cols>
  <x:sheetData>
    <x:row r="1" ht="27.75" hidden="0" customHeight="1">
      <x:c r="A1" s="12" t="s">
        <x:v>50</x:v>
      </x:c>
      <x:c r="B1" s="12" t="s">
        <x:v>960</x:v>
      </x:c>
      <x:c r="C1" s="12" t="s">
        <x:v>961</x:v>
      </x:c>
      <x:c r="D1" s="12" t="s">
        <x:v>962</x:v>
      </x:c>
      <x:c r="E1" s="12" t="s">
        <x:v>963</x:v>
      </x:c>
    </x:row>
    <x:row r="2" ht="31.5" hidden="0" customHeight="1">
      <x:c r="A2" s="8" t="s">
        <x:v>74</x:v>
      </x:c>
      <x:c r="B2" s="8" t="s">
        <x:v>75</x:v>
      </x:c>
      <x:c r="C2" s="8" t="s">
        <x:v>76</x:v>
      </x:c>
      <x:c r="D2" s="8" t="s">
        <x:v>964</x:v>
      </x:c>
      <x:c r="E2" s="8" t="s">
        <x:v>965</x:v>
      </x:c>
    </x:row>
    <x:row r="3" ht="31.5" hidden="0" customHeight="1">
      <x:c r="A3" s="8" t="s">
        <x:v>112</x:v>
      </x:c>
      <x:c r="B3" s="8" t="s">
        <x:v>113</x:v>
      </x:c>
      <x:c r="C3" s="8" t="s">
        <x:v>114</x:v>
      </x:c>
      <x:c r="D3" s="8" t="s">
        <x:v>966</x:v>
      </x:c>
      <x:c r="E3" s="8" t="s">
        <x:v>967</x:v>
      </x:c>
    </x:row>
    <x:row r="4" ht="31.5" hidden="0" customHeight="1">
      <x:c r="A4" s="8" t="s">
        <x:v>94</x:v>
      </x:c>
      <x:c r="B4" s="8" t="s">
        <x:v>95</x:v>
      </x:c>
      <x:c r="C4" s="8" t="s">
        <x:v>96</x:v>
      </x:c>
      <x:c r="D4" s="8" t="s">
        <x:v>968</x:v>
      </x:c>
      <x:c r="E4" s="8" t="s">
        <x:v>969</x:v>
      </x:c>
    </x:row>
    <x:row r="5" ht="31.5" hidden="0" customHeight="1">
      <x:c r="A5" s="8" t="s">
        <x:v>183</x:v>
      </x:c>
      <x:c r="B5" s="8" t="s">
        <x:v>184</x:v>
      </x:c>
      <x:c r="C5" s="8" t="s">
        <x:v>185</x:v>
      </x:c>
      <x:c r="D5" s="8" t="s">
        <x:v>970</x:v>
      </x:c>
      <x:c r="E5" s="8" t="s">
        <x:v>971</x:v>
      </x:c>
    </x:row>
    <x:row r="6" ht="31.5" hidden="0" customHeight="1">
      <x:c r="A6" s="8" t="s">
        <x:v>201</x:v>
      </x:c>
      <x:c r="B6" s="8" t="s">
        <x:v>202</x:v>
      </x:c>
      <x:c r="C6" s="8" t="s">
        <x:v>203</x:v>
      </x:c>
      <x:c r="D6" s="8" t="s">
        <x:v>972</x:v>
      </x:c>
      <x:c r="E6" s="8" t="s">
        <x:v>973</x:v>
      </x:c>
    </x:row>
    <x:row r="7" ht="15.75" hidden="0" customHeight="1">
      <x:c r="A7" s="8" t="s">
        <x:v>218</x:v>
      </x:c>
      <x:c r="B7" s="8" t="s">
        <x:v>219</x:v>
      </x:c>
      <x:c r="C7" s="8" t="s">
        <x:v>220</x:v>
      </x:c>
      <x:c r="D7" s="8" t="s">
        <x:v>974</x:v>
      </x:c>
      <x:c r="E7" s="8" t="s">
        <x:v>975</x:v>
      </x:c>
    </x:row>
    <x:row r="8" ht="31.5" hidden="0" customHeight="1">
      <x:c r="A8" s="8" t="s">
        <x:v>238</x:v>
      </x:c>
      <x:c r="B8" s="8" t="s">
        <x:v>239</x:v>
      </x:c>
      <x:c r="C8" s="8" t="s">
        <x:v>240</x:v>
      </x:c>
      <x:c r="D8" s="8" t="s">
        <x:v>976</x:v>
      </x:c>
      <x:c r="E8" s="8" t="s">
        <x:v>973</x:v>
      </x:c>
    </x:row>
    <x:row r="9" ht="31.5" hidden="0" customHeight="1">
      <x:c r="A9" s="8" t="s">
        <x:v>255</x:v>
      </x:c>
      <x:c r="B9" s="8" t="s">
        <x:v>256</x:v>
      </x:c>
      <x:c r="C9" s="8" t="s">
        <x:v>257</x:v>
      </x:c>
      <x:c r="D9" s="8" t="s">
        <x:v>977</x:v>
      </x:c>
      <x:c r="E9" s="8" t="s">
        <x:v>978</x:v>
      </x:c>
    </x:row>
    <x:row r="10" ht="15.75" hidden="0" customHeight="1">
      <x:c r="A10" s="8" t="s">
        <x:v>274</x:v>
      </x:c>
      <x:c r="B10" s="8" t="s">
        <x:v>275</x:v>
      </x:c>
      <x:c r="C10" s="8" t="s">
        <x:v>276</x:v>
      </x:c>
      <x:c r="D10" s="8" t="s">
        <x:v>979</x:v>
      </x:c>
      <x:c r="E10" s="8" t="s">
        <x:v>980</x:v>
      </x:c>
    </x:row>
    <x:row r="11" ht="31.5" hidden="0" customHeight="1">
      <x:c r="A11" s="8" t="s">
        <x:v>306</x:v>
      </x:c>
      <x:c r="B11" s="8" t="s">
        <x:v>307</x:v>
      </x:c>
      <x:c r="C11" s="8" t="s">
        <x:v>308</x:v>
      </x:c>
      <x:c r="D11" s="8" t="s">
        <x:v>981</x:v>
      </x:c>
      <x:c r="E11" s="8" t="s">
        <x:v>982</x:v>
      </x:c>
    </x:row>
    <x:row r="12" ht="31.5" hidden="0" customHeight="1">
      <x:c r="A12" s="8" t="s">
        <x:v>291</x:v>
      </x:c>
      <x:c r="B12" s="8" t="s">
        <x:v>292</x:v>
      </x:c>
      <x:c r="C12" s="8" t="s">
        <x:v>293</x:v>
      </x:c>
      <x:c r="D12" s="8" t="s">
        <x:v>983</x:v>
      </x:c>
      <x:c r="E12" s="8" t="s">
        <x:v>984</x:v>
      </x:c>
    </x:row>
    <x:row r="13" ht="31.5" hidden="0" customHeight="1">
      <x:c r="A13" s="8" t="s">
        <x:v>424</x:v>
      </x:c>
      <x:c r="B13" s="8" t="s">
        <x:v>425</x:v>
      </x:c>
      <x:c r="C13" s="8" t="s">
        <x:v>426</x:v>
      </x:c>
      <x:c r="D13" s="8" t="s">
        <x:v>985</x:v>
      </x:c>
      <x:c r="E13" s="8" t="s">
        <x:v>986</x:v>
      </x:c>
    </x:row>
    <x:row r="14" ht="31.5" hidden="0" customHeight="1">
      <x:c r="A14" s="8" t="s">
        <x:v>396</x:v>
      </x:c>
      <x:c r="B14" s="8" t="s">
        <x:v>397</x:v>
      </x:c>
      <x:c r="C14" s="8" t="s">
        <x:v>398</x:v>
      </x:c>
      <x:c r="D14" s="8" t="s">
        <x:v>987</x:v>
      </x:c>
      <x:c r="E14" s="8" t="s">
        <x:v>988</x:v>
      </x:c>
    </x:row>
    <x:row r="15" ht="31.5" hidden="0" customHeight="1">
      <x:c r="A15" s="8" t="s">
        <x:v>989</x:v>
      </x:c>
      <x:c r="B15" s="8" t="s">
        <x:v>990</x:v>
      </x:c>
      <x:c r="C15" s="8" t="s">
        <x:v>991</x:v>
      </x:c>
      <x:c r="D15" s="8" t="s">
        <x:v>992</x:v>
      </x:c>
      <x:c r="E15" s="8" t="s">
        <x:v>993</x:v>
      </x:c>
    </x:row>
    <x:row r="16" ht="31.5" hidden="0" customHeight="1">
      <x:c r="A16" s="8" t="s">
        <x:v>526</x:v>
      </x:c>
      <x:c r="B16" s="8" t="s">
        <x:v>527</x:v>
      </x:c>
      <x:c r="C16" s="8" t="s">
        <x:v>528</x:v>
      </x:c>
      <x:c r="D16" s="8" t="s">
        <x:v>994</x:v>
      </x:c>
      <x:c r="E16" s="8" t="s">
        <x:v>995</x:v>
      </x:c>
    </x:row>
    <x:row r="17" ht="31.5" hidden="0" customHeight="1">
      <x:c r="A17" s="8" t="s">
        <x:v>379</x:v>
      </x:c>
      <x:c r="B17" s="8" t="s">
        <x:v>380</x:v>
      </x:c>
      <x:c r="C17" s="8" t="s">
        <x:v>381</x:v>
      </x:c>
      <x:c r="D17" s="8" t="s">
        <x:v>996</x:v>
      </x:c>
      <x:c r="E17" s="8" t="s">
        <x:v>988</x:v>
      </x:c>
    </x:row>
    <x:row r="18" ht="15.75" hidden="0" customHeight="1">
      <x:c r="A18" s="8" t="s">
        <x:v>458</x:v>
      </x:c>
      <x:c r="B18" s="8" t="s">
        <x:v>459</x:v>
      </x:c>
      <x:c r="C18" s="8" t="s">
        <x:v>460</x:v>
      </x:c>
      <x:c r="D18" s="8" t="s">
        <x:v>997</x:v>
      </x:c>
      <x:c r="E18" s="8" t="s">
        <x:v>998</x:v>
      </x:c>
    </x:row>
    <x:row r="19" ht="31.5" hidden="0" customHeight="1">
      <x:c r="A19" s="8" t="s">
        <x:v>552</x:v>
      </x:c>
      <x:c r="B19" s="8" t="s">
        <x:v>553</x:v>
      </x:c>
      <x:c r="C19" s="8" t="s">
        <x:v>554</x:v>
      </x:c>
      <x:c r="D19" s="8" t="s">
        <x:v>999</x:v>
      </x:c>
      <x:c r="E19" s="8" t="s">
        <x:v>967</x:v>
      </x:c>
    </x:row>
    <x:row r="20" ht="31.5" hidden="0" customHeight="1">
      <x:c r="A20" s="8" t="s">
        <x:v>569</x:v>
      </x:c>
      <x:c r="B20" s="8" t="s">
        <x:v>570</x:v>
      </x:c>
      <x:c r="C20" s="8" t="s">
        <x:v>571</x:v>
      </x:c>
      <x:c r="D20" s="8" t="s">
        <x:v>1000</x:v>
      </x:c>
      <x:c r="E20" s="8" t="s">
        <x:v>973</x:v>
      </x:c>
    </x:row>
    <x:row r="21" ht="31.5" hidden="0" customHeight="1">
      <x:c r="A21" s="8" t="s">
        <x:v>538</x:v>
      </x:c>
      <x:c r="B21" s="8" t="s">
        <x:v>539</x:v>
      </x:c>
      <x:c r="C21" s="8" t="s">
        <x:v>540</x:v>
      </x:c>
      <x:c r="D21" s="8" t="s">
        <x:v>1001</x:v>
      </x:c>
      <x:c r="E21" s="8" t="s">
        <x:v>973</x:v>
      </x:c>
    </x:row>
    <x:row r="22" ht="31.5" hidden="0" customHeight="1">
      <x:c r="A22" s="8" t="s">
        <x:v>662</x:v>
      </x:c>
      <x:c r="B22" s="8" t="s">
        <x:v>663</x:v>
      </x:c>
      <x:c r="C22" s="8" t="s">
        <x:v>664</x:v>
      </x:c>
      <x:c r="D22" s="8" t="s">
        <x:v>1002</x:v>
      </x:c>
      <x:c r="E22" s="8" t="s">
        <x:v>1003</x:v>
      </x:c>
    </x:row>
    <x:row r="23" ht="31.5" hidden="0" customHeight="1">
      <x:c r="A23" s="8" t="s">
        <x:v>713</x:v>
      </x:c>
      <x:c r="B23" s="8" t="s">
        <x:v>714</x:v>
      </x:c>
      <x:c r="C23" s="8" t="s">
        <x:v>715</x:v>
      </x:c>
      <x:c r="D23" s="8" t="s">
        <x:v>1004</x:v>
      </x:c>
      <x:c r="E23" s="8" t="s">
        <x:v>993</x:v>
      </x:c>
    </x:row>
    <x:row r="24" ht="15.75" hidden="0" customHeight="1">
      <x:c r="A24" s="8" t="s">
        <x:v>365</x:v>
      </x:c>
      <x:c r="B24" s="8" t="s">
        <x:v>366</x:v>
      </x:c>
      <x:c r="C24" s="8" t="s">
        <x:v>367</x:v>
      </x:c>
      <x:c r="D24" s="8" t="s">
        <x:v>1005</x:v>
      </x:c>
      <x:c r="E24" s="8" t="s">
        <x:v>973</x:v>
      </x:c>
    </x:row>
    <x:row r="25" ht="31.5" hidden="0" customHeight="1">
      <x:c r="A25" s="8" t="s">
        <x:v>486</x:v>
      </x:c>
      <x:c r="B25" s="8" t="s">
        <x:v>487</x:v>
      </x:c>
      <x:c r="C25" s="8" t="s">
        <x:v>488</x:v>
      </x:c>
      <x:c r="D25" s="8" t="s">
        <x:v>1006</x:v>
      </x:c>
      <x:c r="E25" s="8" t="s">
        <x:v>1007</x:v>
      </x:c>
    </x:row>
    <x:row r="26" ht="31.5" hidden="0" customHeight="1">
      <x:c r="A26" s="8" t="s">
        <x:v>623</x:v>
      </x:c>
      <x:c r="B26" s="8" t="s">
        <x:v>624</x:v>
      </x:c>
      <x:c r="C26" s="8" t="s">
        <x:v>625</x:v>
      </x:c>
      <x:c r="D26" s="8" t="s">
        <x:v>1008</x:v>
      </x:c>
      <x:c r="E26" s="8" t="s">
        <x:v>1009</x:v>
      </x:c>
    </x:row>
    <x:row r="27" ht="31.5" hidden="0" customHeight="1">
      <x:c r="A27" s="8" t="s">
        <x:v>1010</x:v>
      </x:c>
      <x:c r="B27" s="8" t="s">
        <x:v>1011</x:v>
      </x:c>
      <x:c r="C27" s="8" t="s">
        <x:v>1012</x:v>
      </x:c>
      <x:c r="D27" s="8" t="s">
        <x:v>1013</x:v>
      </x:c>
      <x:c r="E27" s="8" t="s">
        <x:v>1014</x:v>
      </x:c>
    </x:row>
    <x:row r="28" ht="23.25" hidden="0" customHeight="1">
      <x:c r="A28" s="7" t="s">
        <x:v>769</x:v>
      </x:c>
      <x:c r="B28" s="7" t="s">
        <x:v>770</x:v>
      </x:c>
      <x:c r="C28" s="7" t="s">
        <x:v>771</x:v>
      </x:c>
      <x:c r="D28" s="7" t="s">
        <x:v>1015</x:v>
      </x:c>
      <x:c r="E28" s="7" t="s">
        <x:v>973</x:v>
      </x:c>
    </x:row>
    <x:row r="29" ht="23.25" hidden="0" customHeight="1">
      <x:c r="A29" s="7" t="s">
        <x:v>816</x:v>
      </x:c>
      <x:c r="B29" s="7" t="s">
        <x:v>817</x:v>
      </x:c>
      <x:c r="C29" s="7" t="s">
        <x:v>818</x:v>
      </x:c>
      <x:c r="D29" s="7" t="s">
        <x:v>1016</x:v>
      </x:c>
      <x:c r="E29" s="7" t="s">
        <x:v>1003</x:v>
      </x:c>
    </x:row>
    <x:row r="30" ht="23.25" hidden="0" customHeight="1">
      <x:c r="A30" s="7" t="s">
        <x:v>800</x:v>
      </x:c>
      <x:c r="B30" s="7" t="s">
        <x:v>801</x:v>
      </x:c>
      <x:c r="C30" s="7" t="s">
        <x:v>802</x:v>
      </x:c>
      <x:c r="D30" s="7" t="s">
        <x:v>1017</x:v>
      </x:c>
      <x:c r="E30" s="7" t="s">
        <x:v>973</x:v>
      </x:c>
    </x:row>
    <x:row r="31" ht="23.25" hidden="0" customHeight="1">
      <x:c r="A31" s="7" t="s">
        <x:v>832</x:v>
      </x:c>
      <x:c r="B31" s="7" t="s">
        <x:v>833</x:v>
      </x:c>
      <x:c r="C31" s="7" t="s">
        <x:v>834</x:v>
      </x:c>
      <x:c r="D31" s="7" t="s">
        <x:v>1018</x:v>
      </x:c>
      <x:c r="E31" s="7" t="s">
        <x:v>1019</x:v>
      </x:c>
    </x:row>
    <x:row r="32" ht="23.25" hidden="0" customHeight="1">
      <x:c r="A32" s="7" t="s">
        <x:v>848</x:v>
      </x:c>
      <x:c r="B32" s="7" t="s">
        <x:v>849</x:v>
      </x:c>
      <x:c r="C32" s="7" t="s">
        <x:v>850</x:v>
      </x:c>
      <x:c r="D32" s="7" t="s">
        <x:v>1020</x:v>
      </x:c>
      <x:c r="E32" s="7" t="s">
        <x:v>1021</x:v>
      </x:c>
    </x:row>
    <x:row r="33" ht="23.25" hidden="0" customHeight="1">
      <x:c r="A33" s="7" t="s">
        <x:v>864</x:v>
      </x:c>
      <x:c r="B33" s="7" t="s">
        <x:v>865</x:v>
      </x:c>
      <x:c r="C33" s="7" t="s">
        <x:v>866</x:v>
      </x:c>
      <x:c r="D33" s="7" t="s">
        <x:v>1022</x:v>
      </x:c>
      <x:c r="E33" s="7" t="s">
        <x:v>1021</x:v>
      </x:c>
    </x:row>
    <x:row r="34" ht="23.25" hidden="0" customHeight="1">
      <x:c r="A34" s="7" t="s">
        <x:v>879</x:v>
      </x:c>
      <x:c r="B34" s="7" t="s">
        <x:v>880</x:v>
      </x:c>
      <x:c r="C34" s="7" t="s">
        <x:v>881</x:v>
      </x:c>
      <x:c r="D34" s="7" t="s">
        <x:v>1023</x:v>
      </x:c>
      <x:c r="E34" s="7" t="s">
        <x:v>1024</x:v>
      </x:c>
    </x:row>
    <x:row r="35" ht="23.25" hidden="0" customHeight="1">
      <x:c r="A35" s="7" t="s">
        <x:v>894</x:v>
      </x:c>
      <x:c r="B35" s="7" t="s">
        <x:v>895</x:v>
      </x:c>
      <x:c r="C35" s="7" t="s">
        <x:v>896</x:v>
      </x:c>
      <x:c r="D35" s="7" t="s">
        <x:v>1025</x:v>
      </x:c>
      <x:c r="E35" s="7" t="s">
        <x:v>973</x:v>
      </x:c>
    </x:row>
    <x:row r="36">
      <x:c r="A36" s="28" t="str">
        <x:v>SRC-035</x:v>
      </x:c>
      <x:c r="B36" s="28" t="str">
        <x:v>Science Museum Group — Eastman-Walker roll holder</x:v>
      </x:c>
      <x:c r="C36" s="28" t="str">
        <x:v>https://collection.sciencemuseumgroup.org.uk/objects/co15879/eastman-walker-roll-holder</x:v>
      </x:c>
      <x:c r="D36" s="28" t="str">
        <x:v>Eastman-Walker roll holder, 1885, made by Eastman Dry Plate and Film Company</x:v>
      </x:c>
      <x:c r="E36" s="28" t="str">
        <x:v>музейная карточка предмета</x:v>
      </x:c>
    </x:row>
    <x:row r="37">
      <x:c r="A37" s="28" t="str">
        <x:v>SRC-036</x:v>
      </x:c>
      <x:c r="B37" s="28" t="str">
        <x:v>George Eastman Museum — Two rare rolls of early Kodak film</x:v>
      </x:c>
      <x:c r="C37" s="28" t="str">
        <x:v>https://www.eastman.org/two-rare-rolls-early-kodak-film-acquired-george-eastman-museum</x:v>
      </x:c>
      <x:c r="D37" s="28" t="str">
        <x:v>American Film 1885 with Eastman-Walker roll holder; Kodak film 1888; Kodak transparent film 1889</x:v>
      </x:c>
      <x:c r="E37" s="28" t="str">
        <x:v>музейный источник</x:v>
      </x:c>
    </x:row>
    <x:row r="38">
      <x:c r="A38" s="28" t="str">
        <x:v>SRC-037</x:v>
      </x:c>
      <x:c r="B38" s="28" t="str">
        <x:v>National Inventors Hall of Fame — Hannibal Goodwin</x:v>
      </x:c>
      <x:c r="C38" s="28" t="str">
        <x:v>https://www.invent.org/inductees/hannibal-goodwin</x:v>
      </x:c>
      <x:c r="D38" s="28" t="str">
        <x:v>Goodwin and transparent flexible roll film on nitrocellulose base</x:v>
      </x:c>
      <x:c r="E38" s="28" t="str">
        <x:v>биографический/изобретательский источник</x:v>
      </x:c>
    </x:row>
    <x:row r="39">
      <x:c r="A39" s="28" t="str">
        <x:v>SRC-038</x:v>
      </x:c>
      <x:c r="B39" s="28" t="str">
        <x:v>Smithsonian NMAH — Original Kodak Camera, Serial No. 540</x:v>
      </x:c>
      <x:c r="C39" s="28" t="str">
        <x:v>https://americanhistory.si.edu/collections/object/nmah_760118</x:v>
      </x:c>
      <x:c r="D39" s="28" t="str">
        <x:v>Original Kodak camera 1888, flexible roll film, 100 exposures, price/context</x:v>
      </x:c>
      <x:c r="E39" s="28" t="str">
        <x:v>музейная карточка предмета</x:v>
      </x:c>
    </x:row>
    <x:row r="40">
      <x:c r="A40" s="28" t="str">
        <x:v>SRC-039</x:v>
      </x:c>
      <x:c r="B40" s="28" t="str">
        <x:v>The Met — Kodak and the Rise of Amateur Photography</x:v>
      </x:c>
      <x:c r="C40" s="28" t="str">
        <x:v>https://www.metmuseum.org/essays/kodak-and-the-rise-of-amateur-photography</x:v>
      </x:c>
      <x:c r="D40" s="28" t="str">
        <x:v>Kodak No. 1 camera, 100-exposure roll, factory processing/reloading, amateur photography</x:v>
      </x:c>
      <x:c r="E40" s="28" t="str">
        <x:v>музейный эссе-источник</x:v>
      </x:c>
    </x:row>
    <x:row r="41">
      <x:c r="A41" s="28" t="str">
        <x:v>SRC-040</x:v>
      </x:c>
      <x:c r="B41" s="28" t="str">
        <x:v>George Eastman Museum — From the Camera Obscura to the Revolutionary Kodak</x:v>
      </x:c>
      <x:c r="C41" s="28" t="str">
        <x:v>https://www.eastman.org/camera-obscura-revolutionary-kodak</x:v>
      </x:c>
      <x:c r="D41" s="28" t="str">
        <x:v>Kodak launch 1888, camera patent and Kodak trademark on September 4, 1888</x:v>
      </x:c>
      <x:c r="E41" s="28" t="str">
        <x:v>музейный источник</x:v>
      </x:c>
    </x:row>
    <x:row r="42">
      <x:c r="A42" s="28" t="str">
        <x:v>SRC-041</x:v>
      </x:c>
      <x:c r="B42" s="28" t="str">
        <x:v>Kodak — Chronology of Film</x:v>
      </x:c>
      <x:c r="C42" s="28" t="str">
        <x:v>https://www.kodak.com/en/motion/page/chronology-of-film/</x:v>
      </x:c>
      <x:c r="D42" s="28" t="str">
        <x:v>1889 first commercial transparent roll film, Eastman and research chemist, impact on motion picture camera</x:v>
      </x:c>
      <x:c r="E42" s="28" t="str">
        <x:v>официальная хронология компании</x:v>
      </x:c>
    </x:row>
    <x:row r="43">
      <x:c r="A43" s="28" t="str">
        <x:v>SRC-042</x:v>
      </x:c>
      <x:c r="B43" s="28" t="str">
        <x:v>Kodak — Milestones</x:v>
      </x:c>
      <x:c r="C43" s="28" t="str">
        <x:v>https://www.kodak.com/en/company/page/milestones/</x:v>
      </x:c>
      <x:c r="D43" s="28" t="str">
        <x:v>1891 first daylight-loading camera; Kodak Park and film/paper manufacturing context</x:v>
      </x:c>
      <x:c r="E43" s="28" t="str">
        <x:v>официальная хронология компании</x:v>
      </x:c>
    </x:row>
    <x:row r="44">
      <x:c r="A44" s="28" t="str">
        <x:v>SRC-043</x:v>
      </x:c>
      <x:c r="B44" s="28" t="str">
        <x:v>National Science and Media Museum — Kodak Gallery</x:v>
      </x:c>
      <x:c r="C44" s="28" t="str">
        <x:v>https://www.scienceandmediamuseum.org.uk/whats-on/kodak-gallery</x:v>
      </x:c>
      <x:c r="D44" s="28" t="str">
        <x:v>Kodak camera 1888 and Brownie 1900 as birth of popular photography</x:v>
      </x:c>
      <x:c r="E44" s="28" t="str">
        <x:v>музейный источник</x:v>
      </x:c>
    </x:row>
  </x:sheetData>
  <x:pageMargins left="0.7" right="0.7" top="0.75" bottom="0.75" header="0.3" footer="0.3"/>
  <x:tableParts count="1">
    <x:tablePart xmlns:r="http://schemas.openxmlformats.org/officeDocument/2006/relationships" r:id="Re506d3e115f3458d"/>
  </x:tableParts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13.670000076293945" style="1" hidden="0" customWidth="1"/>
    <x:col min="2" max="2" width="57.83000183105469" style="1" hidden="0" customWidth="1"/>
    <x:col min="3" max="3" width="14.670000076293945" style="1" hidden="0" customWidth="1"/>
    <x:col min="4" max="4" width="28" style="1" hidden="0" customWidth="1"/>
    <x:col min="5" max="5" width="8.15999984741211" style="1" hidden="0" customWidth="1"/>
    <x:col min="6" max="6" width="10.65999984741211" style="1" hidden="0" customWidth="1"/>
    <x:col min="7" max="7" width="30.670000076293945" style="1" hidden="0" customWidth="1"/>
    <x:col min="8" max="8" width="40.15999984741211" style="1" hidden="0" customWidth="1"/>
  </x:cols>
  <x:sheetData>
    <x:row r="1" ht="27.75" hidden="0" customHeight="1">
      <x:c r="A1" s="29" t="s">
        <x:v>39</x:v>
      </x:c>
      <x:c r="B1" s="29" t="s">
        <x:v>47</x:v>
      </x:c>
      <x:c r="C1" s="29" t="s">
        <x:v>11</x:v>
      </x:c>
      <x:c r="D1" s="29" t="s">
        <x:v>914</x:v>
      </x:c>
      <x:c r="E1" s="29" t="s">
        <x:v>1026</x:v>
      </x:c>
      <x:c r="F1" s="29" t="s">
        <x:v>1027</x:v>
      </x:c>
      <x:c r="G1" s="31" t="s">
        <x:v>25</x:v>
      </x:c>
      <x:c r="H1" s="31" t="s">
        <x:v>59</x:v>
      </x:c>
    </x:row>
    <x:row r="2" ht="15.75" hidden="0" customHeight="1">
      <x:c r="A2" s="30" t="s">
        <x:v>405</x:v>
      </x:c>
      <x:c r="B2" s="30" t="s">
        <x:v>412</x:v>
      </x:c>
      <x:c r="C2" s="30" t="str">
        <x:v>PL-001</x:v>
      </x:c>
      <x:c r="D2" s="30" t="s">
        <x:v>12</x:v>
      </x:c>
      <x:c r="E2" s="30" t="n">
        <x:v>1</x:v>
      </x:c>
      <x:c r="F2" s="30" t="n">
        <x:v>1</x:v>
      </x:c>
      <x:c r="G2" s="28" t="s">
        <x:v>26</x:v>
      </x:c>
      <x:c r="H2" s="28" t="s">
        <x:v>146</x:v>
      </x:c>
    </x:row>
    <x:row r="3" ht="15.75" hidden="0" customHeight="1">
      <x:c r="A3" s="30" t="s">
        <x:v>85</x:v>
      </x:c>
      <x:c r="B3" s="30" t="s">
        <x:v>322</x:v>
      </x:c>
      <x:c r="C3" s="30" t="str">
        <x:v>PL-002</x:v>
      </x:c>
      <x:c r="D3" s="30" t="s">
        <x:v>13</x:v>
      </x:c>
      <x:c r="E3" s="30" t="n">
        <x:v>2</x:v>
      </x:c>
      <x:c r="F3" s="30" t="n">
        <x:v>2</x:v>
      </x:c>
      <x:c r="G3" s="28" t="s">
        <x:v>27</x:v>
      </x:c>
      <x:c r="H3" s="28" t="s">
        <x:v>160</x:v>
      </x:c>
    </x:row>
    <x:row r="4" ht="15.75" hidden="0" customHeight="1">
      <x:c r="A4" s="30" t="s">
        <x:v>163</x:v>
      </x:c>
      <x:c r="B4" s="30" t="s">
        <x:v>660</x:v>
      </x:c>
      <x:c r="C4" s="30" t="str">
        <x:v>PL-003</x:v>
      </x:c>
      <x:c r="D4" s="30" t="s">
        <x:v>14</x:v>
      </x:c>
      <x:c r="E4" s="30" t="n">
        <x:v>3</x:v>
      </x:c>
      <x:c r="F4" s="30" t="n">
        <x:v>3</x:v>
      </x:c>
      <x:c r="G4" s="28" t="s">
        <x:v>28</x:v>
      </x:c>
      <x:c r="H4" s="28" t="s">
        <x:v>492</x:v>
      </x:c>
    </x:row>
    <x:row r="5" ht="15.75" hidden="0" customHeight="1">
      <x:c r="A5" s="30" t="s">
        <x:v>63</x:v>
      </x:c>
      <x:c r="B5" s="30" t="s">
        <x:v>395</x:v>
      </x:c>
      <x:c r="C5" s="30" t="str">
        <x:v>PL-004</x:v>
      </x:c>
      <x:c r="D5" s="30" t="s">
        <x:v>15</x:v>
      </x:c>
      <x:c r="E5" s="30" t="n">
        <x:v>4</x:v>
      </x:c>
      <x:c r="F5" s="30" t="n">
        <x:v>4</x:v>
      </x:c>
      <x:c r="G5" s="28" t="s">
        <x:v>29</x:v>
      </x:c>
      <x:c r="H5" s="28" t="s">
        <x:v>226</x:v>
      </x:c>
    </x:row>
    <x:row r="6" ht="31.5" hidden="0" customHeight="1">
      <x:c r="A6" s="30" t="s">
        <x:v>315</x:v>
      </x:c>
      <x:c r="B6" s="30" t="s">
        <x:v>753</x:v>
      </x:c>
      <x:c r="C6" s="30" t="str">
        <x:v>PL-005</x:v>
      </x:c>
      <x:c r="D6" s="30" t="s">
        <x:v>16</x:v>
      </x:c>
      <x:c r="E6" s="30" t="n">
        <x:v>5</x:v>
      </x:c>
      <x:c r="F6" s="30" t="n">
        <x:v>5</x:v>
      </x:c>
      <x:c r="G6" s="28" t="s">
        <x:v>30</x:v>
      </x:c>
      <x:c r="H6" s="28" t="s">
        <x:v>245</x:v>
      </x:c>
    </x:row>
    <x:row r="7" ht="31.5" hidden="0" customHeight="1">
      <x:c r="A7" s="30"/>
      <x:c r="B7" s="30" t="s">
        <x:v>72</x:v>
      </x:c>
      <x:c r="C7" s="30" t="str">
        <x:v>PL-006</x:v>
      </x:c>
      <x:c r="D7" s="30" t="s">
        <x:v>17</x:v>
      </x:c>
      <x:c r="E7" s="30"/>
      <x:c r="F7" s="30"/>
      <x:c r="G7" s="28" t="s">
        <x:v>31</x:v>
      </x:c>
      <x:c r="H7" s="28" t="s">
        <x:v>263</x:v>
      </x:c>
    </x:row>
    <x:row r="8" ht="15.75" hidden="0" customHeight="1">
      <x:c r="A8" s="30"/>
      <x:c r="B8" s="30" t="s">
        <x:v>290</x:v>
      </x:c>
      <x:c r="C8" s="30" t="str">
        <x:v>PL-007</x:v>
      </x:c>
      <x:c r="D8" s="30" t="s">
        <x:v>18</x:v>
      </x:c>
      <x:c r="E8" s="30"/>
      <x:c r="F8" s="30"/>
      <x:c r="G8" s="28" t="s">
        <x:v>32</x:v>
      </x:c>
      <x:c r="H8" s="28" t="s">
        <x:v>245</x:v>
      </x:c>
    </x:row>
    <x:row r="9" ht="31.5" hidden="0" customHeight="1">
      <x:c r="A9" s="30"/>
      <x:c r="B9" s="30" t="s">
        <x:v>551</x:v>
      </x:c>
      <x:c r="C9" s="30" t="str">
        <x:v>будущие PL</x:v>
      </x:c>
      <x:c r="D9" s="30" t="s">
        <x:v>19</x:v>
      </x:c>
      <x:c r="E9" s="30"/>
      <x:c r="F9" s="30"/>
      <x:c r="G9" s="28" t="s">
        <x:v>33</x:v>
      </x:c>
      <x:c r="H9" s="28" t="s">
        <x:v>298</x:v>
      </x:c>
    </x:row>
    <x:row r="10" ht="15.75" hidden="0" customHeight="1">
      <x:c r="A10" s="30"/>
      <x:c r="B10" s="30" t="s">
        <x:v>237</x:v>
      </x:c>
      <x:c r="C10" s="30" t="str">
        <x:v>межурочный узел</x:v>
      </x:c>
      <x:c r="D10" s="30" t="s">
        <x:v>20</x:v>
      </x:c>
      <x:c r="E10" s="30"/>
      <x:c r="F10" s="30"/>
      <x:c r="G10" s="28" t="s">
        <x:v>34</x:v>
      </x:c>
      <x:c r="H10" s="28" t="s">
        <x:v>327</x:v>
      </x:c>
    </x:row>
    <x:row r="11" ht="15.75" hidden="0" customHeight="1">
      <x:c r="A11" s="30"/>
      <x:c r="B11" s="30" t="s">
        <x:v>199</x:v>
      </x:c>
      <x:c r="C11" s="30" t="str">
        <x:v>проверить</x:v>
      </x:c>
      <x:c r="D11" s="30" t="s">
        <x:v>21</x:v>
      </x:c>
      <x:c r="E11" s="30"/>
      <x:c r="F11" s="30"/>
      <x:c r="G11" s="28" t="s">
        <x:v>35</x:v>
      </x:c>
      <x:c r="H11" s="28" t="s">
        <x:v>342</x:v>
      </x:c>
    </x:row>
    <x:row r="12" ht="15.75" hidden="0" customHeight="1">
      <x:c r="A12" s="30"/>
      <x:c r="B12" s="30"/>
      <x:c r="C12" s="30"/>
      <x:c r="D12" s="30" t="s">
        <x:v>22</x:v>
      </x:c>
      <x:c r="E12" s="30"/>
      <x:c r="F12" s="30"/>
      <x:c r="G12" s="28" t="s">
        <x:v>36</x:v>
      </x:c>
      <x:c r="H12" s="28" t="s">
        <x:v>416</x:v>
      </x:c>
    </x:row>
    <x:row r="13" ht="15.75" hidden="0" customHeight="1">
      <x:c r="A13" s="30"/>
      <x:c r="B13" s="30"/>
      <x:c r="C13" s="30"/>
      <x:c r="D13" s="30" t="s">
        <x:v>23</x:v>
      </x:c>
      <x:c r="E13" s="30"/>
      <x:c r="F13" s="30"/>
      <x:c r="G13" s="28"/>
      <x:c r="H13" s="28" t="s">
        <x:v>430</x:v>
      </x:c>
    </x:row>
    <x:row r="14" ht="15.75" hidden="0" customHeight="1">
      <x:c r="A14" s="30"/>
      <x:c r="B14" s="30"/>
      <x:c r="C14" s="30"/>
      <x:c r="D14" s="30" t="s">
        <x:v>24</x:v>
      </x:c>
      <x:c r="E14" s="30"/>
      <x:c r="F14" s="30"/>
      <x:c r="G14" s="28"/>
      <x:c r="H14" s="28" t="s">
        <x:v>440</x:v>
      </x:c>
    </x:row>
    <x:row r="15" ht="15" hidden="0" customHeight="1">
      <x:c r="A15" s="30"/>
      <x:c r="B15" s="30"/>
      <x:c r="C15" s="30"/>
      <x:c r="D15" s="30"/>
      <x:c r="E15" s="30"/>
      <x:c r="F15" s="30"/>
      <x:c r="G15" s="28"/>
      <x:c r="H15" s="28" t="s">
        <x:v>502</x:v>
      </x:c>
    </x:row>
    <x:row r="16" ht="15" hidden="0" customHeight="1">
      <x:c r="A16" s="30"/>
      <x:c r="B16" s="30"/>
      <x:c r="C16" s="30"/>
      <x:c r="D16" s="30"/>
      <x:c r="E16" s="30"/>
      <x:c r="F16" s="30"/>
      <x:c r="G16" s="28"/>
      <x:c r="H16" s="28" t="s">
        <x:v>517</x:v>
      </x:c>
    </x:row>
    <x:row r="17" ht="15" hidden="0" customHeight="1">
      <x:c r="A17" s="30"/>
      <x:c r="B17" s="30"/>
      <x:c r="C17" s="30"/>
      <x:c r="D17" s="30"/>
      <x:c r="E17" s="30"/>
      <x:c r="F17" s="30"/>
      <x:c r="G17" s="28"/>
      <x:c r="H17" s="28" t="s">
        <x:v>559</x:v>
      </x:c>
    </x:row>
    <x:row r="18" ht="15" hidden="0" customHeight="1">
      <x:c r="A18" s="30"/>
      <x:c r="B18" s="30"/>
      <x:c r="C18" s="30"/>
      <x:c r="D18" s="30"/>
      <x:c r="E18" s="30"/>
      <x:c r="F18" s="30"/>
      <x:c r="G18" s="28"/>
      <x:c r="H18" s="28" t="s">
        <x:v>576</x:v>
      </x:c>
    </x:row>
    <x:row r="19" ht="15" hidden="0" customHeight="1">
      <x:c r="A19" s="30"/>
      <x:c r="B19" s="30"/>
      <x:c r="C19" s="30"/>
      <x:c r="D19" s="30"/>
      <x:c r="E19" s="30"/>
      <x:c r="F19" s="30"/>
      <x:c r="G19" s="28"/>
      <x:c r="H19" s="28" t="s">
        <x:v>587</x:v>
      </x:c>
    </x:row>
    <x:row r="20" ht="15" hidden="0" customHeight="1">
      <x:c r="A20" s="30"/>
      <x:c r="B20" s="30"/>
      <x:c r="C20" s="30"/>
      <x:c r="D20" s="30"/>
      <x:c r="E20" s="30"/>
      <x:c r="F20" s="30"/>
      <x:c r="G20" s="28"/>
      <x:c r="H20" s="28" t="s">
        <x:v>601</x:v>
      </x:c>
    </x:row>
    <x:row r="21" ht="15" hidden="0" customHeight="1">
      <x:c r="A21" s="30"/>
      <x:c r="B21" s="30"/>
      <x:c r="C21" s="30"/>
      <x:c r="D21" s="30"/>
      <x:c r="E21" s="30"/>
      <x:c r="F21" s="30"/>
      <x:c r="G21" s="28"/>
      <x:c r="H21" s="28" t="s">
        <x:v>681</x:v>
      </x:c>
    </x:row>
    <x:row r="22" ht="15" hidden="0" customHeight="1">
      <x:c r="A22" s="30"/>
      <x:c r="B22" s="30"/>
      <x:c r="C22" s="30"/>
      <x:c r="D22" s="30"/>
      <x:c r="E22" s="30"/>
      <x:c r="F22" s="30"/>
      <x:c r="G22" s="28"/>
      <x:c r="H22" s="28" t="s">
        <x:v>691</x:v>
      </x:c>
    </x:row>
    <x:row r="23" ht="15" hidden="0" customHeight="1">
      <x:c r="A23" s="30"/>
      <x:c r="B23" s="30"/>
      <x:c r="C23" s="30"/>
      <x:c r="D23" s="30"/>
      <x:c r="E23" s="30"/>
      <x:c r="F23" s="30"/>
      <x:c r="G23" s="28"/>
      <x:c r="H23" s="28" t="s">
        <x:v>702</x:v>
      </x:c>
    </x:row>
    <x:row r="24" ht="15" hidden="0" customHeight="1">
      <x:c r="A24" s="30"/>
      <x:c r="B24" s="30"/>
      <x:c r="C24" s="30"/>
      <x:c r="D24" s="30"/>
      <x:c r="E24" s="30"/>
      <x:c r="F24" s="30"/>
      <x:c r="G24" s="28"/>
      <x:c r="H24" s="28" t="s">
        <x:v>719</x:v>
      </x:c>
    </x:row>
    <x:row r="25" ht="15" hidden="0" customHeight="1">
      <x:c r="A25" s="30"/>
      <x:c r="B25" s="30"/>
      <x:c r="C25" s="30"/>
      <x:c r="D25" s="30"/>
      <x:c r="E25" s="30"/>
      <x:c r="F25" s="30"/>
      <x:c r="G25" s="28"/>
      <x:c r="H25" s="28" t="s">
        <x:v>743</x:v>
      </x:c>
    </x:row>
    <x:row r="26" ht="15" hidden="0" customHeight="1">
      <x:c r="A26" s="30"/>
      <x:c r="B26" s="30"/>
      <x:c r="C26" s="30"/>
      <x:c r="D26" s="30"/>
      <x:c r="E26" s="30"/>
      <x:c r="F26" s="30"/>
      <x:c r="G26" s="28"/>
      <x:c r="H26" s="28" t="s">
        <x:v>758</x:v>
      </x:c>
    </x:row>
    <x:row r="27" ht="15" hidden="0" customHeight="1">
      <x:c r="A27" s="30"/>
      <x:c r="B27" s="30"/>
      <x:c r="C27" s="30"/>
      <x:c r="D27" s="30"/>
      <x:c r="E27" s="30"/>
      <x:c r="F27" s="30"/>
      <x:c r="G27" s="28"/>
      <x:c r="H27" s="28" t="s">
        <x:v>776</x:v>
      </x:c>
    </x:row>
    <x:row r="28" ht="15" hidden="0" customHeight="1">
      <x:c r="A28" s="30"/>
      <x:c r="B28" s="30"/>
      <x:c r="C28" s="30"/>
      <x:c r="D28" s="30"/>
      <x:c r="E28" s="30"/>
      <x:c r="F28" s="30"/>
      <x:c r="G28" s="28"/>
      <x:c r="H28" s="28" t="s">
        <x:v>791</x:v>
      </x:c>
    </x:row>
    <x:row r="29" ht="15" hidden="0" customHeight="1">
      <x:c r="A29" s="30"/>
      <x:c r="B29" s="30"/>
      <x:c r="C29" s="30"/>
      <x:c r="D29" s="30"/>
      <x:c r="E29" s="30"/>
      <x:c r="F29" s="30"/>
      <x:c r="G29" s="28"/>
      <x:c r="H29" s="28" t="s">
        <x:v>806</x:v>
      </x:c>
    </x:row>
    <x:row r="30" ht="15" hidden="0" customHeight="1">
      <x:c r="A30" s="30"/>
      <x:c r="B30" s="30"/>
      <x:c r="C30" s="30"/>
      <x:c r="D30" s="30"/>
      <x:c r="E30" s="30"/>
      <x:c r="F30" s="30"/>
      <x:c r="G30" s="28"/>
      <x:c r="H30" s="28" t="s">
        <x:v>822</x:v>
      </x:c>
    </x:row>
    <x:row r="31" ht="15" hidden="0" customHeight="1">
      <x:c r="A31" s="30"/>
      <x:c r="B31" s="30"/>
      <x:c r="C31" s="30"/>
      <x:c r="D31" s="30"/>
      <x:c r="E31" s="30"/>
      <x:c r="F31" s="30"/>
      <x:c r="G31" s="28"/>
      <x:c r="H31" s="28" t="s">
        <x:v>838</x:v>
      </x:c>
    </x:row>
    <x:row r="32" ht="15" hidden="0" customHeight="1">
      <x:c r="A32" s="30"/>
      <x:c r="B32" s="30"/>
      <x:c r="C32" s="30"/>
      <x:c r="D32" s="30"/>
      <x:c r="E32" s="30"/>
      <x:c r="F32" s="30"/>
      <x:c r="G32" s="28"/>
      <x:c r="H32" s="28" t="s">
        <x:v>855</x:v>
      </x:c>
    </x:row>
    <x:row r="33" ht="15" hidden="0" customHeight="1">
      <x:c r="A33" s="30"/>
      <x:c r="B33" s="30"/>
      <x:c r="C33" s="30"/>
      <x:c r="D33" s="30"/>
      <x:c r="E33" s="30"/>
      <x:c r="F33" s="30"/>
      <x:c r="G33" s="28"/>
      <x:c r="H33" s="28" t="s">
        <x:v>870</x:v>
      </x:c>
    </x:row>
    <x:row r="34" ht="15" hidden="0" customHeight="1">
      <x:c r="A34" s="30"/>
      <x:c r="B34" s="30"/>
      <x:c r="C34" s="30"/>
      <x:c r="D34" s="30"/>
      <x:c r="E34" s="30"/>
      <x:c r="F34" s="30"/>
      <x:c r="G34" s="28"/>
      <x:c r="H34" s="28" t="s">
        <x:v>885</x:v>
      </x:c>
    </x:row>
    <x:row r="35" ht="15" hidden="0" customHeight="1">
      <x:c r="A35" s="30"/>
      <x:c r="B35" s="30"/>
      <x:c r="C35" s="30"/>
      <x:c r="D35" s="30"/>
      <x:c r="E35" s="30"/>
      <x:c r="F35" s="30"/>
      <x:c r="G35" s="28"/>
      <x:c r="H35" s="28" t="s">
        <x:v>900</x:v>
      </x:c>
    </x:row>
    <x:row r="36" ht="15" hidden="0" customHeight="1">
      <x:c r="A36" s="30"/>
      <x:c r="B36" s="30"/>
      <x:c r="C36" s="30"/>
      <x:c r="D36" s="30"/>
      <x:c r="E36" s="30"/>
      <x:c r="F36" s="30"/>
      <x:c r="G36" s="28"/>
      <x:c r="H36" s="28" t="s">
        <x:v>913</x:v>
      </x:c>
    </x:row>
    <x:row r="37" ht="15" hidden="0" customHeight="1">
      <x:c r="A37" s="30"/>
      <x:c r="B37" s="30"/>
      <x:c r="C37" s="30"/>
      <x:c r="D37" s="30"/>
      <x:c r="E37" s="30"/>
      <x:c r="F37" s="30"/>
      <x:c r="G37" s="28"/>
      <x:c r="H37" s="28" t="str">
        <x:v>Рулонная плёнка / бизнес-переход</x:v>
      </x:c>
    </x:row>
    <x:row r="38" ht="15" hidden="0" customHeight="1">
      <x:c r="A38" s="30"/>
      <x:c r="B38" s="30"/>
      <x:c r="C38" s="30"/>
      <x:c r="D38" s="30"/>
      <x:c r="E38" s="30"/>
      <x:c r="F38" s="30"/>
      <x:c r="G38" s="28"/>
      <x:c r="H38" s="28" t="str">
        <x:v>Рулонная плёнка / держатель</x:v>
      </x:c>
    </x:row>
    <x:row r="39">
      <x:c r="A39" s="28"/>
      <x:c r="B39" s="28"/>
      <x:c r="C39" s="28"/>
      <x:c r="D39" s="28"/>
      <x:c r="E39" s="28"/>
      <x:c r="F39" s="28"/>
      <x:c r="G39" s="28"/>
      <x:c r="H39" s="28" t="str">
        <x:v>Рулонная плёнка / бумажная основа</x:v>
      </x:c>
    </x:row>
    <x:row r="40">
      <x:c r="A40" s="28"/>
      <x:c r="B40" s="28"/>
      <x:c r="C40" s="28"/>
      <x:c r="D40" s="28"/>
      <x:c r="E40" s="28"/>
      <x:c r="F40" s="28"/>
      <x:c r="G40" s="28"/>
      <x:c r="H40" s="28" t="str">
        <x:v>Рулонная плёнка / целлулоидная основа</x:v>
      </x:c>
    </x:row>
    <x:row r="41">
      <x:c r="A41" s="28"/>
      <x:c r="B41" s="28"/>
      <x:c r="C41" s="28"/>
      <x:c r="D41" s="28"/>
      <x:c r="E41" s="28"/>
      <x:c r="F41" s="28"/>
      <x:c r="G41" s="28"/>
      <x:c r="H41" s="28" t="str">
        <x:v>Рулонная плёнка / Kodak camera</x:v>
      </x:c>
    </x:row>
    <x:row r="42">
      <x:c r="A42" s="28"/>
      <x:c r="B42" s="28"/>
      <x:c r="C42" s="28"/>
      <x:c r="D42" s="28"/>
      <x:c r="E42" s="28"/>
      <x:c r="F42" s="28"/>
      <x:c r="G42" s="28"/>
      <x:c r="H42" s="28" t="str">
        <x:v>Рулонная плёнка / сервисная модель</x:v>
      </x:c>
    </x:row>
    <x:row r="43">
      <x:c r="A43" s="28"/>
      <x:c r="B43" s="28"/>
      <x:c r="C43" s="28"/>
      <x:c r="D43" s="28"/>
      <x:c r="E43" s="28"/>
      <x:c r="F43" s="28"/>
      <x:c r="G43" s="28"/>
      <x:c r="H43" s="28" t="str">
        <x:v>Рулонная плёнка / патент и бренд</x:v>
      </x:c>
    </x:row>
    <x:row r="44">
      <x:c r="A44" s="28"/>
      <x:c r="B44" s="28"/>
      <x:c r="C44" s="28"/>
      <x:c r="D44" s="28"/>
      <x:c r="E44" s="28"/>
      <x:c r="F44" s="28"/>
      <x:c r="G44" s="28"/>
      <x:c r="H44" s="28" t="str">
        <x:v>Рулонная плёнка / прозрачная плёнка</x:v>
      </x:c>
    </x:row>
    <x:row r="45">
      <x:c r="A45" s="28"/>
      <x:c r="B45" s="28"/>
      <x:c r="C45" s="28"/>
      <x:c r="D45" s="28"/>
      <x:c r="E45" s="28"/>
      <x:c r="F45" s="28"/>
      <x:c r="G45" s="28"/>
      <x:c r="H45" s="28" t="str">
        <x:v>Рулонная плёнка / дневная перезарядка</x:v>
      </x:c>
    </x:row>
    <x:row r="46">
      <x:c r="A46" s="28"/>
      <x:c r="B46" s="28"/>
      <x:c r="C46" s="28"/>
      <x:c r="D46" s="28"/>
      <x:c r="E46" s="28"/>
      <x:c r="F46" s="28"/>
      <x:c r="G46" s="28"/>
      <x:c r="H46" s="28" t="str">
        <x:v>Рулонная плёнка / массовая фотография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defaultColWidth="8.66796875" defaultRowHeight="12.75"/>
  <x:cols>
    <x:col min="1" max="1" width="40.66999816894531" style="1" hidden="0" customWidth="1"/>
    <x:col min="2" max="2" width="165" style="1" hidden="0" customWidth="1"/>
  </x:cols>
  <x:sheetData>
    <x:row r="1" ht="30" hidden="0" customHeight="1">
      <x:c r="A1" s="35" t="str">
        <x:v>PHOTO LAB — History Map Master v0.4</x:v>
      </x:c>
      <x:c r="B1" s="35"/>
    </x:row>
    <x:row r="2" ht="15.75" hidden="0" customHeight="1">
      <x:c r="A2" s="36" t="str">
        <x:v>Назначение</x:v>
      </x:c>
      <x:c r="B2" s="33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ht="15.75" hidden="0" customHeight="1">
      <x:c r="A3" s="36" t="str">
        <x:v>Охват v0.4</x:v>
      </x:c>
      <x:c r="B3" s="33" t="str">
        <x:v>От оптических предпосылок камеры-обскуры до мокрого коллодия, сухих желатиновых пластин, рулонной плёнки и Kodak; основа для PL-001–PL-007.</x:v>
      </x:c>
    </x:row>
    <x:row r="4" ht="15.75" hidden="0" customHeight="1">
      <x:c r="A4" s="36" t="str">
        <x:v>Принцип</x:v>
      </x:c>
      <x:c r="B4" s="33" t="str">
        <x:v>Каждый факт должен отвечать на 5 вопросов: что произошло, где, кто связан, почему важно, чем подтверждено.</x:v>
      </x:c>
    </x:row>
    <x:row r="5" ht="15.75" hidden="0" customHeight="1">
      <x:c r="A5" s="36" t="str">
        <x:v>Как пользоваться</x:v>
      </x:c>
      <x:c r="B5" s="33" t="str">
        <x:v>Фильтровать лист 01_Master_Facts по уроку, ветке развития, статусу ветки, типу узла, стране или уровню уверенности.</x:v>
      </x:c>
    </x:row>
    <x:row r="6" ht="15.75" hidden="0" customHeight="1">
      <x:c r="A6" s="36" t="str">
        <x:v>Важно</x:v>
      </x:c>
      <x:c r="B6" s="33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ht="15.75" hidden="0" customHeight="1">
      <x:c r="A7" s="36" t="str">
        <x:v>Правило веток</x:v>
      </x:c>
      <x:c r="B7" s="33" t="str">
        <x:v>Ветка развития = одна из 13 крупных линий из 02_Branches. Для PL-006 и PL-007 сухие пластины и рулонная плёнка пока идут внутри крупной ветки «Негатив-позитив», а детали фиксируются в подветках.</x:v>
      </x:c>
    </x:row>
    <x:row r="8" ht="15.75" hidden="0" customHeight="1">
      <x:c r="A8" s="36" t="str">
        <x:v>Правило подветок</x:v>
      </x:c>
      <x:c r="B8" s="33" t="str">
        <x:v>Подветка (детали) = уточнение внутри крупной ветки: химия, камера, распространение, фотокнига, медицинское применение, сухие желатиновые пластины, рулонная плёнка и т.п.</x:v>
      </x:c>
    </x:row>
    <x:row r="9" ht="12.75" hidden="0" customHeight="1">
      <x:c r="A9" s="28" t="str">
        <x:v>Правило типа узла</x:v>
      </x:c>
      <x:c r="B9" s="28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ht="23.25" hidden="0" customHeight="1">
      <x:c r="A10" s="28" t="str">
        <x:v>Единственный источник истины по урокам</x:v>
      </x:c>
      <x:c r="B10" s="28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ht="23.25" hidden="0" customHeight="1">
      <x:c r="A11" s="28" t="str">
        <x:v>Что изменено в v0.2.1</x:v>
      </x:c>
      <x:c r="B11" s="28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ht="23.25" hidden="0" customHeight="1">
      <x:c r="A12" s="28" t="str">
        <x:v>Что изменено в v0.3</x:v>
      </x:c>
      <x:c r="B12" s="28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ht="12.75" hidden="0" customHeight="1">
      <x:c r="A13" s="28" t="str">
        <x:v>Что изменено в v0.3.1</x:v>
      </x:c>
      <x:c r="B13" s="28" t="str">
        <x:v>Добавлена колонка «Флагман урока (да/нет)» в 01_Master_Facts: по одному флагманскому узлу на каждый из PL-001–PL-006.</x:v>
      </x:c>
    </x:row>
    <x:row r="14" ht="12.75" hidden="0" customHeight="1">
      <x:c r="A14" s="28" t="str">
        <x:v>Что изменено в v0.4</x:v>
      </x:c>
      <x:c r="B14" s="28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x:v>
      </x:c>
    </x:row>
    <x:row r="15" ht="12.75" hidden="0" customHeight="1">
      <x:c r="A15" s="28" t="str">
        <x:v>Правило флагманских узлов</x:v>
      </x:c>
      <x:c r="B15" s="28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16" ht="12.75" hidden="0">
      <x:c r="A16" s="28" t="str">
        <x:v>Ссылка на урок в Telegram</x:v>
      </x:c>
      <x:c r="B16" s="28" t="str">
        <x:v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x:v>
      </x:c>
    </x:row>
    <x:row r="17">
      <x:c r="A17" s="28" t="str">
        <x:v>Следующий шаг</x:v>
      </x:c>
      <x:c r="B17" s="28" t="str">
        <x:v>PL-008 можно логично строить вокруг Brownie, snapshot-культуры и превращения фотографии в массовую повседневную практику.</x:v>
      </x:c>
    </x:row>
    <x:row r="18">
      <x:c r="A18"/>
      <x:c r="B18"/>
    </x:row>
    <x:row r="19">
      <x:c r="A19"/>
      <x:c r="B19"/>
    </x:row>
    <x:row r="20">
      <x:c r="A20"/>
      <x:c r="B20"/>
    </x:row>
  </x:sheetData>
  <x:mergeCells>
    <x:mergeCell ref="A1:B1"/>
  </x:mergeCells>
  <x:pageMargins left="0.7" right="0.7" top="0.75" bottom="0.75" header="0.3" footer="0.3"/>
</x:worksheet>
</file>