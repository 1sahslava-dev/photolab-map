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c6523caac342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4feec28623bd4783"/>
    <x:sheet xmlns:r="http://schemas.openxmlformats.org/officeDocument/2006/relationships" name="01_Master_Facts" sheetId="2" r:id="R6d17a2f109a345b9"/>
    <x:sheet xmlns:r="http://schemas.openxmlformats.org/officeDocument/2006/relationships" name="02_Branches" sheetId="3" r:id="R437fc1b3b1104f1e"/>
    <x:sheet xmlns:r="http://schemas.openxmlformats.org/officeDocument/2006/relationships" name="03_Lessons_Map" sheetId="4" r:id="Ra5b5bc7d1d3447d3"/>
    <x:sheet xmlns:r="http://schemas.openxmlformats.org/officeDocument/2006/relationships" name="04_Sources" sheetId="5" r:id="Ra13b0e51596a4895"/>
    <x:sheet xmlns:r="http://schemas.openxmlformats.org/officeDocument/2006/relationships" name="06_Lists" sheetId="6" r:id="R5dacadedde4c4179"/>
    <x:sheet xmlns:r="http://schemas.openxmlformats.org/officeDocument/2006/relationships" name="00_README" sheetId="7" r:id="R6dedb731bc8841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9" fillId="0" borderId="2"/>
    <x:xf numFmtId="43" fontId="9" fillId="0" borderId="2"/>
    <x:xf numFmtId="41" fontId="9" fillId="0" borderId="2"/>
    <x:xf numFmtId="44" fontId="9" fillId="0" borderId="2"/>
    <x:xf numFmtId="42" fontId="9" fillId="0" borderId="2"/>
    <x:xf numFmtId="9" fontId="9" fillId="0" borderId="2"/>
    <x:xf numFmtId="0" fontId="9" fillId="0" borderId="2"/>
  </x:cellStyleXfs>
  <x:cellXfs count="72">
    <x:xf numFmtId="0" fontId="0" fillId="0" borderId="0" xfId="0"/>
    <x:xf numFmtId="0" fontId="3" fillId="3" borderId="0" xfId="6" applyAlignment="1">
      <x:alignment horizontal="center" vertical="center" wrapText="1"/>
    </x:xf>
    <x:xf numFmtId="0" fontId="4" fillId="3" borderId="0" xfId="6" applyAlignment="1">
      <x:alignment horizontal="center" vertical="center" wrapText="1"/>
    </x:xf>
    <x:xf numFmtId="0" fontId="1" fillId="0" borderId="0" xfId="6" applyAlignment="1">
      <x:alignment wrapText="1"/>
    </x:xf>
    <x:xf numFmtId="0" fontId="5" fillId="0" borderId="0" xfId="6" applyAlignment="1">
      <x:alignment wrapText="1"/>
    </x:xf>
    <x:xf numFmtId="0" fontId="7" fillId="0" borderId="0" xfId="6" applyAlignment="1">
      <x:alignment vertical="top" wrapText="1"/>
    </x:xf>
    <x:xf numFmtId="0" fontId="7" fillId="0" borderId="0" xfId="6" applyAlignment="1">
      <x:alignment horizontal="center" vertical="top" wrapText="1"/>
    </x:xf>
    <x:xf numFmtId="0" fontId="3" fillId="4" borderId="0" xfId="6" applyAlignment="1">
      <x:alignment horizontal="center" vertical="center" wrapText="1"/>
    </x:xf>
    <x:xf numFmtId="0" fontId="0" fillId="0" borderId="0" xfId="6" applyAlignment="1">
      <x:alignment wrapText="1"/>
    </x:xf>
    <x:xf numFmtId="0" fontId="0" fillId="0" borderId="0" xfId="0" applyAlignment="1">
      <x:alignment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5" fillId="0" borderId="0" xfId="0" applyAlignment="1">
      <x:alignment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6"/>
    <x:xf numFmtId="0" fontId="2" fillId="3" borderId="0" xfId="0" applyAlignment="1">
      <x:alignment horizontal="center" vertical="center" wrapText="1"/>
    </x:xf>
    <x:xf numFmtId="0" fontId="0" fillId="0" borderId="2" xfId="0"/>
    <x:xf numFmtId="0" fontId="3" fillId="3" borderId="2" xfId="0" applyAlignment="1">
      <x:alignment horizontal="center" vertical="center" wrapText="1"/>
    </x:xf>
    <x:xf numFmtId="0" fontId="4" fillId="3" borderId="2" xfId="0" applyAlignment="1">
      <x:alignment horizontal="center" vertical="center" wrapText="1"/>
    </x:xf>
    <x:xf numFmtId="0" fontId="0" fillId="0" borderId="2" xfId="0" applyAlignment="1">
      <x:alignment wrapText="1"/>
    </x:xf>
    <x:xf numFmtId="0" fontId="5" fillId="0" borderId="2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2" xfId="0" applyAlignment="1">
      <x:alignment horizontal="center" vertical="top" wrapText="1"/>
    </x:xf>
    <x:xf numFmtId="0" fontId="3" fillId="4" borderId="2" xfId="0" applyAlignment="1">
      <x:alignment horizontal="center" vertical="center" wrapText="1"/>
    </x:xf>
    <x:xf numFmtId="0" fontId="5" fillId="0" borderId="2" xfId="0" applyAlignment="1">
      <x:alignment vertical="top" wrapText="1"/>
    </x:xf>
    <x:xf numFmtId="0" fontId="6" fillId="0" borderId="2" xfId="0" applyAlignment="1">
      <x:alignment horizontal="center" vertical="top" wrapText="1"/>
    </x:xf>
    <x:xf numFmtId="0" fontId="8" fillId="5" borderId="2" xfId="0" applyAlignment="1">
      <x:alignment vertical="top" wrapText="1"/>
    </x:xf>
    <x:xf numFmtId="0" fontId="2" fillId="2" borderId="2" xfId="0" applyAlignment="1">
      <x:alignment horizontal="center" vertical="center" wrapText="1"/>
    </x:xf>
    <x:xf numFmtId="0" fontId="2" fillId="3" borderId="2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2" fillId="2" borderId="0" xfId="0" applyAlignment="1">
      <x:alignment horizontal="center" vertical="center"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2" fillId="3" borderId="0" xfId="0" applyAlignment="1">
      <x:alignment horizontal="center" vertical="center" wrapText="1"/>
    </x:xf>
    <x:xf numFmtId="0" fontId="8" fillId="5" borderId="0" xfId="0" applyAlignment="1">
      <x:alignment vertical="top" wrapText="1"/>
    </x:xf>
    <x:xf numFmtId="0" fontId="0" fillId="0" borderId="0" xfId="0"/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0" fillId="0" borderId="0" xfId="0"/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2" fillId="3" borderId="0" xfId="0" applyAlignment="1">
      <x:alignment horizontal="center" vertical="center" wrapText="1"/>
    </x:xf>
    <x:xf numFmtId="0" fontId="0" fillId="0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8" fillId="5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Percent" xfId="5"/>
    <x:cellStyle name="Normal" xfId="6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6967852c1e4953" /><Relationship Type="http://schemas.openxmlformats.org/officeDocument/2006/relationships/theme" Target="/xl/theme/theme1.xml" Id="Ra0316fb3cb79468e" /><Relationship Type="http://schemas.openxmlformats.org/officeDocument/2006/relationships/sharedStrings" Target="/xl/sharedStrings.xml" Id="R2af238780f144389" /><Relationship Type="http://schemas.openxmlformats.org/officeDocument/2006/relationships/worksheet" Target="/xl/worksheets/sheet1.xml" Id="R4feec28623bd4783" /><Relationship Type="http://schemas.openxmlformats.org/officeDocument/2006/relationships/worksheet" Target="/xl/worksheets/sheet2.xml" Id="R6d17a2f109a345b9" /><Relationship Type="http://schemas.openxmlformats.org/officeDocument/2006/relationships/worksheet" Target="/xl/worksheets/sheet3.xml" Id="R437fc1b3b1104f1e" /><Relationship Type="http://schemas.openxmlformats.org/officeDocument/2006/relationships/worksheet" Target="/xl/worksheets/sheet4.xml" Id="Ra5b5bc7d1d3447d3" /><Relationship Type="http://schemas.openxmlformats.org/officeDocument/2006/relationships/worksheet" Target="/xl/worksheets/sheet5.xml" Id="Ra13b0e51596a4895" /><Relationship Type="http://schemas.openxmlformats.org/officeDocument/2006/relationships/worksheet" Target="/xl/worksheets/sheet6.xml" Id="R5dacadedde4c4179" /><Relationship Type="http://schemas.openxmlformats.org/officeDocument/2006/relationships/worksheet" Target="/xl/worksheets/sheet7.xml" Id="R6dedb731bc8841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b44dfac77641ea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15</c:v>
                </c:pt>
                <c:pt idx="2">
                  <c:v>8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41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5">
                  <c:v>0</c:v>
                </c:pt>
                <c:pt idx="16">
                  <c:v>5</c:v>
                </c:pt>
                <c:pt idx="17">
                  <c:v>30</c:v>
                </c:pt>
                <c:pt idx="18">
                  <c:v>11</c:v>
                </c:pt>
                <c:pt idx="19">
                  <c:v>5</c:v>
                </c:pt>
                <c:pt idx="20">
                  <c:v>3</c:v>
                </c:pt>
                <c:pt idx="21">
                  <c:v>16</c:v>
                </c:pt>
                <c:pt idx="22">
                  <c:v>5</c:v>
                </c:pt>
                <c:pt idx="23">
                  <c:v>16</c:v>
                </c:pt>
                <c:pt idx="24">
                  <c:v>2</c:v>
                </c:pt>
                <c:pt idx="25">
                  <c:v>7</c:v>
                </c:pt>
                <c:pt idx="26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b44dfac77641e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 headerRowCount="1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  <x:tableStyleInfo showFirstColumn="0" showLastColumn="0" showRowStripes="1" showColumnStripes="0"/>
</x:table>
</file>

<file path=xl/tables/table2.xml><?xml version="1.0" encoding="utf-8"?>
<x:table xmlns:x="http://schemas.openxmlformats.org/spreadsheetml/2006/main" id="2" name="BranchesTable" displayName="BranchesTable" ref="A1:E14" headerRowCount="1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  <x:tableStyleInfo showFirstColumn="0" showLastColumn="0" showRowStripes="1" showColumnStripes="0"/>
</x:table>
</file>

<file path=xl/tables/table3.xml><?xml version="1.0" encoding="utf-8"?>
<x:table xmlns:x="http://schemas.openxmlformats.org/spreadsheetml/2006/main" id="3" name="LessonsTable" displayName="LessonsTable" ref="A1:E7" headerRowCount="1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  <x:tableStyleInfo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E27" headerRowCount="1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d72ac1543f479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47169601ab4d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8237329187340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f593261741840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ebf0e29465644bb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style="46" customWidth="1"/>
    <x:col min="2" max="2" width="14.6640625" style="46" customWidth="1"/>
    <x:col min="3" max="3" width="50.5" style="46" customWidth="1"/>
    <x:col min="4" max="5" width="14.6640625" style="46" customWidth="1"/>
  </x:cols>
  <x:sheetData>
    <x:row r="1" s="46" customFormat="1" ht="40" customHeight="1">
      <x:c r="A1" s="31" t="str">
        <x:v>PHOTO LAB — Master Timeline v0.14</x:v>
      </x:c>
      <x:c r="B1" s="20" t="n"/>
      <x:c r="C1" s="20" t="n"/>
      <x:c r="D1" s="20" t="n"/>
      <x:c r="E1" s="20" t="n"/>
      <x:c r="F1" s="20" t="n"/>
    </x:row>
    <x:row r="2" s="46" customFormat="1" ht="37" customHeight="1">
      <x:c r="A2" s="47" t="inlineStr">
        <x:is>
          <x:t xml:space="preserve">KPI</x:t>
        </x:is>
      </x:c>
      <x:c r="B2" s="47" t="inlineStr">
        <x:is>
          <x:t xml:space="preserve">Значение</x:t>
        </x:is>
      </x:c>
      <x:c r="C2" s="47" t="inlineStr">
        <x:is>
          <x:t xml:space="preserve">Комментарий</x:t>
        </x:is>
      </x:c>
      <x:c r="D2" s="48" t="n"/>
      <x:c r="E2" s="48" t="n"/>
    </x:row>
    <x:row r="3" s="46" customFormat="1" ht="21" customHeight="1">
      <x:c r="A3" s="54" t="inlineStr">
        <x:is>
          <x:t xml:space="preserve">Всего исторических узлов</x:t>
        </x:is>
      </x:c>
      <x:c r="B3" s="55" t="n">
        <x:f>COUNTA('01_Master_Facts'!$A$2:$A$500)</x:f>
        <x:v>175</x:v>
      </x:c>
      <x:c r="C3" s="54" t="inlineStr">
        <x:is>
          <x:t xml:space="preserve">Количество строк в 01_Master_Facts</x:t>
        </x:is>
      </x:c>
      <x:c r="D3" s="49" t="n"/>
      <x:c r="E3" s="49" t="n"/>
    </x:row>
    <x:row r="4" s="46" customFormat="1" ht="21" customHeight="1">
      <x:c r="A4" s="54" t="inlineStr">
        <x:is>
          <x:t xml:space="preserve">Узлов с важностью 5</x:t>
        </x:is>
      </x:c>
      <x:c r="B4" s="55" t="n">
        <x:f>COUNTIF('01_Master_Facts'!$N$2:$N$500,5)</x:f>
        <x:v>80</x:v>
      </x:c>
      <x:c r="C4" s="54" t="inlineStr">
        <x:is>
          <x:t xml:space="preserve">Критические для карты и уроков</x:t>
        </x:is>
      </x:c>
      <x:c r="D4" s="49" t="n"/>
      <x:c r="E4" s="49" t="n"/>
    </x:row>
    <x:row r="5" s="46" customFormat="1" ht="21" customHeight="1">
      <x:c r="A5" s="54" t="str">
        <x:v>Узлов для PL-001–PL-017</x:v>
      </x:c>
      <x:c r="B5" s="55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,COUNTIF('01_Master_Facts'!$O$2:$O$500,"PL-015"),COUNTIF('01_Master_Facts'!$O$2:$O$500,"PL-016"),COUNTIF('01_Master_Facts'!$O$2:$O$500,"PL-017"))</x:f>
        <x:v>164</x:v>
      </x:c>
      <x:c r="C5" s="54" t="str">
        <x:v>Без будущих PL и межурочных узлов</x:v>
      </x:c>
      <x:c r="D5" s="49" t="n"/>
      <x:c r="E5" s="49" t="n"/>
    </x:row>
    <x:row r="6" s="46" customFormat="1" ht="42" customHeight="1">
      <x:c r="A6" s="54" t="inlineStr">
        <x:is>
          <x:t xml:space="preserve">Строк с пометкой «проверить позже»</x:t>
        </x:is>
      </x:c>
      <x:c r="B6" s="55" t="n">
        <x:f>COUNTIF('01_Master_Facts'!$W$2:$W$500,"&lt;&gt;")</x:f>
        <x:v>55</x:v>
      </x:c>
      <x:c r="C6" s="54" t="inlineStr">
        <x:is>
          <x:t xml:space="preserve">Живая формула: считает непустые ячейки в «Проверить позже»</x:t>
        </x:is>
      </x:c>
      <x:c r="D6" s="49" t="n"/>
      <x:c r="E6" s="49" t="n"/>
    </x:row>
    <x:row r="7" s="46" customFormat="1" ht="17" customHeight="1">
      <x:c r="A7" s="49" t="n"/>
      <x:c r="B7" s="49" t="n"/>
      <x:c r="C7" s="49" t="n"/>
      <x:c r="D7" s="49" t="n"/>
      <x:c r="E7" s="49" t="n"/>
    </x:row>
    <x:row r="8" s="46" customFormat="1" ht="17" customHeight="1">
      <x:c r="A8" s="49" t="n"/>
      <x:c r="B8" s="49" t="n"/>
      <x:c r="C8" s="49" t="n"/>
      <x:c r="D8" s="49" t="n"/>
      <x:c r="E8" s="49" t="n"/>
    </x:row>
    <x:row r="9" s="46" customFormat="1" ht="37" customHeight="1">
      <x:c r="A9" s="47" t="inlineStr">
        <x:is>
          <x:t xml:space="preserve">Ветка развития</x:t>
        </x:is>
      </x:c>
      <x:c r="B9" s="47" t="inlineStr">
        <x:is>
          <x:t xml:space="preserve">Количество узлов</x:t>
        </x:is>
      </x:c>
      <x:c r="C9" s="49" t="n"/>
      <x:c r="D9" s="47" t="inlineStr">
        <x:is>
          <x:t xml:space="preserve">Урок</x:t>
        </x:is>
      </x:c>
      <x:c r="E9" s="47" t="inlineStr">
        <x:is>
          <x:t xml:space="preserve">Количество узлов</x:t>
        </x:is>
      </x:c>
    </x:row>
    <x:row r="10" s="46" customFormat="1" ht="21" customHeight="1">
      <x:c r="A10" s="50" t="inlineStr">
        <x:is>
          <x:t xml:space="preserve">Оптика / камера-обскура</x:t>
        </x:is>
      </x:c>
      <x:c r="B10" s="50" t="n">
        <x:f>COUNTIF('01_Master_Facts'!$H$2:$H$500,A10)</x:f>
        <x:v>6</x:v>
      </x:c>
      <x:c r="C10" s="49" t="n"/>
      <x:c r="D10" s="50" t="inlineStr">
        <x:is>
          <x:t xml:space="preserve">PL-001</x:t>
        </x:is>
      </x:c>
      <x:c r="E10" s="50" t="n">
        <x:f>COUNTIF('01_Master_Facts'!$O$2:$O$500,D10)</x:f>
        <x:v>8</x:v>
      </x:c>
    </x:row>
    <x:row r="11" s="46" customFormat="1" ht="21" customHeight="1">
      <x:c r="A11" s="50" t="inlineStr">
        <x:is>
          <x:t xml:space="preserve">Оптические инструменты</x:t>
        </x:is>
      </x:c>
      <x:c r="B11" s="50" t="n">
        <x:f>COUNTIF('01_Master_Facts'!$H$2:$H$500,A11)</x:f>
        <x:v>15</x:v>
      </x:c>
      <x:c r="C11" s="49" t="n"/>
      <x:c r="D11" s="50" t="inlineStr">
        <x:is>
          <x:t xml:space="preserve">PL-002</x:t>
        </x:is>
      </x:c>
      <x:c r="E11" s="50" t="n">
        <x:f>COUNTIF('01_Master_Facts'!$O$2:$O$500,D11)</x:f>
        <x:v>7</x:v>
      </x:c>
    </x:row>
    <x:row r="12" s="46" customFormat="1" ht="21" customHeight="1">
      <x:c r="A12" s="50" t="inlineStr">
        <x:is>
          <x:t xml:space="preserve">Фотохимия</x:t>
        </x:is>
      </x:c>
      <x:c r="B12" s="50" t="n">
        <x:f>COUNTIF('01_Master_Facts'!$H$2:$H$500,A12)</x:f>
        <x:v>31</x:v>
      </x:c>
      <x:c r="C12" s="49" t="n"/>
      <x:c r="D12" s="50" t="inlineStr">
        <x:is>
          <x:t xml:space="preserve">PL-003</x:t>
        </x:is>
      </x:c>
      <x:c r="E12" s="50" t="n">
        <x:f>COUNTIF('01_Master_Facts'!$O$2:$O$500,D12)</x:f>
        <x:v>5</x:v>
      </x:c>
    </x:row>
    <x:row r="13" s="46" customFormat="1" ht="21" customHeight="1">
      <x:c r="A13" s="50" t="inlineStr">
        <x:is>
          <x:t xml:space="preserve">Гелиография</x:t>
        </x:is>
      </x:c>
      <x:c r="B13" s="50" t="n">
        <x:f>COUNTIF('01_Master_Facts'!$H$2:$H$500,A13)</x:f>
        <x:v>3</x:v>
      </x:c>
      <x:c r="C13" s="49" t="n"/>
      <x:c r="D13" s="50" t="inlineStr">
        <x:is>
          <x:t xml:space="preserve">PL-004</x:t>
        </x:is>
      </x:c>
      <x:c r="E13" s="50" t="n">
        <x:f>COUNTIF('01_Master_Facts'!$O$2:$O$500,D13)</x:f>
        <x:v>9</x:v>
      </x:c>
    </x:row>
    <x:row r="14" s="46" customFormat="1" ht="21" customHeight="1">
      <x:c r="A14" s="50" t="inlineStr">
        <x:is>
          <x:t xml:space="preserve">Дагеротип</x:t>
        </x:is>
      </x:c>
      <x:c r="B14" s="50" t="n">
        <x:f>COUNTIF('01_Master_Facts'!$H$2:$H$500,A14)</x:f>
        <x:v>7</x:v>
      </x:c>
      <x:c r="C14" s="49" t="n"/>
      <x:c r="D14" s="50" t="inlineStr">
        <x:is>
          <x:t xml:space="preserve">PL-005</x:t>
        </x:is>
      </x:c>
      <x:c r="E14" s="50" t="n">
        <x:f>COUNTIF('01_Master_Facts'!$O$2:$O$500,D14)</x:f>
        <x:v>8</x:v>
      </x:c>
    </x:row>
    <x:row r="15" s="46" customFormat="1" ht="21" customHeight="1">
      <x:c r="A15" s="50" t="inlineStr">
        <x:is>
          <x:t xml:space="preserve">Фотогенный рисунок / фотограмма</x:t>
        </x:is>
      </x:c>
      <x:c r="B15" s="50" t="n">
        <x:f>COUNTIF('01_Master_Facts'!$H$2:$H$500,A15)</x:f>
        <x:v>2</x:v>
      </x:c>
      <x:c r="C15" s="49" t="n"/>
      <x:c r="D15" s="50" t="inlineStr">
        <x:is>
          <x:t xml:space="preserve">PL-006</x:t>
        </x:is>
      </x:c>
      <x:c r="E15" s="50" t="n">
        <x:f>COUNTIF('01_Master_Facts'!$O$2:$O$500,D15)</x:f>
        <x:v>10</x:v>
      </x:c>
    </x:row>
    <x:row r="16" s="46" customFormat="1" ht="21" customHeight="1">
      <x:c r="A16" s="50" t="inlineStr">
        <x:is>
          <x:t xml:space="preserve">Негатив-позитив</x:t>
        </x:is>
      </x:c>
      <x:c r="B16" s="50" t="n">
        <x:f>COUNTIF('01_Master_Facts'!$H$2:$H$500,A16)</x:f>
        <x:v>49</x:v>
      </x:c>
      <x:c r="C16" s="49" t="n"/>
      <x:c r="D16" s="50" t="inlineStr">
        <x:is>
          <x:t xml:space="preserve">PL-007</x:t>
        </x:is>
      </x:c>
      <x:c r="E16" s="50" t="n">
        <x:f>COUNTIF('01_Master_Facts'!$O$2:$O$500,D16)</x:f>
        <x:v>10</x:v>
      </x:c>
    </x:row>
    <x:row r="17" s="46" customFormat="1" ht="42" customHeight="1">
      <x:c r="A17" s="50" t="inlineStr">
        <x:is>
          <x:t xml:space="preserve">Фиксаж / терминология</x:t>
        </x:is>
      </x:c>
      <x:c r="B17" s="50" t="n">
        <x:f>COUNTIF('01_Master_Facts'!$H$2:$H$500,A17)</x:f>
        <x:v>4</x:v>
      </x:c>
      <x:c r="C17" s="49" t="n"/>
      <x:c r="D17" s="50" t="inlineStr">
        <x:is>
          <x:t xml:space="preserve">PL-008</x:t>
        </x:is>
      </x:c>
      <x:c r="E17" s="50" t="n">
        <x:f>COUNTIF('01_Master_Facts'!$O$2:$O$500,D17)</x:f>
        <x:v>10</x:v>
      </x:c>
    </x:row>
    <x:row r="18" s="46" customFormat="1" ht="21" customHeight="1">
      <x:c r="A18" s="50" t="inlineStr">
        <x:is>
          <x:t xml:space="preserve">Печать / тиражирование</x:t>
        </x:is>
      </x:c>
      <x:c r="B18" s="50" t="n">
        <x:f>COUNTIF('01_Master_Facts'!$H$2:$H$500,A18)</x:f>
        <x:v>22</x:v>
      </x:c>
      <x:c r="C18" s="49" t="n"/>
      <x:c r="D18" s="49" t="inlineStr">
        <x:is>
          <x:t xml:space="preserve">PL-009</x:t>
        </x:is>
      </x:c>
      <x:c r="E18" s="49" t="n">
        <x:f>COUNTIF('01_Master_Facts'!$O$2:$O$500,D18)</x:f>
        <x:v>10</x:v>
      </x:c>
    </x:row>
    <x:row r="19" s="46" customFormat="1" ht="21" customHeight="1">
      <x:c r="A19" s="50" t="inlineStr">
        <x:is>
          <x:t xml:space="preserve">Мокрый коллодий</x:t>
        </x:is>
      </x:c>
      <x:c r="B19" s="50" t="n">
        <x:f>COUNTIF('01_Master_Facts'!$H$2:$H$500,A19)</x:f>
        <x:v>5</x:v>
      </x:c>
      <x:c r="C19" s="49" t="n"/>
      <x:c r="D19" s="49" t="inlineStr">
        <x:is>
          <x:t xml:space="preserve">PL-010</x:t>
        </x:is>
      </x:c>
      <x:c r="E19" s="49" t="n">
        <x:f>COUNTIF('01_Master_Facts'!$O$2:$O$500,D19)</x:f>
        <x:v>10</x:v>
      </x:c>
    </x:row>
    <x:row r="20" s="46" customFormat="1" ht="21" customHeight="1">
      <x:c r="A20" s="50" t="inlineStr">
        <x:is>
          <x:t xml:space="preserve">Уникальный позитив</x:t>
        </x:is>
      </x:c>
      <x:c r="B20" s="50" t="n">
        <x:f>COUNTIF('01_Master_Facts'!$H$2:$H$500,A20)</x:f>
        <x:v>6</x:v>
      </x:c>
      <x:c r="C20" s="49" t="n"/>
      <x:c r="D20" s="49" t="inlineStr">
        <x:is>
          <x:t xml:space="preserve">PL-011</x:t>
        </x:is>
      </x:c>
      <x:c r="E20" s="49" t="n">
        <x:f>COUNTIF('01_Master_Facts'!$O$2:$O$500,D20)</x:f>
        <x:v>11</x:v>
      </x:c>
    </x:row>
    <x:row r="21" s="46" customFormat="1" ht="21" customHeight="1">
      <x:c r="A21" s="50" t="inlineStr">
        <x:is>
          <x:t xml:space="preserve">Цвет</x:t>
        </x:is>
      </x:c>
      <x:c r="B21" s="50" t="n">
        <x:f>COUNTIF('01_Master_Facts'!$H$2:$H$500,A21)</x:f>
        <x:v>17</x:v>
      </x:c>
      <x:c r="C21" s="49" t="n"/>
      <x:c r="D21" s="49" t="inlineStr">
        <x:is>
          <x:t xml:space="preserve">PL-012</x:t>
        </x:is>
      </x:c>
      <x:c r="E21" s="49" t="n">
        <x:f>COUNTIF('01_Master_Facts'!$O$2:$O$500,D21)</x:f>
        <x:v>11</x:v>
      </x:c>
    </x:row>
    <x:row r="22" s="46" customFormat="1" ht="21" customHeight="1">
      <x:c r="A22" s="50" t="inlineStr">
        <x:is>
          <x:t xml:space="preserve">Проекция / распространение</x:t>
        </x:is>
      </x:c>
      <x:c r="B22" s="50" t="n">
        <x:f>COUNTIF('01_Master_Facts'!$H$2:$H$500,A22)</x:f>
        <x:v>8</x:v>
      </x:c>
      <x:c r="C22" s="49" t="n"/>
      <x:c r="D22" s="49" t="inlineStr">
        <x:is>
          <x:t xml:space="preserve">PL-013</x:t>
        </x:is>
      </x:c>
      <x:c r="E22" s="49" t="n">
        <x:f>COUNTIF('01_Master_Facts'!$O$2:$O$500,D22)</x:f>
        <x:v>11</x:v>
      </x:c>
    </x:row>
    <x:row r="23" s="46" customFormat="1" ht="20" customHeight="1">
      <x:c r="A23" s="50" t="n"/>
      <x:c r="B23" s="50" t="n"/>
      <x:c r="C23" s="49" t="n"/>
      <x:c r="D23" s="49" t="str">
        <x:v>PL-014</x:v>
      </x:c>
      <x:c r="E23" s="49" t="n">
        <x:f>COUNTIF('01_Master_Facts'!$O$2:$O$500,D23)</x:f>
        <x:v>11</x:v>
      </x:c>
    </x:row>
    <x:row r="24" s="46" customFormat="1" ht="20" customHeight="1">
      <x:c r="A24" s="50" t="n"/>
      <x:c r="B24" s="50" t="n"/>
      <x:c r="C24" s="49" t="n"/>
      <x:c r="D24" s="49" t="str">
        <x:v>PL-015</x:v>
      </x:c>
      <x:c r="E24" s="49" t="n">
        <x:f>COUNTIF('01_Master_Facts'!$O$2:$O$500,D24)</x:f>
        <x:v>11</x:v>
      </x:c>
    </x:row>
    <x:row r="25" s="46" customFormat="1" ht="42" customHeight="1">
      <x:c r="A25" s="47" t="n"/>
      <x:c r="B25" s="47" t="n"/>
      <x:c r="C25" s="49" t="n"/>
      <x:c r="D25" s="49" t="str">
        <x:v>PL-016</x:v>
      </x:c>
      <x:c r="E25" s="49" t="n">
        <x:f>COUNTIF('01_Master_Facts'!$O$2:$O$500,D25)</x:f>
        <x:v>11</x:v>
      </x:c>
    </x:row>
    <x:row r="26" s="46" customFormat="1" ht="21" customHeight="1">
      <x:c r="A26" s="50" t="n"/>
      <x:c r="B26" s="50" t="n"/>
      <x:c r="C26" s="49" t="n"/>
      <x:c r="D26" s="49" t="str">
        <x:v>PL-017</x:v>
      </x:c>
      <x:c r="E26" s="49" t="n">
        <x:f>COUNTIF('01_Master_Facts'!$O$2:$O$500,D26)</x:f>
        <x:v>11</x:v>
      </x:c>
    </x:row>
    <x:row r="27" s="46" customFormat="1" ht="21" customHeight="1">
      <x:c r="A27" s="50"/>
      <x:c r="B27" s="50"/>
      <x:c r="C27" s="49" t="n"/>
      <x:c r="D27" s="49" t="str">
        <x:v>будущие PL</x:v>
      </x:c>
      <x:c r="E27" s="49" t="n">
        <x:f>COUNTIF('01_Master_Facts'!$O$2:$O$500,D27)</x:f>
        <x:v>9</x:v>
      </x:c>
    </x:row>
    <x:row r="28" s="46" customFormat="1" ht="21" customHeight="1">
      <x:c r="A28" s="50"/>
      <x:c r="B28" s="50"/>
      <x:c r="C28" s="49" t="n"/>
      <x:c r="D28" s="49" t="str">
        <x:v>межурочный узел</x:v>
      </x:c>
      <x:c r="E28" s="49" t="n">
        <x:f>COUNTIF('01_Master_Facts'!$O$2:$O$500,D28)</x:f>
        <x:v>2</x:v>
      </x:c>
    </x:row>
    <x:row r="29" s="46" customFormat="1" ht="21" customHeight="1">
      <x:c r="A29" s="50" t="str">
        <x:v>Тип узла</x:v>
      </x:c>
      <x:c r="B29" s="50" t="str">
        <x:v>Количество узлов</x:v>
      </x:c>
      <x:c r="C29" s="49" t="n"/>
      <x:c r="D29" s="49" t="str">
        <x:v>проверить</x:v>
      </x:c>
      <x:c r="E29" s="49" t="n">
        <x:f>COUNTIF('01_Master_Facts'!$O$2:$O$500,D29)</x:f>
        <x:v>0</x:v>
      </x:c>
    </x:row>
    <x:row r="30" s="46" customFormat="1" ht="21" customHeight="1">
      <x:c r="A30" s="50" t="str">
        <x:v>Фундаментальная предпосылка</x:v>
      </x:c>
      <x:c r="B30" s="50" t="n">
        <x:f>COUNTIF('01_Master_Facts'!$Z$2:$Z$500,A30)</x:f>
        <x:v>7</x:v>
      </x:c>
      <x:c r="C30" s="49" t="n"/>
      <x:c r="D30" s="49" t="n"/>
      <x:c r="E30" s="49" t="n"/>
    </x:row>
    <x:row r="31" s="46" customFormat="1" ht="21" customHeight="1">
      <x:c r="A31" s="50" t="str">
        <x:v>Технология / процесс</x:v>
      </x:c>
      <x:c r="B31" s="50" t="n">
        <x:f>COUNTIF('01_Master_Facts'!$Z$2:$Z$500,A31)</x:f>
        <x:v>60</x:v>
      </x:c>
      <x:c r="C31" s="49" t="n"/>
      <x:c r="D31" s="49" t="n"/>
      <x:c r="E31" s="49" t="n"/>
    </x:row>
    <x:row r="32" s="46" customFormat="1" ht="21" customHeight="1">
      <x:c r="A32" s="50" t="str">
        <x:v>Инструмент / устройство</x:v>
      </x:c>
      <x:c r="B32" s="50" t="n">
        <x:f>COUNTIF('01_Master_Facts'!$Z$2:$Z$500,A32)</x:f>
        <x:v>11</x:v>
      </x:c>
      <x:c r="C32" s="49" t="n"/>
      <x:c r="D32" s="49" t="n"/>
      <x:c r="E32" s="49" t="n"/>
    </x:row>
    <x:row r="33" s="46" customFormat="1" ht="21" customHeight="1">
      <x:c r="A33" s="50" t="str">
        <x:v>Публикация / объявление</x:v>
      </x:c>
      <x:c r="B33" s="50" t="n">
        <x:f>COUNTIF('01_Master_Facts'!$Z$2:$Z$500,A33)</x:f>
        <x:v>5</x:v>
      </x:c>
      <x:c r="C33" s="49" t="n"/>
      <x:c r="D33" s="49" t="n"/>
      <x:c r="E33" s="49" t="n"/>
    </x:row>
    <x:row r="34" s="46" customFormat="1" ht="21" customHeight="1">
      <x:c r="A34" s="50" t="str">
        <x:v>Терминология / язык</x:v>
      </x:c>
      <x:c r="B34" s="50" t="n">
        <x:f>COUNTIF('01_Master_Facts'!$Z$2:$Z$500,A34)</x:f>
        <x:v>3</x:v>
      </x:c>
      <x:c r="C34" s="49" t="n"/>
      <x:c r="D34" s="49" t="n"/>
      <x:c r="E34" s="49" t="n"/>
    </x:row>
    <x:row r="35" s="46" customFormat="1" ht="21" customHeight="1">
      <x:c r="A35" s="50" t="str">
        <x:v>Связь / переход</x:v>
      </x:c>
      <x:c r="B35" s="50" t="n">
        <x:f>COUNTIF('01_Master_Facts'!$Z$2:$Z$500,A35)</x:f>
        <x:v>23</x:v>
      </x:c>
      <x:c r="C35" s="49" t="n"/>
      <x:c r="D35" s="49" t="n"/>
      <x:c r="E35" s="49" t="n"/>
    </x:row>
    <x:row r="36" s="46" customFormat="1" ht="21" customHeight="1">
      <x:c r="A36" s="50" t="str">
        <x:v>Тиражирование / публикация</x:v>
      </x:c>
      <x:c r="B36" s="50" t="n">
        <x:f>COUNTIF('01_Master_Facts'!$Z$2:$Z$500,A36)</x:f>
        <x:v>10</x:v>
      </x:c>
      <x:c r="C36" s="49" t="n"/>
      <x:c r="D36" s="49" t="n"/>
      <x:c r="E36" s="49" t="n"/>
    </x:row>
    <x:row r="37" s="46" customFormat="1" ht="20" customHeight="1">
      <x:c r="A37" s="50" t="str">
        <x:v>Распространение / коммерциализация</x:v>
      </x:c>
      <x:c r="B37" s="50" t="n">
        <x:f>COUNTIF('01_Master_Facts'!$Z$2:$Z$500,A37)</x:f>
        <x:v>22</x:v>
      </x:c>
      <x:c r="C37" s="49" t="n"/>
      <x:c r="D37" s="49" t="n"/>
      <x:c r="E37" s="49" t="n"/>
    </x:row>
    <x:row r="38" s="46" customFormat="1" ht="20" customHeight="1">
      <x:c r="A38" s="50" t="str">
        <x:v>Научное применение / пример</x:v>
      </x:c>
      <x:c r="B38" s="50" t="n">
        <x:f>COUNTIF('01_Master_Facts'!$Z$2:$Z$500,A38)</x:f>
        <x:v>2</x:v>
      </x:c>
      <x:c r="C38" s="49" t="n"/>
      <x:c r="D38" s="49" t="n"/>
      <x:c r="E38" s="49" t="n"/>
    </x:row>
    <x:row r="39" s="46" customFormat="1" ht="20" customHeight="1">
      <x:c r="A39" s="50" t="str">
        <x:v>Применение / жанр</x:v>
      </x:c>
      <x:c r="B39" s="50" t="n">
        <x:f>COUNTIF('01_Master_Facts'!$Z$2:$Z$500,A39)</x:f>
        <x:v>16</x:v>
      </x:c>
      <x:c r="C39" s="49" t="n"/>
      <x:c r="D39" s="49" t="n"/>
      <x:c r="E39" s="49" t="n"/>
    </x:row>
    <x:row r="40" s="46" customFormat="1" ht="20" customHeight="1">
      <x:c r="A40" s="50" t="str">
        <x:v>Ключевой исторический узел</x:v>
      </x:c>
      <x:c r="B40" s="50" t="n">
        <x:f>COUNTIF('01_Master_Facts'!$Z$2:$Z$500,A40)</x:f>
        <x:v>16</x:v>
      </x:c>
      <x:c r="C40" s="49" t="n"/>
      <x:c r="D40" s="49" t="n"/>
      <x:c r="E40" s="49" t="n"/>
    </x:row>
    <x:row r="41" s="46" customFormat="1" ht="20" customHeight="1">
      <x:c r="A41" s="4" t="n"/>
      <x:c r="B41" s="4" t="n"/>
    </x:row>
    <x:row r="42" s="46" customFormat="1" ht="20" customHeight="1">
      <x:c r="A42" s="4" t="n"/>
      <x:c r="B42" s="4" t="n"/>
    </x:row>
    <x:row r="43" s="46" customFormat="1" ht="20" customHeight="1">
      <x:c r="A43" s="4" t="n"/>
      <x:c r="B43" s="4" t="n"/>
    </x:row>
    <x:row r="44" s="46" customFormat="1" ht="20" customHeight="1">
      <x:c r="A44" s="4" t="n"/>
      <x:c r="B44" s="4" t="n"/>
    </x:row>
    <x:row r="45" s="46" customFormat="1" ht="20" customHeight="1">
      <x:c r="A45" s="4" t="n"/>
      <x:c r="B45" s="4" t="n"/>
    </x:row>
    <x:row r="46" s="46" customFormat="1" ht="20" customHeight="1">
      <x:c r="A46" s="4" t="n"/>
      <x:c r="B46" s="4" t="n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7ed72ac1543f4793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style="46" customWidth="1"/>
    <x:col min="2" max="3" width="16" style="46" customWidth="1"/>
    <x:col min="4" max="4" width="20" style="46" customWidth="1"/>
    <x:col min="5" max="5" width="22" style="46" customWidth="1"/>
    <x:col min="6" max="6" width="24" style="46" customWidth="1"/>
    <x:col min="7" max="7" width="44" style="46" customWidth="1"/>
    <x:col min="8" max="9" width="24" style="46" customWidth="1"/>
    <x:col min="10" max="10" width="46" style="46" customWidth="1"/>
    <x:col min="11" max="12" width="30" style="46" customWidth="1"/>
    <x:col min="13" max="13" width="26" style="46" customWidth="1"/>
    <x:col min="14" max="14" width="12" style="46" customWidth="1"/>
    <x:col min="15" max="15" width="18" style="46" customWidth="1"/>
    <x:col min="16" max="16" width="12" style="46" customWidth="1"/>
    <x:col min="17" max="17" width="34" style="46" customWidth="1"/>
    <x:col min="18" max="18" width="52" style="46" customWidth="1"/>
    <x:col min="19" max="19" width="14" style="46" customWidth="1"/>
    <x:col min="20" max="20" width="46" style="46" customWidth="1"/>
    <x:col min="21" max="21" width="38" style="46" customWidth="1"/>
    <x:col min="22" max="22" width="24" style="46" customWidth="1"/>
    <x:col min="23" max="23" width="34" style="46" customWidth="1"/>
    <x:col min="24" max="24" width="20" style="46" customWidth="1"/>
    <x:col min="25" max="25" width="28" style="46" customWidth="1"/>
    <x:col min="26" max="26" width="26" style="46" customWidth="1"/>
    <x:col min="27" max="27" width="16" style="46" customWidth="1"/>
  </x:cols>
  <x:sheetData>
    <x:row r="1" s="46" customFormat="1" ht="37" customHeight="1">
      <x:c r="A1" s="47" t="inlineStr">
        <x:is>
          <x:t xml:space="preserve">ID</x:t>
        </x:is>
      </x:c>
      <x:c r="B1" s="47" t="inlineStr">
        <x:is>
          <x:t xml:space="preserve">Период / дата</x:t>
        </x:is>
      </x:c>
      <x:c r="C1" s="47" t="inlineStr">
        <x:is>
          <x:t xml:space="preserve">Точность даты</x:t>
        </x:is>
      </x:c>
      <x:c r="D1" s="47" t="inlineStr">
        <x:is>
          <x:t xml:space="preserve">Страна</x:t>
        </x:is>
      </x:c>
      <x:c r="E1" s="47" t="inlineStr">
        <x:is>
          <x:t xml:space="preserve">Город / регион</x:t>
        </x:is>
      </x:c>
      <x:c r="F1" s="47" t="inlineStr">
        <x:is>
          <x:t xml:space="preserve">Персона / группа</x:t>
        </x:is>
      </x:c>
      <x:c r="G1" s="47" t="inlineStr">
        <x:is>
          <x:t xml:space="preserve">Событие</x:t>
        </x:is>
      </x:c>
      <x:c r="H1" s="47" t="inlineStr">
        <x:is>
          <x:t xml:space="preserve">Ветка развития</x:t>
        </x:is>
      </x:c>
      <x:c r="I1" s="47" t="inlineStr">
        <x:is>
          <x:t xml:space="preserve">Технология / процесс</x:t>
        </x:is>
      </x:c>
      <x:c r="J1" s="47" t="inlineStr">
        <x:is>
          <x:t xml:space="preserve">Что изменилось</x:t>
        </x:is>
      </x:c>
      <x:c r="K1" s="47" t="inlineStr">
        <x:is>
          <x:t xml:space="preserve">Предыдущая связь</x:t>
        </x:is>
      </x:c>
      <x:c r="L1" s="47" t="inlineStr">
        <x:is>
          <x:t xml:space="preserve">Следующая связь</x:t>
        </x:is>
      </x:c>
      <x:c r="M1" s="47" t="inlineStr">
        <x:is>
          <x:t xml:space="preserve">Статус ветки</x:t>
        </x:is>
      </x:c>
      <x:c r="N1" s="47" t="inlineStr">
        <x:is>
          <x:t xml:space="preserve">Важность 1–5</x:t>
        </x:is>
      </x:c>
      <x:c r="O1" s="47" t="inlineStr">
        <x:is>
          <x:t xml:space="preserve">Привязка к уроку</x:t>
        </x:is>
      </x:c>
      <x:c r="P1" s="47" t="inlineStr">
        <x:is>
          <x:t xml:space="preserve">Источник ID</x:t>
        </x:is>
      </x:c>
      <x:c r="Q1" s="47" t="inlineStr">
        <x:is>
          <x:t xml:space="preserve">Название источника</x:t>
        </x:is>
      </x:c>
      <x:c r="R1" s="47" t="inlineStr">
        <x:is>
          <x:t xml:space="preserve">URL источника</x:t>
        </x:is>
      </x:c>
      <x:c r="S1" s="47" t="inlineStr">
        <x:is>
          <x:t xml:space="preserve">Уверенность 1–5</x:t>
        </x:is>
      </x:c>
      <x:c r="T1" s="47" t="inlineStr">
        <x:is>
          <x:t xml:space="preserve">Комментарий для лекции</x:t>
        </x:is>
      </x:c>
      <x:c r="U1" s="47" t="inlineStr">
        <x:is>
          <x:t xml:space="preserve">Визуальная идея для карты</x:t>
        </x:is>
      </x:c>
      <x:c r="V1" s="47" t="inlineStr">
        <x:is>
          <x:t xml:space="preserve">Теги</x:t>
        </x:is>
      </x:c>
      <x:c r="W1" s="47" t="inlineStr">
        <x:is>
          <x:t xml:space="preserve">Проверить позже</x:t>
        </x:is>
      </x:c>
      <x:c r="X1" s="48" t="inlineStr">
        <x:is>
          <x:t xml:space="preserve">Координаты (lat, lon)</x:t>
        </x:is>
      </x:c>
      <x:c r="Y1" s="48" t="inlineStr">
        <x:is>
          <x:t xml:space="preserve">Подветка (детали)</x:t>
        </x:is>
      </x:c>
      <x:c r="Z1" s="48" t="inlineStr">
        <x:is>
          <x:t xml:space="preserve">Тип узла</x:t>
        </x:is>
      </x:c>
      <x:c r="AA1" s="49" t="inlineStr">
        <x:is>
          <x:t xml:space="preserve">Флагман урока (да/нет)</x:t>
        </x:is>
      </x:c>
    </x:row>
    <x:row r="2" s="46" customFormat="1" ht="60" customHeight="1">
      <x:c r="A2" s="5" t="inlineStr">
        <x:is>
          <x:t xml:space="preserve">PL-HIST-0001</x:t>
        </x:is>
      </x:c>
      <x:c r="B2" s="5" t="inlineStr">
        <x:is>
          <x:t xml:space="preserve">ок. 1011–1021</x:t>
        </x:is>
      </x:c>
      <x:c r="C2" s="5" t="inlineStr">
        <x:is>
          <x:t xml:space="preserve">диапазон</x:t>
        </x:is>
      </x:c>
      <x:c r="D2" s="5" t="inlineStr">
        <x:is>
          <x:t xml:space="preserve">Египет / исламский научный мир</x:t>
        </x:is>
      </x:c>
      <x:c r="E2" s="5" t="inlineStr">
        <x:is>
          <x:t xml:space="preserve">Каир / Басра (контекст учёного)</x:t>
        </x:is>
      </x:c>
      <x:c r="F2" s="5" t="inlineStr">
        <x:is>
          <x:t xml:space="preserve">Ибн аль-Хайсам (Альхазен)</x:t>
        </x:is>
      </x:c>
      <x:c r="G2" s="5" t="inlineStr">
        <x:is>
          <x:t xml:space="preserve">В «Книге оптики» системно исследует свет, зрение и опыт тёмной комнаты с малым отверстием.</x:t>
        </x:is>
      </x:c>
      <x:c r="H2" s="5" t="inlineStr">
        <x:is>
          <x:t xml:space="preserve">Оптика / камера-обскура</x:t>
        </x:is>
      </x:c>
      <x:c r="I2" s="5" t="inlineStr">
        <x:is>
          <x:t xml:space="preserve">Камера-обскура / pinhole image</x:t>
        </x:is>
      </x:c>
      <x:c r="J2" s="5" t="inlineStr">
        <x:is>
          <x:t xml:space="preserve">Фотографии ещё нет, но появляется научная база: свет распространяется прямыми линиями и может строить изображение.</x:t>
        </x:is>
      </x:c>
      <x:c r="K2" s="5" t="inlineStr">
        <x:is>
          <x:t xml:space="preserve">Античная оптика и астрономические наблюдения</x:t>
        </x:is>
      </x:c>
      <x:c r="L2" s="5" t="inlineStr">
        <x:is>
          <x:t xml:space="preserve">Европейская оптика, камера-обскура как инструмент наблюдения</x:t>
        </x:is>
      </x:c>
      <x:c r="M2" s="5" t="inlineStr">
        <x:is>
          <x:t xml:space="preserve">Оптическая предпосылка</x:t>
        </x:is>
      </x:c>
      <x:c r="N2" s="6" t="n">
        <x:v>5</x:v>
      </x:c>
      <x:c r="O2" s="5" t="inlineStr">
        <x:is>
          <x:t xml:space="preserve">PL-001</x:t>
        </x:is>
      </x:c>
      <x:c r="P2" s="5" t="inlineStr">
        <x:is>
          <x:t xml:space="preserve">SRC-001</x:t>
        </x:is>
      </x:c>
      <x:c r="Q2" s="5" t="inlineStr">
        <x:is>
          <x:t xml:space="preserve">AramcoWorld — Ibn al-Haytham: Testing is Believing</x:t>
        </x:is>
      </x:c>
      <x:c r="R2" s="5" t="inlineStr">
        <x:is>
          <x:t xml:space="preserve">https://www.aramcoworld.com/en/articles/2023/ibn-al-haytham-testing-is-believing</x:t>
        </x:is>
      </x:c>
      <x:c r="S2" s="6" t="n">
        <x:v>4</x:v>
      </x:c>
      <x:c r="T2" s="5" t="inlineStr">
        <x:is>
          <x:t xml:space="preserve">Важно сказать аккуратно: он не изобрёл фотографию, а дал фундамент для понимания изображения светом.</x:t>
        </x:is>
      </x:c>
      <x:c r="U2" s="5" t="inlineStr">
        <x:is>
          <x:t xml:space="preserve">Стартовая точка карты: луч света входит в тёмную комнату и строит перевёрнутое изображение.</x:t>
        </x:is>
      </x:c>
      <x:c r="V2" s="5" t="inlineStr">
        <x:is>
          <x:t xml:space="preserve">#оптика #камера-обскура #ИбнАльХайсам #PL001</x:t>
        </x:is>
      </x:c>
      <x:c r="W2" s="5" t="inlineStr">
        <x:is>
          <x:t xml:space="preserve">Уточнить формулировку места: не привязывать к современной стране слишком жёстко.</x:t>
        </x:is>
      </x:c>
      <x:c r="X2" t="inlineStr">
        <x:is>
          <x:t xml:space="preserve">30.0444, 31.2357</x:t>
        </x:is>
      </x:c>
      <x:c r="Z2" t="inlineStr">
        <x:is>
          <x:t xml:space="preserve">Фундаментальная предпосылка</x:t>
        </x:is>
      </x:c>
      <x:c r="AA2" t="inlineStr">
        <x:is>
          <x:t xml:space="preserve">да</x:t>
        </x:is>
      </x:c>
    </x:row>
    <x:row r="3" s="46" customFormat="1" ht="60" customHeight="1">
      <x:c r="A3" s="5" t="inlineStr">
        <x:is>
          <x:t xml:space="preserve">PL-HIST-0002</x:t>
        </x:is>
      </x:c>
      <x:c r="B3" s="5" t="inlineStr">
        <x:is>
          <x:t xml:space="preserve">1545</x:t>
        </x:is>
      </x:c>
      <x:c r="C3" s="5" t="inlineStr">
        <x:is>
          <x:t xml:space="preserve">год</x:t>
        </x:is>
      </x:c>
      <x:c r="D3" s="5" t="inlineStr">
        <x:is>
          <x:t xml:space="preserve">Нидерланды / Священная Римская империя</x:t>
        </x:is>
      </x:c>
      <x:c r="E3" s="5" t="inlineStr">
        <x:is>
          <x:t xml:space="preserve">Лёвен / Фрисландия (контекст публикации)</x:t>
        </x:is>
      </x:c>
      <x:c r="F3" s="5" t="inlineStr">
        <x:is>
          <x:t xml:space="preserve">Гемма Фризиус</x:t>
        </x:is>
      </x:c>
      <x:c r="G3" s="5" t="inlineStr">
        <x:is>
          <x:t xml:space="preserve">Публикует один из ранних известных рисунков камеры-обскуры, использованной для наблюдения солнечного затмения.</x:t>
        </x:is>
      </x:c>
      <x:c r="H3" s="5" t="inlineStr">
        <x:is>
          <x:t xml:space="preserve">Оптика / камера-обскура</x:t>
        </x:is>
      </x:c>
      <x:c r="I3" s="5" t="inlineStr">
        <x:is>
          <x:t xml:space="preserve">Камера-обскура как астрономический инструмент</x:t>
        </x:is>
      </x:c>
      <x:c r="J3" s="5" t="inlineStr">
        <x:is>
          <x:t xml:space="preserve">Принцип тёмной комнаты становится не только философским описанием, но и изображаемым инструментом наблюдения.</x:t>
        </x:is>
      </x:c>
      <x:c r="K3" s="5" t="inlineStr">
        <x:is>
          <x:t xml:space="preserve">Ибн аль-Хайсам и средневековая оптика</x:t>
        </x:is>
      </x:c>
      <x:c r="L3" s="5" t="inlineStr">
        <x:is>
          <x:t xml:space="preserve">Линза и художественное применение камеры-обскуры</x:t>
        </x:is>
      </x:c>
      <x:c r="M3" s="5" t="inlineStr">
        <x:is>
          <x:t xml:space="preserve">Оптическая предпосылка</x:t>
        </x:is>
      </x:c>
      <x:c r="N3" s="6" t="n">
        <x:v>3</x:v>
      </x:c>
      <x:c r="O3" s="5" t="inlineStr">
        <x:is>
          <x:t xml:space="preserve">PL-001</x:t>
        </x:is>
      </x:c>
      <x:c r="P3" s="5" t="inlineStr">
        <x:is>
          <x:t xml:space="preserve">SRC-003</x:t>
        </x:is>
      </x:c>
      <x:c r="Q3" s="5" t="inlineStr">
        <x:is>
          <x:t xml:space="preserve">Max Planck Institute — Camera Obscura PDF</x:t>
        </x:is>
      </x:c>
      <x:c r="R3" s="5" t="inlineStr">
        <x:is>
          <x:t xml:space="preserve">https://www.mpiwg-berlin.mpg.de/sites/default/files/Preprints/P307.pdf</x:t>
        </x:is>
      </x:c>
      <x:c r="S3" s="6" t="n">
        <x:v>3</x:v>
      </x:c>
      <x:c r="T3" s="5" t="inlineStr">
        <x:is>
          <x:t xml:space="preserve">Можно использовать как промежуточный узел: камера-обскура служит не фотографии, а безопасному наблюдению солнца.</x:t>
        </x:is>
      </x:c>
      <x:c r="U3" s="5" t="inlineStr">
        <x:is>
          <x:t xml:space="preserve">Иконка солнечного затмения + тёмная комната.</x:t>
        </x:is>
      </x:c>
      <x:c r="V3" s="5" t="inlineStr">
        <x:is>
          <x:t xml:space="preserve">#оптика #астрономия #камера-обскура</x:t>
        </x:is>
      </x:c>
      <x:c r="W3" s="5" t="inlineStr">
        <x:is>
          <x:t xml:space="preserve">Нужен первичный источник/точная ссылка на публикацию Frisius.</x:t>
        </x:is>
      </x:c>
      <x:c r="X3" t="inlineStr">
        <x:is>
          <x:t xml:space="preserve">50.8798, 4.7005</x:t>
        </x:is>
      </x:c>
      <x:c r="Z3" t="inlineStr">
        <x:is>
          <x:t xml:space="preserve">Инструмент / устройство</x:t>
        </x:is>
      </x:c>
    </x:row>
    <x:row r="4" s="46" customFormat="1" ht="60" customHeight="1">
      <x:c r="A4" s="5" t="inlineStr">
        <x:is>
          <x:t xml:space="preserve">PL-HIST-0003</x:t>
        </x:is>
      </x:c>
      <x:c r="B4" s="5" t="inlineStr">
        <x:is>
          <x:t xml:space="preserve">1550</x:t>
        </x:is>
      </x:c>
      <x:c r="C4" s="5" t="inlineStr">
        <x:is>
          <x:t xml:space="preserve">год</x:t>
        </x:is>
      </x:c>
      <x:c r="D4" s="5" t="inlineStr">
        <x:is>
          <x:t xml:space="preserve">Италия</x:t>
        </x:is>
      </x:c>
      <x:c r="E4" s="5" t="inlineStr">
        <x:is>
          <x:t xml:space="preserve">Павия / Италия</x:t>
        </x:is>
      </x:c>
      <x:c r="F4" s="5" t="inlineStr">
        <x:is>
          <x:t xml:space="preserve">Джероламо Кардано</x:t>
        </x:is>
      </x:c>
      <x:c r="G4" s="5" t="inlineStr">
        <x:is>
          <x:t xml:space="preserve">Описывает использование стеклянной линзы в камере-обскуре для улучшения изображения.</x:t>
        </x:is>
      </x:c>
      <x:c r="H4" s="5" t="inlineStr">
        <x:is>
          <x:t xml:space="preserve">Оптика / камера-обскура</x:t>
        </x:is>
      </x:c>
      <x:c r="I4" s="5" t="inlineStr">
        <x:is>
          <x:t xml:space="preserve">Линза в камере-обскуре</x:t>
        </x:is>
      </x:c>
      <x:c r="J4" s="5" t="inlineStr">
        <x:is>
      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      </x:is>
      </x:c>
      <x:c r="K4" s="5" t="inlineStr">
        <x:is>
          <x:t xml:space="preserve">Пинхол / тёмная комната</x:t>
        </x:is>
      </x:c>
      <x:c r="L4" s="5" t="inlineStr">
        <x:is>
          <x:t xml:space="preserve">Della Porta и популяризация камеры-обскуры</x:t>
        </x:is>
      </x:c>
      <x:c r="M4" s="5" t="inlineStr">
        <x:is>
          <x:t xml:space="preserve">Оптическая предпосылка</x:t>
        </x:is>
      </x:c>
      <x:c r="N4" s="6" t="n">
        <x:v>4</x:v>
      </x:c>
      <x:c r="O4" s="5" t="inlineStr">
        <x:is>
          <x:t xml:space="preserve">PL-001</x:t>
        </x:is>
      </x:c>
      <x:c r="P4" s="5" t="inlineStr">
        <x:is>
          <x:t xml:space="preserve">SRC-002</x:t>
        </x:is>
      </x:c>
      <x:c r="Q4" s="5" t="inlineStr">
        <x:is>
          <x:t xml:space="preserve">IMSS / Museo Galileo — Camera Obscura</x:t>
        </x:is>
      </x:c>
      <x:c r="R4" s="5" t="inlineStr">
        <x:is>
          <x:t xml:space="preserve">https://redi.imss.fi.it/inventions/index.php/Camera_Obscura</x:t>
        </x:is>
      </x:c>
      <x:c r="S4" s="6" t="n">
        <x:v>4</x:v>
      </x:c>
      <x:c r="T4" s="5" t="inlineStr">
        <x:is>
          <x:t xml:space="preserve">Для новичка: отверстие даёт картинку, линза делает её ярче и удобнее.</x:t>
        </x:is>
      </x:c>
      <x:c r="U4" s="5" t="inlineStr">
        <x:is>
          <x:t xml:space="preserve">На линии добавить маленькую линзу перед тёмной комнатой.</x:t>
        </x:is>
      </x:c>
      <x:c r="V4" s="5" t="inlineStr">
        <x:is>
          <x:t xml:space="preserve">#оптика #линза #камера</x:t>
        </x:is>
      </x:c>
      <x:c r="W4" s="5" t="n"/>
      <x:c r="X4" t="inlineStr">
        <x:is>
          <x:t xml:space="preserve">45.1847, 9.1582</x:t>
        </x:is>
      </x:c>
      <x:c r="Z4" t="inlineStr">
        <x:is>
          <x:t xml:space="preserve">Инструмент / устройство</x:t>
        </x:is>
      </x:c>
    </x:row>
    <x:row r="5" s="46" customFormat="1" ht="60" customHeight="1">
      <x:c r="A5" s="5" t="inlineStr">
        <x:is>
          <x:t xml:space="preserve">PL-HIST-0004</x:t>
        </x:is>
      </x:c>
      <x:c r="B5" s="5" t="inlineStr">
        <x:is>
          <x:t xml:space="preserve">1558</x:t>
        </x:is>
      </x:c>
      <x:c r="C5" s="5" t="inlineStr">
        <x:is>
          <x:t xml:space="preserve">год</x:t>
        </x:is>
      </x:c>
      <x:c r="D5" s="5" t="inlineStr">
        <x:is>
          <x:t xml:space="preserve">Италия</x:t>
        </x:is>
      </x:c>
      <x:c r="E5" s="5" t="inlineStr">
        <x:is>
          <x:t xml:space="preserve">Неаполь</x:t>
        </x:is>
      </x:c>
      <x:c r="F5" s="5" t="inlineStr">
        <x:is>
          <x:t xml:space="preserve">Джамбаттиста делла Порта</x:t>
        </x:is>
      </x:c>
      <x:c r="G5" s="5" t="inlineStr">
        <x:is>
          <x:t xml:space="preserve">В «Magia Naturalis» описывает камеру-обскуру как зрелищный и практический инструмент наблюдения/рисования.</x:t>
        </x:is>
      </x:c>
      <x:c r="H5" s="5" t="inlineStr">
        <x:is>
          <x:t xml:space="preserve">Оптика / камера-обскура</x:t>
        </x:is>
      </x:c>
      <x:c r="I5" s="5" t="inlineStr">
        <x:is>
          <x:t xml:space="preserve">Камера-обскура как инструмент художника</x:t>
        </x:is>
      </x:c>
      <x:c r="J5" s="5" t="inlineStr">
        <x:is>
          <x:t xml:space="preserve">Камера-обскура входит в европейскую культуру изображения: становится помощником перспективы и точного рисунка.</x:t>
        </x:is>
      </x:c>
      <x:c r="K5" s="5" t="inlineStr">
        <x:is>
          <x:t xml:space="preserve">Кардано и линза</x:t>
        </x:is>
      </x:c>
      <x:c r="L5" s="5" t="inlineStr">
        <x:is>
          <x:t xml:space="preserve">Kepler, портативные камеры-обскуры</x:t>
        </x:is>
      </x:c>
      <x:c r="M5" s="5" t="inlineStr">
        <x:is>
          <x:t xml:space="preserve">Оптическая предпосылка</x:t>
        </x:is>
      </x:c>
      <x:c r="N5" s="6" t="n">
        <x:v>4</x:v>
      </x:c>
      <x:c r="O5" s="5" t="inlineStr">
        <x:is>
          <x:t xml:space="preserve">PL-001</x:t>
        </x:is>
      </x:c>
      <x:c r="P5" s="5" t="inlineStr">
        <x:is>
          <x:t xml:space="preserve">SRC-002</x:t>
        </x:is>
      </x:c>
      <x:c r="Q5" s="5" t="inlineStr">
        <x:is>
          <x:t xml:space="preserve">IMSS / Museo Galileo — Camera Obscura</x:t>
        </x:is>
      </x:c>
      <x:c r="R5" s="5" t="inlineStr">
        <x:is>
          <x:t xml:space="preserve">https://redi.imss.fi.it/inventions/index.php/Camera_Obscura</x:t>
        </x:is>
      </x:c>
      <x:c r="S5" s="6" t="n">
        <x:v>4</x:v>
      </x:c>
      <x:c r="T5" s="5" t="inlineStr">
        <x:is>
          <x:t xml:space="preserve">Здесь можно показать мост от науки к искусству: камера ещё не фотографирует, но уже помогает изображать реальность.</x:t>
        </x:is>
      </x:c>
      <x:c r="U5" s="5" t="inlineStr">
        <x:is>
          <x:t xml:space="preserve">Иконка художника, который обводит проекцию.</x:t>
        </x:is>
      </x:c>
      <x:c r="V5" s="5" t="inlineStr">
        <x:is>
          <x:t xml:space="preserve">#оптика #искусство #DellaPorta</x:t>
        </x:is>
      </x:c>
      <x:c r="W5" s="5" t="n"/>
      <x:c r="X5" t="inlineStr">
        <x:is>
          <x:t xml:space="preserve">40.8518, 14.2681</x:t>
        </x:is>
      </x:c>
      <x:c r="Z5" t="inlineStr">
        <x:is>
          <x:t xml:space="preserve">Применение / жанр</x:t>
        </x:is>
      </x:c>
    </x:row>
    <x:row r="6" s="46" customFormat="1" ht="40" customHeight="1">
      <x:c r="A6" s="5" t="inlineStr">
        <x:is>
          <x:t xml:space="preserve">PL-HIST-0005</x:t>
        </x:is>
      </x:c>
      <x:c r="B6" s="5" t="inlineStr">
        <x:is>
          <x:t xml:space="preserve">1604</x:t>
        </x:is>
      </x:c>
      <x:c r="C6" s="5" t="inlineStr">
        <x:is>
          <x:t xml:space="preserve">год</x:t>
        </x:is>
      </x:c>
      <x:c r="D6" s="5" t="inlineStr">
        <x:is>
          <x:t xml:space="preserve">Германия</x:t>
        </x:is>
      </x:c>
      <x:c r="E6" s="5" t="inlineStr">
        <x:is>
          <x:t xml:space="preserve">Прага / Линц (контекст Kepler)</x:t>
        </x:is>
      </x:c>
      <x:c r="F6" s="5" t="inlineStr">
        <x:is>
          <x:t xml:space="preserve">Иоганн Кеплер</x:t>
        </x:is>
      </x:c>
      <x:c r="G6" s="5" t="inlineStr">
        <x:is>
          <x:t xml:space="preserve">Использует/закрепляет термин «camera obscura» и анализирует формирование оптического изображения.</x:t>
        </x:is>
      </x:c>
      <x:c r="H6" s="5" t="inlineStr">
        <x:is>
          <x:t xml:space="preserve">Оптика / камера-обскура</x:t>
        </x:is>
      </x:c>
      <x:c r="I6" s="5" t="inlineStr">
        <x:is>
          <x:t xml:space="preserve">Camera obscura</x:t>
        </x:is>
      </x:c>
      <x:c r="J6" s="5" t="inlineStr">
        <x:is>
          <x:t xml:space="preserve">Понятие получает устойчивое научное имя и входит в язык оптики.</x:t>
        </x:is>
      </x:c>
      <x:c r="K6" s="5" t="inlineStr">
        <x:is>
          <x:t xml:space="preserve">Renaissance descriptions of camera obscura</x:t>
        </x:is>
      </x:c>
      <x:c r="L6" s="5" t="inlineStr">
        <x:is>
          <x:t xml:space="preserve">Kepler's Dioptrice and portable camera obscura</x:t>
        </x:is>
      </x:c>
      <x:c r="M6" s="5" t="inlineStr">
        <x:is>
          <x:t xml:space="preserve">Оптическая предпосылка</x:t>
        </x:is>
      </x:c>
      <x:c r="N6" s="6" t="n">
        <x:v>3</x:v>
      </x:c>
      <x:c r="O6" s="5" t="inlineStr">
        <x:is>
          <x:t xml:space="preserve">PL-001</x:t>
        </x:is>
      </x:c>
      <x:c r="P6" s="5" t="inlineStr">
        <x:is>
          <x:t xml:space="preserve">SRC-003</x:t>
        </x:is>
      </x:c>
      <x:c r="Q6" s="5" t="inlineStr">
        <x:is>
          <x:t xml:space="preserve">Max Planck Institute — Camera Obscura PDF</x:t>
        </x:is>
      </x:c>
      <x:c r="R6" s="5" t="inlineStr">
        <x:is>
          <x:t xml:space="preserve">https://www.mpiwg-berlin.mpg.de/sites/default/files/Preprints/P307.pdf</x:t>
        </x:is>
      </x:c>
      <x:c r="S6" s="6" t="n">
        <x:v>4</x:v>
      </x:c>
      <x:c r="T6" s="5" t="inlineStr">
        <x:is>
          <x:t xml:space="preserve">На карте можно показать, что слова тоже важны: когда явление получает имя, его проще передавать и развивать.</x:t>
        </x:is>
      </x:c>
      <x:c r="U6" s="5" t="inlineStr">
        <x:is>
          <x:t xml:space="preserve">Плашка-термин: CAMERA OBSCURA.</x:t>
        </x:is>
      </x:c>
      <x:c r="V6" s="5" t="inlineStr">
        <x:is>
          <x:t xml:space="preserve">#оптика #Kepler #термин</x:t>
        </x:is>
      </x:c>
      <x:c r="W6" s="5" t="n"/>
      <x:c r="X6" t="inlineStr">
        <x:is>
          <x:t xml:space="preserve">50.0755, 14.4378</x:t>
        </x:is>
      </x:c>
      <x:c r="Y6" t="inlineStr">
        <x:is>
          <x:t xml:space="preserve">Оптика / терминология</x:t>
        </x:is>
      </x:c>
      <x:c r="Z6" t="inlineStr">
        <x:is>
          <x:t xml:space="preserve">Терминология / язык</x:t>
        </x:is>
      </x:c>
    </x:row>
    <x:row r="7" s="46" customFormat="1" ht="40" customHeight="1">
      <x:c r="A7" s="5" t="inlineStr">
        <x:is>
          <x:t xml:space="preserve">PL-HIST-0006</x:t>
        </x:is>
      </x:c>
      <x:c r="B7" s="5" t="inlineStr">
        <x:is>
          <x:t xml:space="preserve">1611</x:t>
        </x:is>
      </x:c>
      <x:c r="C7" s="5" t="inlineStr">
        <x:is>
          <x:t xml:space="preserve">год</x:t>
        </x:is>
      </x:c>
      <x:c r="D7" s="5" t="inlineStr">
        <x:is>
          <x:t xml:space="preserve">Германия</x:t>
        </x:is>
      </x:c>
      <x:c r="E7" s="5" t="inlineStr">
        <x:is>
          <x:t xml:space="preserve">Линц / Прага</x:t>
        </x:is>
      </x:c>
      <x:c r="F7" s="5" t="inlineStr">
        <x:is>
          <x:t xml:space="preserve">Иоганн Кеплер</x:t>
        </x:is>
      </x:c>
      <x:c r="G7" s="5" t="inlineStr">
        <x:is>
          <x:t xml:space="preserve">В «Dioptrice» развивает понимание линз, проекции и улучшения изображения в оптических системах.</x:t>
        </x:is>
      </x:c>
      <x:c r="H7" s="5" t="inlineStr">
        <x:is>
          <x:t xml:space="preserve">Оптика / камера-обскура</x:t>
        </x:is>
      </x:c>
      <x:c r="I7" s="5" t="inlineStr">
        <x:is>
          <x:t xml:space="preserve">Линзовая камера-обскура</x:t>
        </x:is>
      </x:c>
      <x:c r="J7" s="5" t="inlineStr">
        <x:is>
          <x:t xml:space="preserve">Будущая камера всё больше зависит от оптики: линзы дают контроль над изображением.</x:t>
        </x:is>
      </x:c>
      <x:c r="K7" s="5" t="inlineStr">
        <x:is>
          <x:t xml:space="preserve">Термин camera obscura</x:t>
        </x:is>
      </x:c>
      <x:c r="L7" s="5" t="inlineStr">
        <x:is>
          <x:t xml:space="preserve">Портативные камеры-обскуры и объективы</x:t>
        </x:is>
      </x:c>
      <x:c r="M7" s="5" t="inlineStr">
        <x:is>
          <x:t xml:space="preserve">Оптическая предпосылка</x:t>
        </x:is>
      </x:c>
      <x:c r="N7" s="6" t="n">
        <x:v>4</x:v>
      </x:c>
      <x:c r="O7" s="5" t="inlineStr">
        <x:is>
          <x:t xml:space="preserve">PL-001</x:t>
        </x:is>
      </x:c>
      <x:c r="P7" s="5" t="inlineStr">
        <x:is>
          <x:t xml:space="preserve">SRC-003</x:t>
        </x:is>
      </x:c>
      <x:c r="Q7" s="5" t="inlineStr">
        <x:is>
          <x:t xml:space="preserve">Max Planck Institute — Camera Obscura PDF</x:t>
        </x:is>
      </x:c>
      <x:c r="R7" s="5" t="inlineStr">
        <x:is>
          <x:t xml:space="preserve">https://www.mpiwg-berlin.mpg.de/sites/default/files/Preprints/P307.pdf</x:t>
        </x:is>
      </x:c>
      <x:c r="S7" s="6" t="n">
        <x:v>3</x:v>
      </x:c>
      <x:c r="T7" s="5" t="inlineStr">
        <x:is>
          <x:t xml:space="preserve">Не перегружать урок формулами; объяснить как «переход от дырочки к оптической системе».</x:t>
        </x:is>
      </x:c>
      <x:c r="U7" s="5" t="inlineStr">
        <x:is>
          <x:t xml:space="preserve">Схема: отверстие → линза → более яркая проекция.</x:t>
        </x:is>
      </x:c>
      <x:c r="V7" s="5" t="inlineStr">
        <x:is>
          <x:t xml:space="preserve">#оптика #линзы #Kepler</x:t>
        </x:is>
      </x:c>
      <x:c r="W7" s="5" t="inlineStr">
        <x:is>
          <x:t xml:space="preserve">Подтвердить конкретные формулировки по первичному тексту Dioptrice.</x:t>
        </x:is>
      </x:c>
      <x:c r="X7" t="inlineStr">
        <x:is>
          <x:t xml:space="preserve">48.3069, 14.2858</x:t>
        </x:is>
      </x:c>
      <x:c r="Y7" t="inlineStr">
        <x:is>
          <x:t xml:space="preserve">Оптика / камера</x:t>
        </x:is>
      </x:c>
      <x:c r="Z7" t="inlineStr">
        <x:is>
          <x:t xml:space="preserve">Фундаментальная предпосылка</x:t>
        </x:is>
      </x:c>
    </x:row>
    <x:row r="8" s="46" customFormat="1" ht="40" customHeight="1">
      <x:c r="A8" s="5" t="inlineStr">
        <x:is>
          <x:t xml:space="preserve">PL-HIST-0007</x:t>
        </x:is>
      </x:c>
      <x:c r="B8" s="5" t="inlineStr">
        <x:is>
          <x:t xml:space="preserve">ок. 1620</x:t>
        </x:is>
      </x:c>
      <x:c r="C8" s="5" t="inlineStr">
        <x:is>
          <x:t xml:space="preserve">примерно</x:t>
        </x:is>
      </x:c>
      <x:c r="D8" s="5" t="inlineStr">
        <x:is>
          <x:t xml:space="preserve">Австрия / Германия</x:t>
        </x:is>
      </x:c>
      <x:c r="E8" s="5" t="inlineStr">
        <x:is>
          <x:t xml:space="preserve">Верхняя Австрия</x:t>
        </x:is>
      </x:c>
      <x:c r="F8" s="5" t="inlineStr">
        <x:is>
          <x:t xml:space="preserve">Иоганн Кеплер</x:t>
        </x:is>
      </x:c>
      <x:c r="G8" s="5" t="inlineStr">
        <x:is>
          <x:t xml:space="preserve">Использует переносную камеру-обскуру в виде палатки для наблюдения и зарисовок ландшафта.</x:t>
        </x:is>
      </x:c>
      <x:c r="H8" s="5" t="inlineStr">
        <x:is>
          <x:t xml:space="preserve">Оптические инструменты</x:t>
        </x:is>
      </x:c>
      <x:c r="I8" s="5" t="inlineStr">
        <x:is>
          <x:t xml:space="preserve">Портативная camera obscura</x:t>
        </x:is>
      </x:c>
      <x:c r="J8" s="5" t="inlineStr">
        <x:is>
          <x:t xml:space="preserve">Камера-обскура становится мобильной: это важный шаг к переносной камере.</x:t>
        </x:is>
      </x:c>
      <x:c r="K8" s="5" t="inlineStr">
        <x:is>
          <x:t xml:space="preserve">Линзовая камера-обскура</x:t>
        </x:is>
      </x:c>
      <x:c r="L8" s="5" t="inlineStr">
        <x:is>
          <x:t xml:space="preserve">Zahn and portable camera designs</x:t>
        </x:is>
      </x:c>
      <x:c r="M8" s="5" t="inlineStr">
        <x:is>
          <x:t xml:space="preserve">Оптическая предпосылка</x:t>
        </x:is>
      </x:c>
      <x:c r="N8" s="6" t="n">
        <x:v>3</x:v>
      </x:c>
      <x:c r="O8" s="5" t="inlineStr">
        <x:is>
          <x:t xml:space="preserve">PL-001</x:t>
        </x:is>
      </x:c>
      <x:c r="P8" s="5" t="inlineStr">
        <x:is>
          <x:t xml:space="preserve">SRC-003</x:t>
        </x:is>
      </x:c>
      <x:c r="Q8" s="5" t="inlineStr">
        <x:is>
          <x:t xml:space="preserve">Max Planck Institute — Camera Obscura PDF</x:t>
        </x:is>
      </x:c>
      <x:c r="R8" s="5" t="inlineStr">
        <x:is>
          <x:t xml:space="preserve">https://www.mpiwg-berlin.mpg.de/sites/default/files/Preprints/P307.pdf</x:t>
        </x:is>
      </x:c>
      <x:c r="S8" s="6" t="n">
        <x:v>3</x:v>
      </x:c>
      <x:c r="T8" s="5" t="inlineStr">
        <x:is>
          <x:t xml:space="preserve">Хороший визуальный эпизод для рилса: учёный в тёмной палатке ловит изображение мира.</x:t>
        </x:is>
      </x:c>
      <x:c r="U8" s="5" t="inlineStr">
        <x:is>
          <x:t xml:space="preserve">Карта: линия от комнаты к переносной палатке.</x:t>
        </x:is>
      </x:c>
      <x:c r="V8" s="5" t="inlineStr">
        <x:is>
          <x:t xml:space="preserve">#камера-обскура #портативность #Kepler</x:t>
        </x:is>
      </x:c>
      <x:c r="W8" s="5" t="inlineStr">
        <x:is>
          <x:t xml:space="preserve">Проверить год и источники письма Henry Wotton.</x:t>
        </x:is>
      </x:c>
      <x:c r="X8" t="inlineStr">
        <x:is>
          <x:t xml:space="preserve">48.3069, 14.2858</x:t>
        </x:is>
      </x:c>
      <x:c r="Z8" t="inlineStr">
        <x:is>
          <x:t xml:space="preserve">Инструмент / устройство</x:t>
        </x:is>
      </x:c>
    </x:row>
    <x:row r="9" s="46" customFormat="1" ht="60" customHeight="1">
      <x:c r="A9" s="5" t="inlineStr">
        <x:is>
          <x:t xml:space="preserve">PL-HIST-0008</x:t>
        </x:is>
      </x:c>
      <x:c r="B9" s="5" t="inlineStr">
        <x:is>
          <x:t xml:space="preserve">1685</x:t>
        </x:is>
      </x:c>
      <x:c r="C9" s="5" t="inlineStr">
        <x:is>
          <x:t xml:space="preserve">год</x:t>
        </x:is>
      </x:c>
      <x:c r="D9" s="5" t="inlineStr">
        <x:is>
          <x:t xml:space="preserve">Германия</x:t>
        </x:is>
      </x:c>
      <x:c r="E9" s="5" t="inlineStr">
        <x:is>
          <x:t xml:space="preserve">Вюрцбург</x:t>
        </x:is>
      </x:c>
      <x:c r="F9" s="5" t="inlineStr">
        <x:is>
          <x:t xml:space="preserve">Иоганн Цан</x:t>
        </x:is>
      </x:c>
      <x:c r="G9" s="5" t="inlineStr">
        <x:is>
          <x:t xml:space="preserve">Публикует схемы переносных камер-обскур и оптических устройств в «Oculus Artificialis».</x:t>
        </x:is>
      </x:c>
      <x:c r="H9" s="5" t="inlineStr">
        <x:is>
          <x:t xml:space="preserve">Оптические инструменты</x:t>
        </x:is>
      </x:c>
      <x:c r="I9" s="5" t="inlineStr">
        <x:is>
          <x:t xml:space="preserve">Портативная / зеркальная camera obscura</x:t>
        </x:is>
      </x:c>
      <x:c r="J9" s="5" t="inlineStr">
        <x:is>
          <x:t xml:space="preserve">Идея камеры становится почти предметной: устройство уже похоже на будущий фотоаппарат, но без химической фиксации.</x:t>
        </x:is>
      </x:c>
      <x:c r="K9" s="5" t="inlineStr">
        <x:is>
          <x:t xml:space="preserve">Портативные камеры-обскуры XVII века</x:t>
        </x:is>
      </x:c>
      <x:c r="L9" s="5" t="inlineStr">
        <x:is>
          <x:t xml:space="preserve">Фотохимия XVIII века</x:t>
        </x:is>
      </x:c>
      <x:c r="M9" s="5" t="inlineStr">
        <x:is>
          <x:t xml:space="preserve">Оптическая предпосылка</x:t>
        </x:is>
      </x:c>
      <x:c r="N9" s="6" t="n">
        <x:v>4</x:v>
      </x:c>
      <x:c r="O9" s="5" t="inlineStr">
        <x:is>
          <x:t xml:space="preserve">PL-001</x:t>
        </x:is>
      </x:c>
      <x:c r="P9" s="5" t="inlineStr">
        <x:is>
          <x:t xml:space="preserve">SRC-004</x:t>
        </x:is>
      </x:c>
      <x:c r="Q9" s="5" t="inlineStr">
        <x:is>
          <x:t xml:space="preserve">Public Domain Review — Johann Zahn's Oculus Artificialis</x:t>
        </x:is>
      </x:c>
      <x:c r="R9" s="5" t="inlineStr">
        <x:is>
          <x:t xml:space="preserve">https://publicdomainreview.org/collection/images-from-johann-zahn-s-oculus-artificialis-1685</x:t>
        </x:is>
      </x:c>
      <x:c r="S9" s="6" t="n">
        <x:v>4</x:v>
      </x:c>
      <x:c r="T9" s="5" t="inlineStr">
        <x:is>
          <x:t xml:space="preserve">Можно показать как «корпус камеры появился раньше фотографии».</x:t>
        </x:is>
      </x:c>
      <x:c r="U9" s="5" t="inlineStr">
        <x:is>
          <x:t xml:space="preserve">Иконка деревянной камеры с зеркалом.</x:t>
        </x:is>
      </x:c>
      <x:c r="V9" s="5" t="inlineStr">
        <x:is>
          <x:t xml:space="preserve">#камера #Zahn #оптика</x:t>
        </x:is>
      </x:c>
      <x:c r="W9" s="5" t="n"/>
      <x:c r="X9" t="inlineStr">
        <x:is>
          <x:t xml:space="preserve">49.7913, 9.9534</x:t>
        </x:is>
      </x:c>
      <x:c r="Z9" t="inlineStr">
        <x:is>
          <x:t xml:space="preserve">Инструмент / устройство</x:t>
        </x:is>
      </x:c>
    </x:row>
    <x:row r="10" s="46" customFormat="1" ht="40" customHeight="1">
      <x:c r="A10" s="5" t="inlineStr">
        <x:is>
          <x:t xml:space="preserve">PL-HIST-0009</x:t>
        </x:is>
      </x:c>
      <x:c r="B10" s="5" t="inlineStr">
        <x:is>
          <x:t xml:space="preserve">1727</x:t>
        </x:is>
      </x:c>
      <x:c r="C10" s="5" t="inlineStr">
        <x:is>
          <x:t xml:space="preserve">год</x:t>
        </x:is>
      </x:c>
      <x:c r="D10" s="5" t="inlineStr">
        <x:is>
          <x:t xml:space="preserve">Германия</x:t>
        </x:is>
      </x:c>
      <x:c r="E10" s="5" t="inlineStr">
        <x:is>
          <x:t xml:space="preserve">Альтдорф / Галле</x:t>
        </x:is>
      </x:c>
      <x:c r="F10" s="5" t="inlineStr">
        <x:is>
          <x:t xml:space="preserve">Иоганн Генрих Шульце</x:t>
        </x:is>
      </x:c>
      <x:c r="G10" s="5" t="inlineStr">
        <x:is>
          <x:t xml:space="preserve">Публикует научное исследование: соли серебра темнеют под действием света, а не тепла.</x:t>
        </x:is>
      </x:c>
      <x:c r="H10" s="5" t="inlineStr">
        <x:is>
          <x:t xml:space="preserve">Фотохимия</x:t>
        </x:is>
      </x:c>
      <x:c r="I10" s="5" t="inlineStr">
        <x:is>
          <x:t xml:space="preserve">Серебряные соли</x:t>
        </x:is>
      </x:c>
      <x:c r="J10" s="5" t="inlineStr">
        <x:is>
          <x:t xml:space="preserve">Появляется химическая половина фотографии: материал может реагировать на свет.</x:t>
        </x:is>
      </x:c>
      <x:c r="K10" s="5" t="inlineStr">
        <x:is>
          <x:t xml:space="preserve">Алхимические наблюдения потемнения серебра</x:t>
        </x:is>
      </x:c>
      <x:c r="L10" s="5" t="inlineStr">
        <x:is>
          <x:t xml:space="preserve">Scheele, Wedgwood, Niépce</x:t>
        </x:is>
      </x:c>
      <x:c r="M10" s="5" t="inlineStr">
        <x:is>
          <x:t xml:space="preserve">Химическая предпосылка</x:t>
        </x:is>
      </x:c>
      <x:c r="N10" s="6" t="n">
        <x:v>5</x:v>
      </x:c>
      <x:c r="O10" s="5" t="inlineStr">
        <x:is>
          <x:t xml:space="preserve">PL-002</x:t>
        </x:is>
      </x:c>
      <x:c r="P10" s="5" t="inlineStr">
        <x:is>
          <x:t xml:space="preserve">SRC-005</x:t>
        </x:is>
      </x:c>
      <x:c r="Q10" s="5" t="inlineStr">
        <x:is>
          <x:t xml:space="preserve">Swiss Camera Museum — Johann Heinrich Schulze</x:t>
        </x:is>
      </x:c>
      <x:c r="R10" s="5" t="inlineStr">
        <x:is>
          <x:t xml:space="preserve">https://www.cameramuseum.ch/en/discover/permanent-exhibition/the-origins-of-photography/the-precursors-johann-heinrich-schulze/</x:t>
        </x:is>
      </x:c>
      <x:c r="S10" s="6" t="n">
        <x:v>5</x:v>
      </x:c>
      <x:c r="T10" s="5" t="inlineStr">
        <x:is>
          <x:t xml:space="preserve">Это ключевой мост: камера уже строила изображение, но теперь появился материал, который свет может менять.</x:t>
        </x:is>
      </x:c>
      <x:c r="U10" s="5" t="inlineStr">
        <x:is>
          <x:t xml:space="preserve">Серебряная колба/бутылка, на которой свет оставляет след.</x:t>
        </x:is>
      </x:c>
      <x:c r="V10" s="5" t="inlineStr">
        <x:is>
          <x:t xml:space="preserve">#фотохимия #серебро #Schulze #PL002</x:t>
        </x:is>
      </x:c>
      <x:c r="W10" s="5" t="n"/>
      <x:c r="X10" t="inlineStr">
        <x:is>
          <x:t xml:space="preserve">49.3833, 11.3833</x:t>
        </x:is>
      </x:c>
      <x:c r="Z10" t="inlineStr">
        <x:is>
          <x:t xml:space="preserve">Фундаментальная предпосылка</x:t>
        </x:is>
      </x:c>
    </x:row>
    <x:row r="11" s="46" customFormat="1" ht="60" customHeight="1">
      <x:c r="A11" s="5" t="inlineStr">
        <x:is>
          <x:t xml:space="preserve">PL-HIST-0010</x:t>
        </x:is>
      </x:c>
      <x:c r="B11" s="5" t="inlineStr">
        <x:is>
          <x:t xml:space="preserve">1777</x:t>
        </x:is>
      </x:c>
      <x:c r="C11" s="5" t="inlineStr">
        <x:is>
          <x:t xml:space="preserve">год</x:t>
        </x:is>
      </x:c>
      <x:c r="D11" s="5" t="inlineStr">
        <x:is>
          <x:t xml:space="preserve">Швеция</x:t>
        </x:is>
      </x:c>
      <x:c r="E11" s="5" t="inlineStr">
        <x:is>
          <x:t xml:space="preserve">Кёпинг / Стокгольм (контекст)</x:t>
        </x:is>
      </x:c>
      <x:c r="F11" s="5" t="inlineStr">
        <x:is>
          <x:t xml:space="preserve">Карл Вильгельм Шееле</x:t>
        </x:is>
      </x:c>
      <x:c r="G11" s="5" t="inlineStr">
        <x:is>
          <x:t xml:space="preserve">Изучает свойства хлорида серебра: потемнение на свету и роль аммиака для растворения/стабилизации соединений серебра.</x:t>
        </x:is>
      </x:c>
      <x:c r="H11" s="5" t="inlineStr">
        <x:is>
          <x:t xml:space="preserve">Фотохимия</x:t>
        </x:is>
      </x:c>
      <x:c r="I11" s="5" t="inlineStr">
        <x:is>
          <x:t xml:space="preserve">Silver chloride / ammonia</x:t>
        </x:is>
      </x:c>
      <x:c r="J11" s="5" t="inlineStr">
        <x:is>
          <x:t xml:space="preserve">Фиксация становится главным нерешённым вопросом: как сделать след света устойчивым.</x:t>
        </x:is>
      </x:c>
      <x:c r="K11" s="5" t="inlineStr">
        <x:is>
          <x:t xml:space="preserve">Schulze and silver salts</x:t>
        </x:is>
      </x:c>
      <x:c r="L11" s="5" t="inlineStr">
        <x:is>
          <x:t xml:space="preserve">Wedgwood and Davy, then Niépce</x:t>
        </x:is>
      </x:c>
      <x:c r="M11" s="5" t="inlineStr">
        <x:is>
          <x:t xml:space="preserve">Химическая предпосылка</x:t>
        </x:is>
      </x:c>
      <x:c r="N11" s="6" t="n">
        <x:v>4</x:v>
      </x:c>
      <x:c r="O11" s="5" t="inlineStr">
        <x:is>
          <x:t xml:space="preserve">PL-002</x:t>
        </x:is>
      </x:c>
      <x:c r="P11" s="5" t="inlineStr">
        <x:is>
          <x:t xml:space="preserve">SRC-006</x:t>
        </x:is>
      </x:c>
      <x:c r="Q11" s="5" t="inlineStr">
        <x:is>
          <x:t xml:space="preserve">Science History Institute — Silver and Sunlight</x:t>
        </x:is>
      </x:c>
      <x:c r="R11" s="5" t="inlineStr">
        <x:is>
          <x:t xml:space="preserve">https://www.sciencehistory.org/stories/magazine/silver-and-sunlight/</x:t>
        </x:is>
      </x:c>
      <x:c r="S11" s="6" t="n">
        <x:v>4</x:v>
      </x:c>
      <x:c r="T11" s="5" t="inlineStr">
        <x:is>
          <x:t xml:space="preserve">Новичку объяснить: мало получить изображение — нужно остановить дальнейшее потемнение.</x:t>
        </x:is>
      </x:c>
      <x:c r="U11" s="5" t="inlineStr">
        <x:is>
          <x:t xml:space="preserve">Иконка: след света + знак «зафиксировать».</x:t>
        </x:is>
      </x:c>
      <x:c r="V11" s="5" t="inlineStr">
        <x:is>
          <x:t xml:space="preserve">#фотохимия #фиксаж #серебро</x:t>
        </x:is>
      </x:c>
      <x:c r="W11" s="5" t="inlineStr">
        <x:is>
          <x:t xml:space="preserve">Уточнить связь Scheele с практическим фиксированием: не преувеличивать.</x:t>
        </x:is>
      </x:c>
      <x:c r="X11" t="inlineStr">
        <x:is>
          <x:t xml:space="preserve">59.5117, 15.9992</x:t>
        </x:is>
      </x:c>
      <x:c r="Y11" t="inlineStr">
        <x:is>
          <x:t xml:space="preserve">Фотохимия / фиксация</x:t>
        </x:is>
      </x:c>
      <x:c r="Z11" t="inlineStr">
        <x:is>
          <x:t xml:space="preserve">Фундаментальная предпосылка</x:t>
        </x:is>
      </x:c>
    </x:row>
    <x:row r="12" s="46" customFormat="1" ht="40" customHeight="1">
      <x:c r="A12" s="5" t="inlineStr">
        <x:is>
          <x:t xml:space="preserve">PL-HIST-0011</x:t>
        </x:is>
      </x:c>
      <x:c r="B12" s="5" t="inlineStr">
        <x:is>
          <x:t xml:space="preserve">ок. 1800</x:t>
        </x:is>
      </x:c>
      <x:c r="C12" s="5" t="inlineStr">
        <x:is>
          <x:t xml:space="preserve">примерно</x:t>
        </x:is>
      </x:c>
      <x:c r="D12" s="5" t="inlineStr">
        <x:is>
          <x:t xml:space="preserve">Великобритания</x:t>
        </x:is>
      </x:c>
      <x:c r="E12" s="5" t="inlineStr">
        <x:is>
          <x:t xml:space="preserve">Этрурия / Стаффордшир</x:t>
        </x:is>
      </x:c>
      <x:c r="F12" s="5" t="inlineStr">
        <x:is>
          <x:t xml:space="preserve">Томас Веджвуд</x:t>
        </x:is>
      </x:c>
      <x:c r="G12" s="5" t="inlineStr">
        <x:is>
          <x:t xml:space="preserve">Проводит опыты с бумагой/кожей, обработанными нитратом серебра, пытаясь получать изображения светом.</x:t>
        </x:is>
      </x:c>
      <x:c r="H12" s="5" t="inlineStr">
        <x:is>
          <x:t xml:space="preserve">Фотохимия</x:t>
        </x:is>
      </x:c>
      <x:c r="I12" s="5" t="inlineStr">
        <x:is>
          <x:t xml:space="preserve">Серебряный нитрат на бумаге/коже</x:t>
        </x:is>
      </x:c>
      <x:c r="J12" s="5" t="inlineStr">
        <x:is>
          <x:t xml:space="preserve">Появляется идея фотографического изображения, но проблема сохранения ещё не решена.</x:t>
        </x:is>
      </x:c>
      <x:c r="K12" s="5" t="inlineStr">
        <x:is>
          <x:t xml:space="preserve">Schulze and Scheele</x:t>
        </x:is>
      </x:c>
      <x:c r="L12" s="5" t="inlineStr">
        <x:is>
          <x:t xml:space="preserve">Davy publication, Niépce's experiments</x:t>
        </x:is>
      </x:c>
      <x:c r="M12" s="5" t="inlineStr">
        <x:is>
          <x:t xml:space="preserve">Тупиковая / не получила развития</x:t>
        </x:is>
      </x:c>
      <x:c r="N12" s="6" t="n">
        <x:v>4</x:v>
      </x:c>
      <x:c r="O12" s="5" t="inlineStr">
        <x:is>
          <x:t xml:space="preserve">PL-002</x:t>
        </x:is>
      </x:c>
      <x:c r="P12" s="5" t="inlineStr">
        <x:is>
          <x:t xml:space="preserve">SRC-007</x:t>
        </x:is>
      </x:c>
      <x:c r="Q12" s="5" t="inlineStr">
        <x:is>
          <x:t xml:space="preserve">Swiss Camera Museum — Thomas Wedgwood</x:t>
        </x:is>
      </x:c>
      <x:c r="R12" s="5" t="inlineStr">
        <x:is>
          <x:t xml:space="preserve">https://www.cameramuseum.ch/en/discover/permanent-exhibition/the-origins-of-photography/the-precursors-thomas-wedgwood/</x:t>
        </x:is>
      </x:c>
      <x:c r="S12" s="6" t="n">
        <x:v>4</x:v>
      </x:c>
      <x:c r="T12" s="5" t="inlineStr">
        <x:is>
          <x:t xml:space="preserve">Хорошо показать как честную неудачу: попытка почти фотографическая, но изображение исчезает.</x:t>
        </x:is>
      </x:c>
      <x:c r="U12" s="5" t="inlineStr">
        <x:is>
          <x:t xml:space="preserve">Пунктирная линия: «почти получилось, но не закрепилось».</x:t>
        </x:is>
      </x:c>
      <x:c r="V12" s="5" t="inlineStr">
        <x:is>
          <x:t xml:space="preserve">#Wedgwood #фотохимия #неудача</x:t>
        </x:is>
      </x:c>
      <x:c r="W12" s="5" t="n"/>
      <x:c r="X12" t="inlineStr">
        <x:is>
          <x:t xml:space="preserve">53.0027, -2.1794</x:t>
        </x:is>
      </x:c>
      <x:c r="Y12" t="inlineStr">
        <x:is>
          <x:t xml:space="preserve">Фотохимия / первая фиксация</x:t>
        </x:is>
      </x:c>
      <x:c r="Z12" t="inlineStr">
        <x:is>
          <x:t xml:space="preserve">Технология / процесс</x:t>
        </x:is>
      </x:c>
    </x:row>
    <x:row r="13" s="46" customFormat="1" ht="40" customHeight="1">
      <x:c r="A13" s="5" t="inlineStr">
        <x:is>
          <x:t xml:space="preserve">PL-HIST-0012</x:t>
        </x:is>
      </x:c>
      <x:c r="B13" s="5" t="inlineStr">
        <x:is>
          <x:t xml:space="preserve">1802</x:t>
        </x:is>
      </x:c>
      <x:c r="C13" s="5" t="inlineStr">
        <x:is>
          <x:t xml:space="preserve">год</x:t>
        </x:is>
      </x:c>
      <x:c r="D13" s="5" t="inlineStr">
        <x:is>
          <x:t xml:space="preserve">Великобритания</x:t>
        </x:is>
      </x:c>
      <x:c r="E13" s="5" t="inlineStr">
        <x:is>
          <x:t xml:space="preserve">Лондон / Бристоль</x:t>
        </x:is>
      </x:c>
      <x:c r="F13" s="5" t="inlineStr">
        <x:is>
          <x:t xml:space="preserve">Хамфри Дэви и Томас Веджвуд</x:t>
        </x:is>
      </x:c>
      <x:c r="G13" s="5" t="inlineStr">
        <x:is>
          <x:t xml:space="preserve">Дэви публикует отчёт о методе копирования изображений светом на нитрате серебра.</x:t>
        </x:is>
      </x:c>
      <x:c r="H13" s="5" t="inlineStr">
        <x:is>
          <x:t xml:space="preserve">Фотохимия</x:t>
        </x:is>
      </x:c>
      <x:c r="I13" s="5" t="inlineStr">
        <x:is>
          <x:t xml:space="preserve">Photogenic copying on silver nitrate</x:t>
        </x:is>
      </x:c>
      <x:c r="J13" s="5" t="inlineStr">
        <x:is>
          <x:t xml:space="preserve">Первые эксперименты становятся опубликованным знанием, но без полноценного фиксирования изображения.</x:t>
        </x:is>
      </x:c>
      <x:c r="K13" s="5" t="inlineStr">
        <x:is>
          <x:t xml:space="preserve">Wedgwood experiments</x:t>
        </x:is>
      </x:c>
      <x:c r="L13" s="5" t="inlineStr">
        <x:is>
          <x:t xml:space="preserve">Niépce and Talbot later address permanence</x:t>
        </x:is>
      </x:c>
      <x:c r="M13" s="5" t="inlineStr">
        <x:is>
          <x:t xml:space="preserve">Тупиковая / не получила развития</x:t>
        </x:is>
      </x:c>
      <x:c r="N13" s="6" t="n">
        <x:v>4</x:v>
      </x:c>
      <x:c r="O13" s="5" t="inlineStr">
        <x:is>
          <x:t xml:space="preserve">PL-002</x:t>
        </x:is>
      </x:c>
      <x:c r="P13" s="5" t="inlineStr">
        <x:is>
          <x:t xml:space="preserve">SRC-008</x:t>
        </x:is>
      </x:c>
      <x:c r="Q13" s="5" t="inlineStr">
        <x:is>
          <x:t xml:space="preserve">Bodleian — Talbot Catalogue: Photogenic Drawing</x:t>
        </x:is>
      </x:c>
      <x:c r="R13" s="5" t="inlineStr">
        <x:is>
          <x:t xml:space="preserve">https://talbot.bodleian.ox.ac.uk/2017/02/17/an-account-of-the-processes-employed-in-photogenic-drawing/</x:t>
        </x:is>
      </x:c>
      <x:c r="S13" s="6" t="n">
        <x:v>4</x:v>
      </x:c>
      <x:c r="T13" s="5" t="inlineStr">
        <x:is>
          <x:t xml:space="preserve">В лекции: до Ньепса уже были люди, которые понимали направление, но не решили задачу постоянства.</x:t>
        </x:is>
      </x:c>
      <x:c r="U13" s="5" t="inlineStr">
        <x:is>
          <x:t xml:space="preserve">Иконка публикации/лист бумаги, который постепенно темнеет.</x:t>
        </x:is>
      </x:c>
      <x:c r="V13" s="5" t="inlineStr">
        <x:is>
          <x:t xml:space="preserve">#Davy #Wedgwood #публикация</x:t>
        </x:is>
      </x:c>
      <x:c r="W13" s="5" t="inlineStr">
        <x:is>
          <x:t xml:space="preserve">Добавить первичный PDF/текст Journal of the Royal Institution при углублении.</x:t>
        </x:is>
      </x:c>
      <x:c r="X13" t="inlineStr">
        <x:is>
          <x:t xml:space="preserve">51.5074, -0.1278</x:t>
        </x:is>
      </x:c>
      <x:c r="Y13" t="inlineStr">
        <x:is>
          <x:t xml:space="preserve">Фотохимия / публикация</x:t>
        </x:is>
      </x:c>
      <x:c r="Z13" t="inlineStr">
        <x:is>
          <x:t xml:space="preserve">Публикация / объявление</x:t>
        </x:is>
      </x:c>
    </x:row>
    <x:row r="14" s="46" customFormat="1" ht="40" customHeight="1">
      <x:c r="A14" s="5" t="inlineStr">
        <x:is>
          <x:t xml:space="preserve">PL-HIST-0013</x:t>
        </x:is>
      </x:c>
      <x:c r="B14" s="5" t="inlineStr">
        <x:is>
          <x:t xml:space="preserve">1806–1807</x:t>
        </x:is>
      </x:c>
      <x:c r="C14" s="5" t="inlineStr">
        <x:is>
          <x:t xml:space="preserve">диапазон</x:t>
        </x:is>
      </x:c>
      <x:c r="D14" s="5" t="inlineStr">
        <x:is>
          <x:t xml:space="preserve">Великобритания</x:t>
        </x:is>
      </x:c>
      <x:c r="E14" s="5" t="inlineStr">
        <x:is>
          <x:t xml:space="preserve">Лондон</x:t>
        </x:is>
      </x:c>
      <x:c r="F14" s="5" t="inlineStr">
        <x:is>
          <x:t xml:space="preserve">Уильям Хайд Волластон</x:t>
        </x:is>
      </x:c>
      <x:c r="G14" s="5" t="inlineStr">
        <x:is>
          <x:t xml:space="preserve">Патентует и называет camera lucida — оптический прибор для точного рисования.</x:t>
        </x:is>
      </x:c>
      <x:c r="H14" s="5" t="inlineStr">
        <x:is>
          <x:t xml:space="preserve">Оптические инструменты</x:t>
        </x:is>
      </x:c>
      <x:c r="I14" s="5" t="inlineStr">
        <x:is>
          <x:t xml:space="preserve">Camera lucida</x:t>
        </x:is>
      </x:c>
      <x:c r="J14" s="5" t="inlineStr">
        <x:is>
          <x:t xml:space="preserve">Показывает, что до фотографии общество уже искало способы механизировать точность изображения.</x:t>
        </x:is>
      </x:c>
      <x:c r="K14" s="5" t="inlineStr">
        <x:is>
          <x:t xml:space="preserve">Camera obscura drawing tools</x:t>
        </x:is>
      </x:c>
      <x:c r="L14" s="5" t="inlineStr">
        <x:is>
          <x:t xml:space="preserve">Photography will replace drawing aids for some purposes</x:t>
        </x:is>
      </x:c>
      <x:c r="M14" s="5" t="inlineStr">
        <x:is>
          <x:t xml:space="preserve">Оптическая предпосылка</x:t>
        </x:is>
      </x:c>
      <x:c r="N14" s="6" t="n">
        <x:v>3</x:v>
      </x:c>
      <x:c r="O14" s="5" t="inlineStr">
        <x:is>
          <x:t xml:space="preserve">межурочный узел</x:t>
        </x:is>
      </x:c>
      <x:c r="P14" s="5" t="inlineStr">
        <x:is>
          <x:t xml:space="preserve">SRC-009</x:t>
        </x:is>
      </x:c>
      <x:c r="Q14" s="5" t="inlineStr">
        <x:is>
          <x:t xml:space="preserve">Smithsonian NMAH — Camera Lucida</x:t>
        </x:is>
      </x:c>
      <x:c r="R14" s="5" t="inlineStr">
        <x:is>
          <x:t xml:space="preserve">https://americanhistory.si.edu/collections/object/nmah_1184286</x:t>
        </x:is>
      </x:c>
      <x:c r="S14" s="6" t="n">
        <x:v>5</x:v>
      </x:c>
      <x:c r="T14" s="5" t="inlineStr">
        <x:is>
          <x:t xml:space="preserve">Это не фотография, но очень полезный узел: люди хотели точного изображения до химической фотографии.</x:t>
        </x:is>
      </x:c>
      <x:c r="U14" s="5" t="inlineStr">
        <x:is>
          <x:t xml:space="preserve">Иконка призмы и руки художника.</x:t>
        </x:is>
      </x:c>
      <x:c r="V14" s="5" t="inlineStr">
        <x:is>
          <x:t xml:space="preserve">#оптика #camera-lucida #рисование</x:t>
        </x:is>
      </x:c>
      <x:c r="W14" s="5" t="n"/>
      <x:c r="X14" t="inlineStr">
        <x:is>
          <x:t xml:space="preserve">51.5074, -0.1278</x:t>
        </x:is>
      </x:c>
      <x:c r="Z14" t="inlineStr">
        <x:is>
          <x:t xml:space="preserve">Инструмент / устройство</x:t>
        </x:is>
      </x:c>
    </x:row>
    <x:row r="15" s="46" customFormat="1" ht="40" customHeight="1">
      <x:c r="A15" s="5" t="inlineStr">
        <x:is>
          <x:t xml:space="preserve">PL-HIST-0014</x:t>
        </x:is>
      </x:c>
      <x:c r="B15" s="5" t="inlineStr">
        <x:is>
          <x:t xml:space="preserve">1816</x:t>
        </x:is>
      </x:c>
      <x:c r="C15" s="5" t="inlineStr">
        <x:is>
          <x:t xml:space="preserve">год</x:t>
        </x:is>
      </x:c>
      <x:c r="D15" s="5" t="inlineStr">
        <x:is>
          <x:t xml:space="preserve">Франция</x:t>
        </x:is>
      </x:c>
      <x:c r="E15" s="5" t="inlineStr">
        <x:is>
          <x:t xml:space="preserve">Сен-Лу-де-Варенн / Ле-Гра</x:t>
        </x:is>
      </x:c>
      <x:c r="F15" s="5" t="inlineStr">
        <x:is>
          <x:t xml:space="preserve">Нисефор Ньепс</x:t>
        </x:is>
      </x:c>
      <x:c r="G15" s="5" t="inlineStr">
        <x:is>
          <x:t xml:space="preserve">Получает исчезающие негативные изображения в камере-обскуре на бумаге с солями серебра.</x:t>
        </x:is>
      </x:c>
      <x:c r="H15" s="5" t="inlineStr">
        <x:is>
          <x:t xml:space="preserve">Гелиография</x:t>
        </x:is>
      </x:c>
      <x:c r="I15" s="5" t="inlineStr">
        <x:is>
          <x:t xml:space="preserve">Silver chloride paper negative</x:t>
        </x:is>
      </x:c>
      <x:c r="J15" s="5" t="inlineStr">
        <x:is>
          <x:t xml:space="preserve">Ньепс впервые подходит к реальной камере-фотографии, но изображение ещё не устойчиво.</x:t>
        </x:is>
      </x:c>
      <x:c r="K15" s="5" t="inlineStr">
        <x:is>
          <x:t xml:space="preserve">Wedgwood/Davy experiments</x:t>
        </x:is>
      </x:c>
      <x:c r="L15" s="5" t="inlineStr">
        <x:is>
          <x:t xml:space="preserve">Niépce switches to bitumen heliography</x:t>
        </x:is>
      </x:c>
      <x:c r="M15" s="5" t="inlineStr">
        <x:is>
          <x:t xml:space="preserve">Переходная технология</x:t>
        </x:is>
      </x:c>
      <x:c r="N15" s="6" t="n">
        <x:v>5</x:v>
      </x:c>
      <x:c r="O15" s="5" t="inlineStr">
        <x:is>
          <x:t xml:space="preserve">PL-002</x:t>
        </x:is>
      </x:c>
      <x:c r="P15" s="5" t="inlineStr">
        <x:is>
          <x:t xml:space="preserve">SRC-011</x:t>
        </x:is>
      </x:c>
      <x:c r="Q15" s="5" t="inlineStr">
        <x:is>
          <x:t xml:space="preserve">Maison Nicéphore Niépce — First experiments</x:t>
        </x:is>
      </x:c>
      <x:c r="R15" s="5" t="inlineStr">
        <x:is>
          <x:t xml:space="preserve">https://bicentennial-of-photography.org/niepce-and-the-invention-of-photography-niepce-s-first-experiments/</x:t>
        </x:is>
      </x:c>
      <x:c r="S15" s="6" t="n">
        <x:v>4</x:v>
      </x:c>
      <x:c r="T15" s="5" t="inlineStr">
        <x:is>
          <x:t xml:space="preserve">Важно: это не первый сохранившийся снимок, а первая стадия Ньепса — изображение было, но исчезало.</x:t>
        </x:is>
      </x:c>
      <x:c r="U15" s="5" t="inlineStr">
        <x:is>
          <x:t xml:space="preserve">Светлая линия появляется на бумаге и затем исчезает.</x:t>
        </x:is>
      </x:c>
      <x:c r="V15" s="5" t="inlineStr">
        <x:is>
          <x:t xml:space="preserve">#Niépce #1816 #PL002 #негатив</x:t>
        </x:is>
      </x:c>
      <x:c r="W15" s="5" t="n"/>
      <x:c r="X15" t="inlineStr">
        <x:is>
          <x:t xml:space="preserve">46.7828, 4.8892</x:t>
        </x:is>
      </x:c>
      <x:c r="Y15" t="inlineStr">
        <x:is>
          <x:t xml:space="preserve">Первая фиксация / проблема постоянства</x:t>
        </x:is>
      </x:c>
      <x:c r="Z15" t="inlineStr">
        <x:is>
          <x:t xml:space="preserve">Технология / процесс</x:t>
        </x:is>
      </x:c>
    </x:row>
    <x:row r="16" s="46" customFormat="1" ht="60" customHeight="1">
      <x:c r="A16" s="5" t="inlineStr">
        <x:is>
          <x:t xml:space="preserve">PL-HIST-0015</x:t>
        </x:is>
      </x:c>
      <x:c r="B16" s="5" t="inlineStr">
        <x:is>
          <x:t xml:space="preserve">1822–1825</x:t>
        </x:is>
      </x:c>
      <x:c r="C16" s="5" t="inlineStr">
        <x:is>
          <x:t xml:space="preserve">диапазон</x:t>
        </x:is>
      </x:c>
      <x:c r="D16" s="5" t="inlineStr">
        <x:is>
          <x:t xml:space="preserve">Франция</x:t>
        </x:is>
      </x:c>
      <x:c r="E16" s="5" t="inlineStr">
        <x:is>
          <x:t xml:space="preserve">Сен-Лу-де-Варенн / Ле-Гра</x:t>
        </x:is>
      </x:c>
      <x:c r="F16" s="5" t="inlineStr">
        <x:is>
          <x:t xml:space="preserve">Нисефор Ньепс</x:t>
        </x:is>
      </x:c>
      <x:c r="G16" s="5" t="inlineStr">
        <x:is>
          <x:t xml:space="preserve">Развивает гелиографию: использует светочувствительный битум для создания устойчивых изображений/копий гравюр.</x:t>
        </x:is>
      </x:c>
      <x:c r="H16" s="5" t="inlineStr">
        <x:is>
          <x:t xml:space="preserve">Гелиография</x:t>
        </x:is>
      </x:c>
      <x:c r="I16" s="5" t="inlineStr">
        <x:is>
          <x:t xml:space="preserve">Bitumen of Judea on metal/stone</x:t>
        </x:is>
      </x:c>
      <x:c r="J16" s="5" t="inlineStr">
        <x:is>
          <x:t xml:space="preserve">Путь меняется: вместо серебряных солей Ньепс ищет материал, который свет делает не темнее, а твёрже/нерастворимее.</x:t>
        </x:is>
      </x:c>
      <x:c r="K16" s="5" t="inlineStr">
        <x:is>
          <x:t xml:space="preserve">1816 silver-salt negatives</x:t>
        </x:is>
      </x:c>
      <x:c r="L16" s="5" t="inlineStr">
        <x:is>
          <x:t xml:space="preserve">View from the Window at Le Gras</x:t>
        </x:is>
      </x:c>
      <x:c r="M16" s="5" t="inlineStr">
        <x:is>
          <x:t xml:space="preserve">Переходная технология</x:t>
        </x:is>
      </x:c>
      <x:c r="N16" s="6" t="n">
        <x:v>4</x:v>
      </x:c>
      <x:c r="O16" s="5" t="inlineStr">
        <x:is>
          <x:t xml:space="preserve">PL-002</x:t>
        </x:is>
      </x:c>
      <x:c r="P16" s="5" t="inlineStr">
        <x:is>
          <x:t xml:space="preserve">SRC-010</x:t>
        </x:is>
      </x:c>
      <x:c r="Q16" s="5" t="inlineStr">
        <x:is>
          <x:t xml:space="preserve">Harry Ransom Center — The Niépce Heliograph</x:t>
        </x:is>
      </x:c>
      <x:c r="R16" s="5" t="inlineStr">
        <x:is>
          <x:t xml:space="preserve">https://www.hrc.utexas.edu/niepce-heliograph/</x:t>
        </x:is>
      </x:c>
      <x:c r="S16" s="6" t="n">
        <x:v>4</x:v>
      </x:c>
      <x:c r="T16" s="5" t="inlineStr">
        <x:is>
          <x:t xml:space="preserve">Для лекции: Ньепс думал не только о камере, но и о механическом копировании изображений.</x:t>
        </x:is>
      </x:c>
      <x:c r="U16" s="5" t="inlineStr">
        <x:is>
          <x:t xml:space="preserve">Узел «гелиография»: солнце превращает покрытие в устойчивый след.</x:t>
        </x:is>
      </x:c>
      <x:c r="V16" s="5" t="inlineStr">
        <x:is>
          <x:t xml:space="preserve">#гелиография #Niépce #битум</x:t>
        </x:is>
      </x:c>
      <x:c r="W16" s="5" t="inlineStr">
        <x:is>
          <x:t xml:space="preserve">Проверить дату 1822 для несохранившейся heliograph copy.</x:t>
        </x:is>
      </x:c>
      <x:c r="X16" t="inlineStr">
        <x:is>
          <x:t xml:space="preserve">46.7828, 4.8892</x:t>
        </x:is>
      </x:c>
      <x:c r="Z16" t="inlineStr">
        <x:is>
          <x:t xml:space="preserve">Технология / процесс</x:t>
        </x:is>
      </x:c>
    </x:row>
    <x:row r="17" s="46" customFormat="1" ht="60" customHeight="1">
      <x:c r="A17" s="5" t="inlineStr">
        <x:is>
          <x:t xml:space="preserve">PL-HIST-0016</x:t>
        </x:is>
      </x:c>
      <x:c r="B17" s="5" t="inlineStr">
        <x:is>
          <x:t xml:space="preserve">1826 / 1827</x:t>
        </x:is>
      </x:c>
      <x:c r="C17" s="5" t="inlineStr">
        <x:is>
          <x:t xml:space="preserve">спорно/уточнить</x:t>
        </x:is>
      </x:c>
      <x:c r="D17" s="5" t="inlineStr">
        <x:is>
          <x:t xml:space="preserve">Франция</x:t>
        </x:is>
      </x:c>
      <x:c r="E17" s="5" t="inlineStr">
        <x:is>
          <x:t xml:space="preserve">Ле-Гра, Сен-Лу-де-Варенн</x:t>
        </x:is>
      </x:c>
      <x:c r="F17" s="5" t="inlineStr">
        <x:is>
          <x:t xml:space="preserve">Нисефор Ньепс</x:t>
        </x:is>
      </x:c>
      <x:c r="G17" s="5" t="inlineStr">
        <x:is>
          <x:t xml:space="preserve">Создаёт «Вид из окна в Ле-Гра» — самое раннее сохранившееся изображение, полученное с помощью камеры-обскуры.</x:t>
        </x:is>
      </x:c>
      <x:c r="H17" s="5" t="inlineStr">
        <x:is>
          <x:t xml:space="preserve">Гелиография</x:t>
        </x:is>
      </x:c>
      <x:c r="I17" s="5" t="inlineStr">
        <x:is>
          <x:t xml:space="preserve">Heliograph on pewter plate</x:t>
        </x:is>
      </x:c>
      <x:c r="J17" s="5" t="inlineStr">
        <x:is>
          <x:t xml:space="preserve">Изображение впервые не просто возникло, а сохранилось до наших дней.</x:t>
        </x:is>
      </x:c>
      <x:c r="K17" s="5" t="inlineStr">
        <x:is>
          <x:t xml:space="preserve">Heliographic experiments</x:t>
        </x:is>
      </x:c>
      <x:c r="L17" s="5" t="inlineStr">
        <x:is>
          <x:t xml:space="preserve">Partnership with Daguerre</x:t>
        </x:is>
      </x:c>
      <x:c r="M17" s="5" t="inlineStr">
        <x:is>
          <x:t xml:space="preserve">Главная линия</x:t>
        </x:is>
      </x:c>
      <x:c r="N17" s="6" t="n">
        <x:v>5</x:v>
      </x:c>
      <x:c r="O17" s="5" t="inlineStr">
        <x:is>
          <x:t xml:space="preserve">PL-002</x:t>
        </x:is>
      </x:c>
      <x:c r="P17" s="5" t="inlineStr">
        <x:is>
          <x:t xml:space="preserve">SRC-010</x:t>
        </x:is>
      </x:c>
      <x:c r="Q17" s="5" t="inlineStr">
        <x:is>
          <x:t xml:space="preserve">Harry Ransom Center — The Niépce Heliograph</x:t>
        </x:is>
      </x:c>
      <x:c r="R17" s="5" t="inlineStr">
        <x:is>
          <x:t xml:space="preserve">https://www.hrc.utexas.edu/niepce-heliograph/</x:t>
        </x:is>
      </x:c>
      <x:c r="S17" s="6" t="n">
        <x:v>5</x:v>
      </x:c>
      <x:c r="T17" s="5" t="inlineStr">
        <x:is>
          <x:t xml:space="preserve">Дата встречается как 1826 или 1827; в таблице оставляем спорной/уточняемой.</x:t>
        </x:is>
      </x:c>
      <x:c r="U17" s="5" t="inlineStr">
        <x:is>
          <x:t xml:space="preserve">Главный узел PL-002: окно, свет, металлическая пластина.</x:t>
        </x:is>
      </x:c>
      <x:c r="V17" s="5" t="inlineStr">
        <x:is>
          <x:t xml:space="preserve">#Niépce #перваяфотография #гелиография #PL002</x:t>
        </x:is>
      </x:c>
      <x:c r="W17" s="5" t="inlineStr">
        <x:is>
          <x:t xml:space="preserve">Уточнить редакционную дату: Harvard даёт 1826, HRC — 1827.</x:t>
        </x:is>
      </x:c>
      <x:c r="X17" t="inlineStr">
        <x:is>
          <x:t xml:space="preserve">46.7828, 4.8892</x:t>
        </x:is>
      </x:c>
      <x:c r="Y17" t="inlineStr">
        <x:is>
          <x:t xml:space="preserve">Гелиография / первая сохранившаяся фотография</x:t>
        </x:is>
      </x:c>
      <x:c r="Z17" t="inlineStr">
        <x:is>
          <x:t xml:space="preserve">Ключевой исторический узел</x:t>
        </x:is>
      </x:c>
      <x:c r="AA17" t="inlineStr">
        <x:is>
          <x:t xml:space="preserve">да</x:t>
        </x:is>
      </x:c>
    </x:row>
    <x:row r="18" s="46" customFormat="1" ht="40" customHeight="1">
      <x:c r="A18" s="5" t="inlineStr">
        <x:is>
          <x:t xml:space="preserve">PL-HIST-0017</x:t>
        </x:is>
      </x:c>
      <x:c r="B18" s="5" t="inlineStr">
        <x:is>
          <x:t xml:space="preserve">1829</x:t>
        </x:is>
      </x:c>
      <x:c r="C18" s="5" t="inlineStr">
        <x:is>
          <x:t xml:space="preserve">год</x:t>
        </x:is>
      </x:c>
      <x:c r="D18" s="5" t="inlineStr">
        <x:is>
          <x:t xml:space="preserve">Франция</x:t>
        </x:is>
      </x:c>
      <x:c r="E18" s="5" t="inlineStr">
        <x:is>
          <x:t xml:space="preserve">Париж / Сен-Лу-де-Варенн</x:t>
        </x:is>
      </x:c>
      <x:c r="F18" s="5" t="inlineStr">
        <x:is>
          <x:t xml:space="preserve">Нисефор Ньепс и Луи Дагер</x:t>
        </x:is>
      </x:c>
      <x:c r="G18" s="5" t="inlineStr">
        <x:is>
          <x:t xml:space="preserve">Ньепс и Дагер вступают в формальное партнёрство для развития фотографического процесса.</x:t>
        </x:is>
      </x:c>
      <x:c r="H18" s="5" t="inlineStr">
        <x:is>
          <x:t xml:space="preserve">Дагеротип</x:t>
        </x:is>
      </x:c>
      <x:c r="I18" s="5" t="inlineStr">
        <x:is>
          <x:t xml:space="preserve">Heliography → daguerreotype lineage</x:t>
        </x:is>
      </x:c>
      <x:c r="J18" s="5" t="inlineStr">
        <x:is>
          <x:t xml:space="preserve">Линия Ньепса соединяется с практическими улучшениями Дагера.</x:t>
        </x:is>
      </x:c>
      <x:c r="K18" s="5" t="inlineStr">
        <x:is>
          <x:t xml:space="preserve">Niépce heliography</x:t>
        </x:is>
      </x:c>
      <x:c r="L18" s="5" t="inlineStr">
        <x:is>
          <x:t xml:space="preserve">Daguerreotype announcement</x:t>
        </x:is>
      </x:c>
      <x:c r="M18" s="5" t="inlineStr">
        <x:is>
          <x:t xml:space="preserve">Главная линия</x:t>
        </x:is>
      </x:c>
      <x:c r="N18" s="6" t="n">
        <x:v>4</x:v>
      </x:c>
      <x:c r="O18" s="5" t="inlineStr">
        <x:is>
          <x:t xml:space="preserve">PL-003</x:t>
        </x:is>
      </x:c>
      <x:c r="P18" s="5" t="inlineStr">
        <x:is>
          <x:t xml:space="preserve">SRC-010</x:t>
        </x:is>
      </x:c>
      <x:c r="Q18" s="5" t="inlineStr">
        <x:is>
          <x:t xml:space="preserve">Harry Ransom Center — The Niépce Heliograph</x:t>
        </x:is>
      </x:c>
      <x:c r="R18" s="5" t="inlineStr">
        <x:is>
          <x:t xml:space="preserve">https://www.hrc.utexas.edu/niepce-heliograph/</x:t>
        </x:is>
      </x:c>
      <x:c r="S18" s="6" t="n">
        <x:v>5</x:v>
      </x:c>
      <x:c r="T18" s="5" t="inlineStr">
        <x:is>
          <x:t xml:space="preserve">Это не просто смена фамилии: здесь начинается связка Ньепс → Дагер.</x:t>
        </x:is>
      </x:c>
      <x:c r="U18" s="5" t="inlineStr">
        <x:is>
          <x:t xml:space="preserve">Линия на карте: Ле-Гра → Париж.</x:t>
        </x:is>
      </x:c>
      <x:c r="V18" s="5" t="inlineStr">
        <x:is>
          <x:t xml:space="preserve">#Niépce #Daguerre #Франция #PL003</x:t>
        </x:is>
      </x:c>
      <x:c r="W18" s="5" t="n"/>
      <x:c r="X18" t="inlineStr">
        <x:is>
          <x:t xml:space="preserve">48.8566, 2.3522</x:t>
        </x:is>
      </x:c>
      <x:c r="Y18" t="inlineStr">
        <x:is>
          <x:t xml:space="preserve">Передача идеи / развитие процесса</x:t>
        </x:is>
      </x:c>
      <x:c r="Z18" t="inlineStr">
        <x:is>
          <x:t xml:space="preserve">Связь / переход</x:t>
        </x:is>
      </x:c>
    </x:row>
    <x:row r="19" s="46" customFormat="1" ht="40" customHeight="1">
      <x:c r="A19" s="5" t="inlineStr">
        <x:is>
          <x:t xml:space="preserve">PL-HIST-0018</x:t>
        </x:is>
      </x:c>
      <x:c r="B19" s="5" t="inlineStr">
        <x:is>
          <x:t xml:space="preserve">1833</x:t>
        </x:is>
      </x:c>
      <x:c r="C19" s="5" t="inlineStr">
        <x:is>
          <x:t xml:space="preserve">год</x:t>
        </x:is>
      </x:c>
      <x:c r="D19" s="5" t="inlineStr">
        <x:is>
          <x:t xml:space="preserve">Франция</x:t>
        </x:is>
      </x:c>
      <x:c r="E19" s="5" t="inlineStr">
        <x:is>
          <x:t xml:space="preserve">Сен-Лу-де-Варенн</x:t>
        </x:is>
      </x:c>
      <x:c r="F19" s="5" t="inlineStr">
        <x:is>
          <x:t xml:space="preserve">Нисефор Ньепс / Луи Дагер</x:t>
        </x:is>
      </x:c>
      <x:c r="G19" s="5" t="inlineStr">
        <x:is>
          <x:t xml:space="preserve">После смерти Ньепса Дагер продолжает работы и в итоге доводит процесс до публичного объявления.</x:t>
        </x:is>
      </x:c>
      <x:c r="H19" s="5" t="inlineStr">
        <x:is>
          <x:t xml:space="preserve">Дагеротип</x:t>
        </x:is>
      </x:c>
      <x:c r="I19" s="5" t="inlineStr">
        <x:is>
          <x:t xml:space="preserve">Daguerreotype lineage</x:t>
        </x:is>
      </x:c>
      <x:c r="J19" s="5" t="inlineStr">
        <x:is>
          <x:t xml:space="preserve">Фотография становится историей не одного человека, а продолжения незавершённой разработки.</x:t>
        </x:is>
      </x:c>
      <x:c r="K19" s="5" t="inlineStr">
        <x:is>
          <x:t xml:space="preserve">Partnership 1829</x:t>
        </x:is>
      </x:c>
      <x:c r="L19" s="5" t="inlineStr">
        <x:is>
          <x:t xml:space="preserve">1839 public announcement</x:t>
        </x:is>
      </x:c>
      <x:c r="M19" s="5" t="inlineStr">
        <x:is>
          <x:t xml:space="preserve">Главная линия</x:t>
        </x:is>
      </x:c>
      <x:c r="N19" s="6" t="n">
        <x:v>3</x:v>
      </x:c>
      <x:c r="O19" s="5" t="inlineStr">
        <x:is>
          <x:t xml:space="preserve">PL-003</x:t>
        </x:is>
      </x:c>
      <x:c r="P19" s="5" t="inlineStr">
        <x:is>
          <x:t xml:space="preserve">SRC-010</x:t>
        </x:is>
      </x:c>
      <x:c r="Q19" s="5" t="inlineStr">
        <x:is>
          <x:t xml:space="preserve">Harry Ransom Center — The Niépce Heliograph</x:t>
        </x:is>
      </x:c>
      <x:c r="R19" s="5" t="inlineStr">
        <x:is>
          <x:t xml:space="preserve">https://www.hrc.utexas.edu/niepce-heliograph/</x:t>
        </x:is>
      </x:c>
      <x:c r="S19" s="6" t="n">
        <x:v>4</x:v>
      </x:c>
      <x:c r="T19" s="5" t="inlineStr">
        <x:is>
          <x:t xml:space="preserve">Для сериала: Ньепс не увидел публичного триумфа фотографии.</x:t>
        </x:is>
      </x:c>
      <x:c r="U19" s="5" t="inlineStr">
        <x:is>
          <x:t xml:space="preserve">Линия прерывается у Ньепса и продолжается к Дагеру.</x:t>
        </x:is>
      </x:c>
      <x:c r="V19" s="5" t="inlineStr">
        <x:is>
          <x:t xml:space="preserve">#Niépce #Daguerre #история</x:t>
        </x:is>
      </x:c>
      <x:c r="W19" s="5" t="n"/>
      <x:c r="X19" t="inlineStr">
        <x:is>
          <x:t xml:space="preserve">46.7828, 4.8892</x:t>
        </x:is>
      </x:c>
      <x:c r="Y19" t="inlineStr">
        <x:is>
          <x:t xml:space="preserve">Передача идеи / развитие процесса</x:t>
        </x:is>
      </x:c>
      <x:c r="Z19" t="inlineStr">
        <x:is>
          <x:t xml:space="preserve">Связь / переход</x:t>
        </x:is>
      </x:c>
    </x:row>
    <x:row r="20" s="46" customFormat="1" ht="40" customHeight="1">
      <x:c r="A20" s="5" t="inlineStr">
        <x:is>
          <x:t xml:space="preserve">PL-HIST-0019</x:t>
        </x:is>
      </x:c>
      <x:c r="B20" s="5" t="inlineStr">
        <x:is>
          <x:t xml:space="preserve">1834</x:t>
        </x:is>
      </x:c>
      <x:c r="C20" s="5" t="inlineStr">
        <x:is>
          <x:t xml:space="preserve">год</x:t>
        </x:is>
      </x:c>
      <x:c r="D20" s="5" t="inlineStr">
        <x:is>
          <x:t xml:space="preserve">Великобритания</x:t>
        </x:is>
      </x:c>
      <x:c r="E20" s="5" t="inlineStr">
        <x:is>
          <x:t xml:space="preserve">Лэкок-Эбби</x:t>
        </x:is>
      </x:c>
      <x:c r="F20" s="5" t="inlineStr">
        <x:is>
          <x:t xml:space="preserve">Уильям Генри Фокс Тальбот</x:t>
        </x:is>
      </x:c>
      <x:c r="G20" s="5" t="inlineStr">
        <x:is>
          <x:t xml:space="preserve">Создаёт фотогенные рисунки: предметы кладутся на светочувствительную бумагу и оставляют силуэт.</x:t>
        </x:is>
      </x:c>
      <x:c r="H20" s="5" t="inlineStr">
        <x:is>
          <x:t xml:space="preserve">Фотогенный рисунок / фотограмма</x:t>
        </x:is>
      </x:c>
      <x:c r="I20" s="5" t="inlineStr">
        <x:is>
          <x:t xml:space="preserve">Photogenic drawing</x:t>
        </x:is>
      </x:c>
      <x:c r="J20" s="5" t="inlineStr">
        <x:is>
          <x:t xml:space="preserve">Параллельно французской линии появляется британская ветка: изображение через негативный след на бумаге.</x:t>
        </x:is>
      </x:c>
      <x:c r="K20" s="5" t="inlineStr">
        <x:is>
          <x:t xml:space="preserve">Wedgwood/Davy and silver salts</x:t>
        </x:is>
      </x:c>
      <x:c r="L20" s="5" t="inlineStr">
        <x:is>
          <x:t xml:space="preserve">Calotype and negative-positive process</x:t>
        </x:is>
      </x:c>
      <x:c r="M20" s="5" t="inlineStr">
        <x:is>
          <x:t xml:space="preserve">Главная линия</x:t>
        </x:is>
      </x:c>
      <x:c r="N20" s="6" t="n">
        <x:v>5</x:v>
      </x:c>
      <x:c r="O20" s="5" t="inlineStr">
        <x:is>
          <x:t xml:space="preserve">PL-004</x:t>
        </x:is>
      </x:c>
      <x:c r="P20" s="5" t="inlineStr">
        <x:is>
          <x:t xml:space="preserve">SRC-023</x:t>
        </x:is>
      </x:c>
      <x:c r="Q20" s="5" t="inlineStr">
        <x:is>
          <x:t xml:space="preserve">National Gallery of Canada — The Calotype Process</x:t>
        </x:is>
      </x:c>
      <x:c r="R20" s="5" t="inlineStr">
        <x:is>
          <x:t xml:space="preserve">https://www.gallery.ca/photo-blog/the-calotype-process</x:t>
        </x:is>
      </x:c>
      <x:c r="S20" s="6" t="n">
        <x:v>4</x:v>
      </x:c>
      <x:c r="T20" s="5" t="inlineStr">
        <x:is>
          <x:t xml:space="preserve">Важно показать как параллельную работу, а не как продолжение Дагера.</x:t>
        </x:is>
      </x:c>
      <x:c r="U20" s="5" t="inlineStr">
        <x:is>
          <x:t xml:space="preserve">Отдельная линия Великобритания: лист растения на бумаге.</x:t>
        </x:is>
      </x:c>
      <x:c r="V20" s="5" t="inlineStr">
        <x:is>
          <x:t xml:space="preserve">#Talbot #photogenic-drawing #PL004</x:t>
        </x:is>
      </x:c>
      <x:c r="W20" s="5" t="n"/>
      <x:c r="X20" t="inlineStr">
        <x:is>
          <x:t xml:space="preserve">51.4136, -2.118</x:t>
        </x:is>
      </x:c>
      <x:c r="Z20" t="inlineStr">
        <x:is>
          <x:t xml:space="preserve">Технология / процесс</x:t>
        </x:is>
      </x:c>
    </x:row>
    <x:row r="21" s="46" customFormat="1" ht="40" customHeight="1">
      <x:c r="A21" s="5" t="inlineStr">
        <x:is>
          <x:t xml:space="preserve">PL-HIST-0020</x:t>
        </x:is>
      </x:c>
      <x:c r="B21" s="5" t="inlineStr">
        <x:is>
          <x:t xml:space="preserve">1835</x:t>
        </x:is>
      </x:c>
      <x:c r="C21" s="5" t="inlineStr">
        <x:is>
          <x:t xml:space="preserve">год</x:t>
        </x:is>
      </x:c>
      <x:c r="D21" s="5" t="inlineStr">
        <x:is>
          <x:t xml:space="preserve">Великобритания</x:t>
        </x:is>
      </x:c>
      <x:c r="E21" s="5" t="inlineStr">
        <x:is>
          <x:t xml:space="preserve">Лэкок-Эбби</x:t>
        </x:is>
      </x:c>
      <x:c r="F21" s="5" t="inlineStr">
        <x:is>
          <x:t xml:space="preserve">Уильям Генри Фокс Тальбот</x:t>
        </x:is>
      </x:c>
      <x:c r="G21" s="5" t="inlineStr">
        <x:is>
          <x:t xml:space="preserve">Делает ранние маленькие камерные негативы, включая вид окна в Лэкок-Эбби.</x:t>
        </x:is>
      </x:c>
      <x:c r="H21" s="5" t="inlineStr">
        <x:is>
          <x:t xml:space="preserve">Негатив-позитив</x:t>
        </x:is>
      </x:c>
      <x:c r="I21" s="5" t="inlineStr">
        <x:is>
          <x:t xml:space="preserve">Paper negative in camera</x:t>
        </x:is>
      </x:c>
      <x:c r="J21" s="5" t="inlineStr">
        <x:is>
          <x:t xml:space="preserve">Тальбот переносит идею фотогенного рисунка в камеру: бумага становится негативом будущей копии.</x:t>
        </x:is>
      </x:c>
      <x:c r="K21" s="5" t="inlineStr">
        <x:is>
          <x:t xml:space="preserve">Photogenic drawings</x:t>
        </x:is>
      </x:c>
      <x:c r="L21" s="5" t="inlineStr">
        <x:is>
          <x:t xml:space="preserve">1839 publication and 1841 calotype</x:t>
        </x:is>
      </x:c>
      <x:c r="M21" s="5" t="inlineStr">
        <x:is>
          <x:t xml:space="preserve">Главная линия</x:t>
        </x:is>
      </x:c>
      <x:c r="N21" s="6" t="n">
        <x:v>4</x:v>
      </x:c>
      <x:c r="O21" s="5" t="inlineStr">
        <x:is>
          <x:t xml:space="preserve">PL-004</x:t>
        </x:is>
      </x:c>
      <x:c r="P21" s="5" t="inlineStr">
        <x:is>
          <x:t xml:space="preserve">SRC-016</x:t>
        </x:is>
      </x:c>
      <x:c r="Q21" s="5" t="inlineStr">
        <x:is>
          <x:t xml:space="preserve">The Met — William Henry Fox Talbot</x:t>
        </x:is>
      </x:c>
      <x:c r="R21" s="5" t="inlineStr">
        <x:is>
          <x:t xml:space="preserve">https://www.metmuseum.org/essays/william-henry-fox-talbot-1800-1877-and-the-invention-of-photography</x:t>
        </x:is>
      </x:c>
      <x:c r="S21" s="6" t="n">
        <x:v>4</x:v>
      </x:c>
      <x:c r="T21" s="5" t="inlineStr">
        <x:is>
          <x:t xml:space="preserve">Можно объяснить: у Тальбота фотография думает не как «одна пластинка», а как система копирования.</x:t>
        </x:is>
      </x:c>
      <x:c r="U21" s="5" t="inlineStr">
        <x:is>
          <x:t xml:space="preserve">Окно Лэкок-Эбби как британская пара к окну Ньепса.</x:t>
        </x:is>
      </x:c>
      <x:c r="V21" s="5" t="inlineStr">
        <x:is>
          <x:t xml:space="preserve">#Talbot #окно #негатив #PL004</x:t>
        </x:is>
      </x:c>
      <x:c r="W21" s="5" t="inlineStr">
        <x:is>
          <x:t xml:space="preserve">Проверить источник для конкретной даты и объекта Oriel Window.</x:t>
        </x:is>
      </x:c>
      <x:c r="X21" t="inlineStr">
        <x:is>
          <x:t xml:space="preserve">51.4136, -2.118</x:t>
        </x:is>
      </x:c>
      <x:c r="Z21" t="inlineStr">
        <x:is>
          <x:t xml:space="preserve">Технология / процесс</x:t>
        </x:is>
      </x:c>
    </x:row>
    <x:row r="22" s="46" customFormat="1" ht="60" customHeight="1">
      <x:c r="A22" s="5" t="inlineStr">
        <x:is>
          <x:t xml:space="preserve">PL-HIST-0021</x:t>
        </x:is>
      </x:c>
      <x:c r="B22" s="5" t="inlineStr">
        <x:is>
          <x:t xml:space="preserve">1837</x:t>
        </x:is>
      </x:c>
      <x:c r="C22" s="5" t="inlineStr">
        <x:is>
          <x:t xml:space="preserve">год</x:t>
        </x:is>
      </x:c>
      <x:c r="D22" s="5" t="inlineStr">
        <x:is>
          <x:t xml:space="preserve">Франция</x:t>
        </x:is>
      </x:c>
      <x:c r="E22" s="5" t="inlineStr">
        <x:is>
          <x:t xml:space="preserve">Париж</x:t>
        </x:is>
      </x:c>
      <x:c r="F22" s="5" t="inlineStr">
        <x:is>
          <x:t xml:space="preserve">Луи Дагер</x:t>
        </x:is>
      </x:c>
      <x:c r="G22" s="5" t="inlineStr">
        <x:is>
          <x:t xml:space="preserve">Дагер получает более практичный прямой позитив на серебряной пластине и сокращает экспозицию по сравнению с Ньепсом.</x:t>
        </x:is>
      </x:c>
      <x:c r="H22" s="5" t="inlineStr">
        <x:is>
          <x:t xml:space="preserve">Дагеротип</x:t>
        </x:is>
      </x:c>
      <x:c r="I22" s="5" t="inlineStr">
        <x:is>
          <x:t xml:space="preserve">Silver-plated copper plate / direct positive</x:t>
        </x:is>
      </x:c>
      <x:c r="J22" s="5" t="inlineStr">
        <x:is>
          <x:t xml:space="preserve">Фотография становится резче, быстрее и технически убедительнее, но остаётся уникальным изображением.</x:t>
        </x:is>
      </x:c>
      <x:c r="K22" s="5" t="inlineStr">
        <x:is>
          <x:t xml:space="preserve">Niépce-Daguerre partnership</x:t>
        </x:is>
      </x:c>
      <x:c r="L22" s="5" t="inlineStr">
        <x:is>
          <x:t xml:space="preserve">1839 Académie announcement</x:t>
        </x:is>
      </x:c>
      <x:c r="M22" s="5" t="inlineStr">
        <x:is>
          <x:t xml:space="preserve">Исторически важная ограниченная ветка</x:t>
        </x:is>
      </x:c>
      <x:c r="N22" s="6" t="n">
        <x:v>4</x:v>
      </x:c>
      <x:c r="O22" s="5" t="inlineStr">
        <x:is>
          <x:t xml:space="preserve">PL-003</x:t>
        </x:is>
      </x:c>
      <x:c r="P22" s="5" t="inlineStr">
        <x:is>
          <x:t xml:space="preserve">SRC-013</x:t>
        </x:is>
      </x:c>
      <x:c r="Q22" s="5" t="inlineStr">
        <x:is>
          <x:t xml:space="preserve">The Met — Daguerre and the Invention of Photography</x:t>
        </x:is>
      </x:c>
      <x:c r="R22" s="5" t="inlineStr">
        <x:is>
          <x:t xml:space="preserve">https://www.metmuseum.org/essays/daguerre-1787-1851-and-the-invention-of-photography</x:t>
        </x:is>
      </x:c>
      <x:c r="S22" s="6" t="n">
        <x:v>3</x:v>
      </x:c>
      <x:c r="T22" s="5" t="inlineStr">
        <x:is>
          <x:t xml:space="preserve">В таблице фиксируем как техническую подготовку к публичному объявлению, но дату/детали уточнить.</x:t>
        </x:is>
      </x:c>
      <x:c r="U22" s="5" t="inlineStr">
        <x:is>
          <x:t xml:space="preserve">Металлическая пластина + резкое изображение.</x:t>
        </x:is>
      </x:c>
      <x:c r="V22" s="5" t="inlineStr">
        <x:is>
          <x:t xml:space="preserve">#Daguerre #дагеротип #PL003</x:t>
        </x:is>
      </x:c>
      <x:c r="W22" s="5" t="inlineStr">
        <x:is>
          <x:t xml:space="preserve">Уточнить первичный источник и дату 1837.</x:t>
        </x:is>
      </x:c>
      <x:c r="X22" t="inlineStr">
        <x:is>
          <x:t xml:space="preserve">48.8566, 2.3522</x:t>
        </x:is>
      </x:c>
      <x:c r="Z22" t="inlineStr">
        <x:is>
          <x:t xml:space="preserve">Технология / процесс</x:t>
        </x:is>
      </x:c>
      <x:c r="AA22" t="inlineStr">
        <x:is>
          <x:t xml:space="preserve">да</x:t>
        </x:is>
      </x:c>
    </x:row>
    <x:row r="23" s="46" customFormat="1" ht="40" customHeight="1">
      <x:c r="A23" s="5" t="inlineStr">
        <x:is>
          <x:t xml:space="preserve">PL-HIST-0022</x:t>
        </x:is>
      </x:c>
      <x:c r="B23" s="5" t="inlineStr">
        <x:is>
          <x:t xml:space="preserve">7 января 1839</x:t>
        </x:is>
      </x:c>
      <x:c r="C23" s="5" t="inlineStr">
        <x:is>
          <x:t xml:space="preserve">точная дата</x:t>
        </x:is>
      </x:c>
      <x:c r="D23" s="5" t="inlineStr">
        <x:is>
          <x:t xml:space="preserve">Франция</x:t>
        </x:is>
      </x:c>
      <x:c r="E23" s="5" t="inlineStr">
        <x:is>
          <x:t xml:space="preserve">Париж</x:t>
        </x:is>
      </x:c>
      <x:c r="F23" s="5" t="inlineStr">
        <x:is>
          <x:t xml:space="preserve">Франсуа Араго / Луи Дагер</x:t>
        </x:is>
      </x:c>
      <x:c r="G23" s="5" t="inlineStr">
        <x:is>
          <x:t xml:space="preserve">Французская Академия наук видит результаты процесса Дагера; фотография выходит в публичное научное поле.</x:t>
        </x:is>
      </x:c>
      <x:c r="H23" s="5" t="inlineStr">
        <x:is>
          <x:t xml:space="preserve">Дагеротип</x:t>
        </x:is>
      </x:c>
      <x:c r="I23" s="5" t="inlineStr">
        <x:is>
          <x:t xml:space="preserve">Daguerreotype</x:t>
        </x:is>
      </x:c>
      <x:c r="J23" s="5" t="inlineStr">
        <x:is>
          <x:t xml:space="preserve">Фотография перестаёт быть частной лабораторной тайной и становится событием культуры и науки.</x:t>
        </x:is>
      </x:c>
      <x:c r="K23" s="5" t="inlineStr">
        <x:is>
          <x:t xml:space="preserve">Daguerre's experiments</x:t>
        </x:is>
      </x:c>
      <x:c r="L23" s="5" t="inlineStr">
        <x:is>
          <x:t xml:space="preserve">19 August 1839 public disclosure</x:t>
        </x:is>
      </x:c>
      <x:c r="M23" s="5" t="inlineStr">
        <x:is>
          <x:t xml:space="preserve">Временная доминирующая линия</x:t>
        </x:is>
      </x:c>
      <x:c r="N23" s="6" t="n">
        <x:v>5</x:v>
      </x:c>
      <x:c r="O23" s="5" t="inlineStr">
        <x:is>
          <x:t xml:space="preserve">PL-003</x:t>
        </x:is>
      </x:c>
      <x:c r="P23" s="5" t="inlineStr">
        <x:is>
          <x:t xml:space="preserve">SRC-013</x:t>
        </x:is>
      </x:c>
      <x:c r="Q23" s="5" t="inlineStr">
        <x:is>
          <x:t xml:space="preserve">The Met — Daguerre and the Invention of Photography</x:t>
        </x:is>
      </x:c>
      <x:c r="R23" s="5" t="inlineStr">
        <x:is>
          <x:t xml:space="preserve">https://www.metmuseum.org/essays/daguerre-1787-1851-and-the-invention-of-photography</x:t>
        </x:is>
      </x:c>
      <x:c r="S23" s="6" t="n">
        <x:v>5</x:v>
      </x:c>
      <x:c r="T23" s="5" t="inlineStr">
        <x:is>
          <x:t xml:space="preserve">Это сильная сцена: не просто изобретение, а момент публичного признания.</x:t>
        </x:is>
      </x:c>
      <x:c r="U23" s="5" t="inlineStr">
        <x:is>
          <x:t xml:space="preserve">Париж, Академия наук, световая демонстрация.</x:t>
        </x:is>
      </x:c>
      <x:c r="V23" s="5" t="inlineStr">
        <x:is>
          <x:t xml:space="preserve">#Daguerre #Arago #Париж #PL003</x:t>
        </x:is>
      </x:c>
      <x:c r="W23" s="5" t="n"/>
      <x:c r="X23" t="inlineStr">
        <x:is>
          <x:t xml:space="preserve">48.8566, 2.3522</x:t>
        </x:is>
      </x:c>
      <x:c r="Y23" t="inlineStr">
        <x:is>
          <x:t xml:space="preserve">Дагеротип / публичное объявление</x:t>
        </x:is>
      </x:c>
      <x:c r="Z23" t="inlineStr">
        <x:is>
          <x:t xml:space="preserve">Публикация / объявление</x:t>
        </x:is>
      </x:c>
    </x:row>
    <x:row r="24" s="46" customFormat="1" ht="40" customHeight="1">
      <x:c r="A24" s="5" t="inlineStr">
        <x:is>
          <x:t xml:space="preserve">PL-HIST-0023</x:t>
        </x:is>
      </x:c>
      <x:c r="B24" s="5" t="inlineStr">
        <x:is>
          <x:t xml:space="preserve">19 августа 1839</x:t>
        </x:is>
      </x:c>
      <x:c r="C24" s="5" t="inlineStr">
        <x:is>
          <x:t xml:space="preserve">точная дата</x:t>
        </x:is>
      </x:c>
      <x:c r="D24" s="5" t="inlineStr">
        <x:is>
          <x:t xml:space="preserve">Франция</x:t>
        </x:is>
      </x:c>
      <x:c r="E24" s="5" t="inlineStr">
        <x:is>
          <x:t xml:space="preserve">Париж</x:t>
        </x:is>
      </x:c>
      <x:c r="F24" s="5" t="inlineStr">
        <x:is>
          <x:t xml:space="preserve">Луи Дагер / французское государство</x:t>
        </x:is>
      </x:c>
      <x:c r="G24" s="5" t="inlineStr">
        <x:is>
          <x:t xml:space="preserve">Процесс дагеротипии официально раскрывается публично; Франция фактически дарит процесс миру.</x:t>
        </x:is>
      </x:c>
      <x:c r="H24" s="5" t="inlineStr">
        <x:is>
          <x:t xml:space="preserve">Дагеротип</x:t>
        </x:is>
      </x:c>
      <x:c r="I24" s="5" t="inlineStr">
        <x:is>
          <x:t xml:space="preserve">Daguerreotype</x:t>
        </x:is>
      </x:c>
      <x:c r="J24" s="5" t="inlineStr">
        <x:is>
          <x:t xml:space="preserve">Дагеротип быстро распространяется по Европе и Америке как первый публично объявленный фотографический процесс.</x:t>
        </x:is>
      </x:c>
      <x:c r="K24" s="5" t="inlineStr">
        <x:is>
          <x:t xml:space="preserve">Academy announcement</x:t>
        </x:is>
      </x:c>
      <x:c r="L24" s="5" t="inlineStr">
        <x:is>
          <x:t xml:space="preserve">Daguerreotypomania and portrait studios</x:t>
        </x:is>
      </x:c>
      <x:c r="M24" s="5" t="inlineStr">
        <x:is>
          <x:t xml:space="preserve">Временная доминирующая линия</x:t>
        </x:is>
      </x:c>
      <x:c r="N24" s="6" t="n">
        <x:v>5</x:v>
      </x:c>
      <x:c r="O24" s="5" t="inlineStr">
        <x:is>
          <x:t xml:space="preserve">PL-003</x:t>
        </x:is>
      </x:c>
      <x:c r="P24" s="5" t="inlineStr">
        <x:is>
          <x:t xml:space="preserve">SRC-012</x:t>
        </x:is>
      </x:c>
      <x:c r="Q24" s="5" t="inlineStr">
        <x:is>
          <x:t xml:space="preserve">Harvard Library — History of Photography Timeline</x:t>
        </x:is>
      </x:c>
      <x:c r="R24" s="5" t="inlineStr">
        <x:is>
          <x:t xml:space="preserve">https://photographpreservationprogram.hsites.harvard.edu/harvards-history-photography-timeline-text-only</x:t>
        </x:is>
      </x:c>
      <x:c r="S24" s="6" t="n">
        <x:v>5</x:v>
      </x:c>
      <x:c r="T24" s="5" t="inlineStr">
        <x:is>
          <x:t xml:space="preserve">В уроке: 1839 — год, когда фотография стала общественным событием.</x:t>
        </x:is>
      </x:c>
      <x:c r="U24" s="5" t="inlineStr">
        <x:is>
          <x:t xml:space="preserve">Большая точка на Париже и расходящиеся линии по миру.</x:t>
        </x:is>
      </x:c>
      <x:c r="V24" s="5" t="inlineStr">
        <x:is>
          <x:t xml:space="preserve">#1839 #Daguerre #Франция #распространение</x:t>
        </x:is>
      </x:c>
      <x:c r="W24" s="5" t="n"/>
      <x:c r="X24" t="inlineStr">
        <x:is>
          <x:t xml:space="preserve">48.8566, 2.3522</x:t>
        </x:is>
      </x:c>
      <x:c r="Y24" t="inlineStr">
        <x:is>
          <x:t xml:space="preserve">Дагеротип / распространение</x:t>
        </x:is>
      </x:c>
      <x:c r="Z24" t="inlineStr">
        <x:is>
          <x:t xml:space="preserve">Публикация / объявление</x:t>
        </x:is>
      </x:c>
    </x:row>
    <x:row r="25" s="46" customFormat="1" ht="60" customHeight="1">
      <x:c r="A25" s="5" t="inlineStr">
        <x:is>
          <x:t xml:space="preserve">PL-HIST-0024</x:t>
        </x:is>
      </x:c>
      <x:c r="B25" s="5" t="inlineStr">
        <x:is>
          <x:t xml:space="preserve">1839</x:t>
        </x:is>
      </x:c>
      <x:c r="C25" s="5" t="inlineStr">
        <x:is>
          <x:t xml:space="preserve">год</x:t>
        </x:is>
      </x:c>
      <x:c r="D25" s="5" t="inlineStr">
        <x:is>
          <x:t xml:space="preserve">Великобритания</x:t>
        </x:is>
      </x:c>
      <x:c r="E25" s="5" t="inlineStr">
        <x:is>
          <x:t xml:space="preserve">Лондон</x:t>
        </x:is>
      </x:c>
      <x:c r="F25" s="5" t="inlineStr">
        <x:is>
          <x:t xml:space="preserve">Уильям Генри Фокс Тальбот</x:t>
        </x:is>
      </x:c>
      <x:c r="G25" s="5" t="inlineStr">
        <x:is>
          <x:t xml:space="preserve">Публикует «Some Account of the Art of Photogenic Drawing», представляя свой процесс.</x:t>
        </x:is>
      </x:c>
      <x:c r="H25" s="5" t="inlineStr">
        <x:is>
          <x:t xml:space="preserve">Фотогенный рисунок / фотограмма</x:t>
        </x:is>
      </x:c>
      <x:c r="I25" s="5" t="inlineStr">
        <x:is>
          <x:t xml:space="preserve">Photogenic drawing</x:t>
        </x:is>
      </x:c>
      <x:c r="J25" s="5" t="inlineStr">
        <x:is>
          <x:t xml:space="preserve">Британская линия заявляет о себе почти одновременно с французской, показывая параллельность изобретения фотографии.</x:t>
        </x:is>
      </x:c>
      <x:c r="K25" s="5" t="inlineStr">
        <x:is>
          <x:t xml:space="preserve">1834–1835 experiments</x:t>
        </x:is>
      </x:c>
      <x:c r="L25" s="5" t="inlineStr">
        <x:is>
          <x:t xml:space="preserve">Calotype patent 1841</x:t>
        </x:is>
      </x:c>
      <x:c r="M25" s="5" t="inlineStr">
        <x:is>
          <x:t xml:space="preserve">Главная линия</x:t>
        </x:is>
      </x:c>
      <x:c r="N25" s="6" t="n">
        <x:v>5</x:v>
      </x:c>
      <x:c r="O25" s="5" t="inlineStr">
        <x:is>
          <x:t xml:space="preserve">PL-004</x:t>
        </x:is>
      </x:c>
      <x:c r="P25" s="5" t="inlineStr">
        <x:is>
          <x:t xml:space="preserve">SRC-012</x:t>
        </x:is>
      </x:c>
      <x:c r="Q25" s="5" t="inlineStr">
        <x:is>
          <x:t xml:space="preserve">Harvard Library — History of Photography Timeline</x:t>
        </x:is>
      </x:c>
      <x:c r="R25" s="5" t="inlineStr">
        <x:is>
          <x:t xml:space="preserve">https://photographpreservationprogram.hsites.harvard.edu/harvards-history-photography-timeline-text-only</x:t>
        </x:is>
      </x:c>
      <x:c r="S25" s="6" t="n">
        <x:v>5</x:v>
      </x:c>
      <x:c r="T25" s="5" t="inlineStr">
        <x:is>
          <x:t xml:space="preserve">Идеально для объяснения: Франция дала резкость и публичный эффект, Британия — логику копии.</x:t>
        </x:is>
      </x:c>
      <x:c r="U25" s="5" t="inlineStr">
        <x:is>
          <x:t xml:space="preserve">Две линии на карте: Париж и Лондон одновременно загораются в 1839.</x:t>
        </x:is>
      </x:c>
      <x:c r="V25" s="5" t="inlineStr">
        <x:is>
          <x:t xml:space="preserve">#Talbot #1839 #PL004</x:t>
        </x:is>
      </x:c>
      <x:c r="W25" s="5" t="n"/>
      <x:c r="X25" t="inlineStr">
        <x:is>
          <x:t xml:space="preserve">51.5074, -0.1278</x:t>
        </x:is>
      </x:c>
      <x:c r="Y25" t="inlineStr">
        <x:is>
          <x:t xml:space="preserve">Фотогенный рисунок / публикация</x:t>
        </x:is>
      </x:c>
      <x:c r="Z25" t="inlineStr">
        <x:is>
          <x:t xml:space="preserve">Публикация / объявление</x:t>
        </x:is>
      </x:c>
    </x:row>
    <x:row r="26" s="46" customFormat="1" ht="60" customHeight="1">
      <x:c r="A26" s="5" t="inlineStr">
        <x:is>
          <x:t xml:space="preserve">PL-HIST-0025</x:t>
        </x:is>
      </x:c>
      <x:c r="B26" s="5" t="inlineStr">
        <x:is>
          <x:t xml:space="preserve">1839</x:t>
        </x:is>
      </x:c>
      <x:c r="C26" s="5" t="inlineStr">
        <x:is>
          <x:t xml:space="preserve">год</x:t>
        </x:is>
      </x:c>
      <x:c r="D26" s="5" t="inlineStr">
        <x:is>
          <x:t xml:space="preserve">Великобритания</x:t>
        </x:is>
      </x:c>
      <x:c r="E26" s="5" t="inlineStr">
        <x:is>
          <x:t xml:space="preserve">Лондон / Slough</x:t>
        </x:is>
      </x:c>
      <x:c r="F26" s="5" t="inlineStr">
        <x:is>
          <x:t xml:space="preserve">Джон Фредерик Уильям Гершель</x:t>
        </x:is>
      </x:c>
      <x:c r="G26" s="5" t="inlineStr">
        <x:is>
          <x:t xml:space="preserve">Предлагает использовать hyposulphite of soda как фиксирующее средство для серебряных фотографий.</x:t>
        </x:is>
      </x:c>
      <x:c r="H26" s="5" t="inlineStr">
        <x:is>
          <x:t xml:space="preserve">Фиксаж / терминология</x:t>
        </x:is>
      </x:c>
      <x:c r="I26" s="5" t="inlineStr">
        <x:is>
          <x:t xml:space="preserve">Hypo / sodium thiosulfate fixer</x:t>
        </x:is>
      </x:c>
      <x:c r="J26" s="5" t="inlineStr">
        <x:is>
          <x:t xml:space="preserve">Фотография становится практически долговечной: изображение можно остановить от дальнейшего действия света.</x:t>
        </x:is>
      </x:c>
      <x:c r="K26" s="5" t="inlineStr">
        <x:is>
          <x:t xml:space="preserve">Silver-salt image instability</x:t>
        </x:is>
      </x:c>
      <x:c r="L26" s="5" t="inlineStr">
        <x:is>
          <x:t xml:space="preserve">Stable calotypes and later silver processes</x:t>
        </x:is>
      </x:c>
      <x:c r="M26" s="5" t="inlineStr">
        <x:is>
          <x:t xml:space="preserve">Главная линия</x:t>
        </x:is>
      </x:c>
      <x:c r="N26" s="6" t="n">
        <x:v>5</x:v>
      </x:c>
      <x:c r="O26" s="5" t="inlineStr">
        <x:is>
          <x:t xml:space="preserve">PL-004</x:t>
        </x:is>
      </x:c>
      <x:c r="P26" s="5" t="inlineStr">
        <x:is>
          <x:t xml:space="preserve">SRC-016</x:t>
        </x:is>
      </x:c>
      <x:c r="Q26" s="5" t="inlineStr">
        <x:is>
          <x:t xml:space="preserve">The Met — William Henry Fox Talbot</x:t>
        </x:is>
      </x:c>
      <x:c r="R26" s="5" t="inlineStr">
        <x:is>
          <x:t xml:space="preserve">https://www.metmuseum.org/essays/william-henry-fox-talbot-1800-1877-and-the-invention-of-photography</x:t>
        </x:is>
      </x:c>
      <x:c r="S26" s="6" t="n">
        <x:v>5</x:v>
      </x:c>
      <x:c r="T26" s="5" t="inlineStr">
        <x:is>
          <x:t xml:space="preserve">Сильный смысл: фотография — это не только камера, но и умение остановить свет.</x:t>
        </x:is>
      </x:c>
      <x:c r="U26" s="5" t="inlineStr">
        <x:is>
          <x:t xml:space="preserve">Иконка замка/стоп-символа на изображении.</x:t>
        </x:is>
      </x:c>
      <x:c r="V26" s="5" t="inlineStr">
        <x:is>
          <x:t xml:space="preserve">#Herschel #фиксаж #hypo</x:t>
        </x:is>
      </x:c>
      <x:c r="W26" s="5" t="n"/>
      <x:c r="X26" t="inlineStr">
        <x:is>
          <x:t xml:space="preserve">51.5074, -0.1278</x:t>
        </x:is>
      </x:c>
      <x:c r="Z26" t="inlineStr">
        <x:is>
          <x:t xml:space="preserve">Технология / процесс</x:t>
        </x:is>
      </x:c>
    </x:row>
    <x:row r="27" s="46" customFormat="1" ht="60" customHeight="1">
      <x:c r="A27" s="5" t="inlineStr">
        <x:is>
          <x:t xml:space="preserve">PL-HIST-0026</x:t>
        </x:is>
      </x:c>
      <x:c r="B27" s="5" t="inlineStr">
        <x:is>
          <x:t xml:space="preserve">1839</x:t>
        </x:is>
      </x:c>
      <x:c r="C27" s="5" t="inlineStr">
        <x:is>
          <x:t xml:space="preserve">год</x:t>
        </x:is>
      </x:c>
      <x:c r="D27" s="5" t="inlineStr">
        <x:is>
          <x:t xml:space="preserve">Великобритания</x:t>
        </x:is>
      </x:c>
      <x:c r="E27" s="5" t="inlineStr">
        <x:is>
          <x:t xml:space="preserve">Лондон</x:t>
        </x:is>
      </x:c>
      <x:c r="F27" s="5" t="inlineStr">
        <x:is>
          <x:t xml:space="preserve">Джон Фредерик Уильям Гершель</x:t>
        </x:is>
      </x:c>
      <x:c r="G27" s="5" t="inlineStr">
        <x:is>
          <x:t xml:space="preserve">Вводит/закрепляет термины «photography», «negative» и «positive» в ранней фотографической культуре.</x:t>
        </x:is>
      </x:c>
      <x:c r="H27" s="5" t="inlineStr">
        <x:is>
          <x:t xml:space="preserve">Фиксаж / терминология</x:t>
        </x:is>
      </x:c>
      <x:c r="I27" s="5" t="inlineStr">
        <x:is>
          <x:t xml:space="preserve">Photographic terminology</x:t>
        </x:is>
      </x:c>
      <x:c r="J27" s="5" t="inlineStr">
        <x:is>
          <x:t xml:space="preserve">Язык фотографии формируется: появляются термины, без которых невозможно объяснить негативно-позитивный процесс.</x:t>
        </x:is>
      </x:c>
      <x:c r="K27" s="5" t="inlineStr">
        <x:is>
          <x:t xml:space="preserve">Talbot's paper negatives and photogenic drawings</x:t>
        </x:is>
      </x:c>
      <x:c r="L27" s="5" t="inlineStr">
        <x:is>
          <x:t xml:space="preserve">Calotype and photographic vocabulary</x:t>
        </x:is>
      </x:c>
      <x:c r="M27" s="5" t="inlineStr">
        <x:is>
          <x:t xml:space="preserve">Главная линия</x:t>
        </x:is>
      </x:c>
      <x:c r="N27" s="6" t="n">
        <x:v>4</x:v>
      </x:c>
      <x:c r="O27" s="5" t="inlineStr">
        <x:is>
          <x:t xml:space="preserve">PL-004</x:t>
        </x:is>
      </x:c>
      <x:c r="P27" s="5" t="inlineStr">
        <x:is>
          <x:t xml:space="preserve">SRC-017</x:t>
        </x:is>
      </x:c>
      <x:c r="Q27" s="5" t="inlineStr">
        <x:is>
          <x:t xml:space="preserve">Getty — Sir John F. W. Herschel</x:t>
        </x:is>
      </x:c>
      <x:c r="R27" s="5" t="inlineStr">
        <x:is>
          <x:t xml:space="preserve">https://www.getty.edu/art/collection/person/103KHK</x:t>
        </x:is>
      </x:c>
      <x:c r="S27" s="6" t="n">
        <x:v>4</x:v>
      </x:c>
      <x:c r="T27" s="5" t="inlineStr">
        <x:is>
          <x:t xml:space="preserve">Можно сделать мини-вставку: терминология — это тоже технология понимания.</x:t>
        </x:is>
      </x:c>
      <x:c r="U27" s="5" t="inlineStr">
        <x:is>
          <x:t xml:space="preserve">Карточка слов: PHOTOGRAPHY / NEGATIVE / POSITIVE.</x:t>
        </x:is>
      </x:c>
      <x:c r="V27" s="5" t="inlineStr">
        <x:is>
          <x:t xml:space="preserve">#Herschel #термины #negative #positive</x:t>
        </x:is>
      </x:c>
      <x:c r="W27" s="5" t="inlineStr">
        <x:is>
          <x:t xml:space="preserve">Уточнить первичные даты употребления терминов в письмах/докладах.</x:t>
        </x:is>
      </x:c>
      <x:c r="X27" t="inlineStr">
        <x:is>
          <x:t xml:space="preserve">51.5074, -0.1278</x:t>
        </x:is>
      </x:c>
      <x:c r="Z27" t="inlineStr">
        <x:is>
          <x:t xml:space="preserve">Терминология / язык</x:t>
        </x:is>
      </x:c>
    </x:row>
    <x:row r="28" s="46" customFormat="1" ht="40" customHeight="1">
      <x:c r="A28" s="5" t="inlineStr">
        <x:is>
          <x:t xml:space="preserve">PL-HIST-0027</x:t>
        </x:is>
      </x:c>
      <x:c r="B28" s="5" t="inlineStr">
        <x:is>
          <x:t xml:space="preserve">1839–1840</x:t>
        </x:is>
      </x:c>
      <x:c r="C28" s="5" t="inlineStr">
        <x:is>
          <x:t xml:space="preserve">диапазон</x:t>
        </x:is>
      </x:c>
      <x:c r="D28" s="5" t="inlineStr">
        <x:is>
          <x:t xml:space="preserve">Франция</x:t>
        </x:is>
      </x:c>
      <x:c r="E28" s="5" t="inlineStr">
        <x:is>
          <x:t xml:space="preserve">Париж</x:t>
        </x:is>
      </x:c>
      <x:c r="F28" s="5" t="inlineStr">
        <x:is>
          <x:t xml:space="preserve">Ипполит Байяр</x:t>
        </x:is>
      </x:c>
      <x:c r="G28" s="5" t="inlineStr">
        <x:is>
          <x:t xml:space="preserve">Разрабатывает прямой позитивный процесс на бумаге, но оказывается в тени Дагера и Тальбота.</x:t>
        </x:is>
      </x:c>
      <x:c r="H28" s="5" t="inlineStr">
        <x:is>
          <x:t xml:space="preserve">Уникальный позитив</x:t>
        </x:is>
      </x:c>
      <x:c r="I28" s="5" t="inlineStr">
        <x:is>
          <x:t xml:space="preserve">Direct positive paper process</x:t>
        </x:is>
      </x:c>
      <x:c r="J28" s="5" t="inlineStr">
        <x:is>
          <x:t xml:space="preserve">Показывает, что история фотографии была многоголосой: не все ветки получили признание и масштаб.</x:t>
        </x:is>
      </x:c>
      <x:c r="K28" s="5" t="inlineStr">
        <x:is>
          <x:t xml:space="preserve">French early photographic experiments</x:t>
        </x:is>
      </x:c>
      <x:c r="L28" s="5" t="inlineStr">
        <x:is>
          <x:t xml:space="preserve">Bayard's staged self-portrait and later history</x:t>
        </x:is>
      </x:c>
      <x:c r="M28" s="5" t="inlineStr">
        <x:is>
          <x:t xml:space="preserve">Исторически важная ограниченная ветка</x:t>
        </x:is>
      </x:c>
      <x:c r="N28" s="6" t="n">
        <x:v>3</x:v>
      </x:c>
      <x:c r="O28" s="5" t="inlineStr">
        <x:is>
          <x:t xml:space="preserve">межурочный узел</x:t>
        </x:is>
      </x:c>
      <x:c r="P28" s="5" t="inlineStr">
        <x:is>
          <x:t xml:space="preserve">SRC-017</x:t>
        </x:is>
      </x:c>
      <x:c r="Q28" s="5" t="inlineStr">
        <x:is>
          <x:t xml:space="preserve">Getty — Sir John F. W. Herschel</x:t>
        </x:is>
      </x:c>
      <x:c r="R28" s="5" t="inlineStr">
        <x:is>
          <x:t xml:space="preserve">https://www.getty.edu/art/collection/person/103KHK</x:t>
        </x:is>
      </x:c>
      <x:c r="S28" s="6" t="n">
        <x:v>3</x:v>
      </x:c>
      <x:c r="T28" s="5" t="inlineStr">
        <x:is>
          <x:t xml:space="preserve">Можно использовать как сюжет о несправедливости истории и «забытых изобретателях».</x:t>
        </x:is>
      </x:c>
      <x:c r="U28" s="5" t="inlineStr">
        <x:is>
          <x:t xml:space="preserve">Пунктирная ветка от Парижа, уходящая в сторону.</x:t>
        </x:is>
      </x:c>
      <x:c r="V28" s="5" t="inlineStr">
        <x:is>
          <x:t xml:space="preserve">#Bayard #direct-positive #забытые</x:t>
        </x:is>
      </x:c>
      <x:c r="W28" s="5" t="inlineStr">
        <x:is>
          <x:t xml:space="preserve">Найти лучший источник именно по процессу Байяра, не только биографию Getty.</x:t>
        </x:is>
      </x:c>
      <x:c r="X28" t="inlineStr">
        <x:is>
          <x:t xml:space="preserve">48.8566, 2.3522</x:t>
        </x:is>
      </x:c>
      <x:c r="Z28" t="inlineStr">
        <x:is>
          <x:t xml:space="preserve">Технология / процесс</x:t>
        </x:is>
      </x:c>
    </x:row>
    <x:row r="29" s="46" customFormat="1" ht="60" customHeight="1">
      <x:c r="A29" s="5" t="inlineStr">
        <x:is>
          <x:t xml:space="preserve">PL-HIST-0028</x:t>
        </x:is>
      </x:c>
      <x:c r="B29" s="5" t="inlineStr">
        <x:is>
          <x:t xml:space="preserve">1838</x:t>
        </x:is>
      </x:c>
      <x:c r="C29" s="5" t="inlineStr">
        <x:is>
          <x:t xml:space="preserve">год</x:t>
        </x:is>
      </x:c>
      <x:c r="D29" s="5" t="inlineStr">
        <x:is>
          <x:t xml:space="preserve">Великобритания</x:t>
        </x:is>
      </x:c>
      <x:c r="E29" s="5" t="inlineStr">
        <x:is>
          <x:t xml:space="preserve">Лондон</x:t>
        </x:is>
      </x:c>
      <x:c r="F29" s="5" t="inlineStr">
        <x:is>
          <x:t xml:space="preserve">Чарльз Уитстон</x:t>
        </x:is>
      </x:c>
      <x:c r="G29" s="5" t="inlineStr">
        <x:is>
          <x:t xml:space="preserve">Представляет стереоскоп и демонстрирует принцип бинокулярного зрения.</x:t>
        </x:is>
      </x:c>
      <x:c r="H29" s="5" t="inlineStr">
        <x:is>
          <x:t xml:space="preserve">Оптические инструменты</x:t>
        </x:is>
      </x:c>
      <x:c r="I29" s="5" t="inlineStr">
        <x:is>
          <x:t xml:space="preserve">Stereoscope</x:t>
        </x:is>
      </x:c>
      <x:c r="J29" s="5" t="inlineStr">
        <x:is>
          <x:t xml:space="preserve">Пока ещё не фотографическая технология, но позже стереофотография станет массовой формой визуального опыта.</x:t>
        </x:is>
      </x:c>
      <x:c r="K29" s="5" t="inlineStr">
        <x:is>
          <x:t xml:space="preserve">Optics of vision</x:t>
        </x:is>
      </x:c>
      <x:c r="L29" s="5" t="inlineStr">
        <x:is>
          <x:t xml:space="preserve">Photographic stereographs in the 1850s</x:t>
        </x:is>
      </x:c>
      <x:c r="M29" s="5" t="inlineStr">
        <x:is>
          <x:t xml:space="preserve">Оптическая предпосылка</x:t>
        </x:is>
      </x:c>
      <x:c r="N29" s="6" t="n">
        <x:v>3</x:v>
      </x:c>
      <x:c r="O29" s="5" t="inlineStr">
        <x:is>
          <x:t xml:space="preserve">будущие PL</x:t>
        </x:is>
      </x:c>
      <x:c r="P29" s="5" t="inlineStr">
        <x:is>
          <x:t xml:space="preserve">SRC-024</x:t>
        </x:is>
      </x:c>
      <x:c r="Q29" s="5" t="inlineStr">
        <x:is>
          <x:t xml:space="preserve">Royal Society / Google Arts &amp; Culture — Stereoscopy</x:t>
        </x:is>
      </x:c>
      <x:c r="R29" s="5" t="inlineStr">
        <x:is>
          <x:t xml:space="preserve">https://artsandculture.google.com/story/stereoscopy-the-birth-of-3d-technology-the-royal-society/pwWRTNS-hqDN5g</x:t>
        </x:is>
      </x:c>
      <x:c r="S29" s="6" t="n">
        <x:v>4</x:v>
      </x:c>
      <x:c r="T29" s="5" t="inlineStr">
        <x:is>
          <x:t xml:space="preserve">Этот узел лучше оставить для будущего раздела о 3D/стереофотографии.</x:t>
        </x:is>
      </x:c>
      <x:c r="U29" s="5" t="inlineStr">
        <x:is>
          <x:t xml:space="preserve">Иконка двух глаз / двух изображений.</x:t>
        </x:is>
      </x:c>
      <x:c r="V29" s="5" t="inlineStr">
        <x:is>
          <x:t xml:space="preserve">#стереоскоп #Wheatstone #3D</x:t>
        </x:is>
      </x:c>
      <x:c r="W29" s="5" t="n"/>
      <x:c r="X29" t="inlineStr">
        <x:is>
          <x:t xml:space="preserve">51.5074, -0.1278</x:t>
        </x:is>
      </x:c>
      <x:c r="Y29" t="inlineStr">
        <x:is>
          <x:t xml:space="preserve">Оптические инструменты / 3D</x:t>
        </x:is>
      </x:c>
      <x:c r="Z29" t="inlineStr">
        <x:is>
          <x:t xml:space="preserve">Инструмент / устройство</x:t>
        </x:is>
      </x:c>
    </x:row>
    <x:row r="30" s="46" customFormat="1" ht="60" customHeight="1">
      <x:c r="A30" s="5" t="inlineStr">
        <x:is>
          <x:t xml:space="preserve">PL-HIST-0029</x:t>
        </x:is>
      </x:c>
      <x:c r="B30" s="5" t="inlineStr">
        <x:is>
          <x:t xml:space="preserve">1840</x:t>
        </x:is>
      </x:c>
      <x:c r="C30" s="5" t="inlineStr">
        <x:is>
          <x:t xml:space="preserve">год</x:t>
        </x:is>
      </x:c>
      <x:c r="D30" s="5" t="inlineStr">
        <x:is>
          <x:t xml:space="preserve">Великобритания</x:t>
        </x:is>
      </x:c>
      <x:c r="E30" s="5" t="inlineStr">
        <x:is>
          <x:t xml:space="preserve">Лэкок-Эбби</x:t>
        </x:is>
      </x:c>
      <x:c r="F30" s="5" t="inlineStr">
        <x:is>
          <x:t xml:space="preserve">Уильям Генри Фокс Тальбот</x:t>
        </x:is>
      </x:c>
      <x:c r="G30" s="5" t="inlineStr">
        <x:is>
          <x:t xml:space="preserve">Обнаруживает латентное изображение и проявление галловой кислотой: секунды экспозиции дают скрытый след, который можно проявить.</x:t>
        </x:is>
      </x:c>
      <x:c r="H30" s="5" t="inlineStr">
        <x:is>
          <x:t xml:space="preserve">Негатив-позитив</x:t>
        </x:is>
      </x:c>
      <x:c r="I30" s="5" t="inlineStr">
        <x:is>
          <x:t xml:space="preserve">Latent image development</x:t>
        </x:is>
      </x:c>
      <x:c r="J30" s="5" t="inlineStr">
        <x:is>
          <x:t xml:space="preserve">Это резко ускоряет бумажную фотографию: теперь не нужно ждать видимого потемнения во время экспозиции.</x:t>
        </x:is>
      </x:c>
      <x:c r="K30" s="5" t="inlineStr">
        <x:is>
          <x:t xml:space="preserve">Photogenic drawing and camera negatives</x:t>
        </x:is>
      </x:c>
      <x:c r="L30" s="5" t="inlineStr">
        <x:is>
          <x:t xml:space="preserve">Calotype patent 1841</x:t>
        </x:is>
      </x:c>
      <x:c r="M30" s="5" t="inlineStr">
        <x:is>
          <x:t xml:space="preserve">Главная линия</x:t>
        </x:is>
      </x:c>
      <x:c r="N30" s="6" t="n">
        <x:v>5</x:v>
      </x:c>
      <x:c r="O30" s="5" t="inlineStr">
        <x:is>
          <x:t xml:space="preserve">PL-004</x:t>
        </x:is>
      </x:c>
      <x:c r="P30" s="5" t="inlineStr">
        <x:is>
          <x:t xml:space="preserve">SRC-016</x:t>
        </x:is>
      </x:c>
      <x:c r="Q30" s="5" t="inlineStr">
        <x:is>
          <x:t xml:space="preserve">The Met — William Henry Fox Talbot</x:t>
        </x:is>
      </x:c>
      <x:c r="R30" s="5" t="inlineStr">
        <x:is>
          <x:t xml:space="preserve">https://www.metmuseum.org/essays/william-henry-fox-talbot-1800-1877-and-the-invention-of-photography</x:t>
        </x:is>
      </x:c>
      <x:c r="S30" s="6" t="n">
        <x:v>5</x:v>
      </x:c>
      <x:c r="T30" s="5" t="inlineStr">
        <x:is>
          <x:t xml:space="preserve">Для новичка: фотография научилась работать со скрытым изображением.</x:t>
        </x:is>
      </x:c>
      <x:c r="U30" s="5" t="inlineStr">
        <x:is>
          <x:t xml:space="preserve">Схема: невидимый след → проявитель → появляется картинка.</x:t>
        </x:is>
      </x:c>
      <x:c r="V30" s="5" t="inlineStr">
        <x:is>
          <x:t xml:space="preserve">#latent-image #Talbot #PL004</x:t>
        </x:is>
      </x:c>
      <x:c r="W30" s="5" t="n"/>
      <x:c r="X30" t="inlineStr">
        <x:is>
          <x:t xml:space="preserve">51.4136, -2.118</x:t>
        </x:is>
      </x:c>
      <x:c r="Y30" t="inlineStr">
        <x:is>
          <x:t xml:space="preserve">Негатив-позитив / проявление</x:t>
        </x:is>
      </x:c>
      <x:c r="Z30" t="inlineStr">
        <x:is>
          <x:t xml:space="preserve">Технология / процесс</x:t>
        </x:is>
      </x:c>
    </x:row>
    <x:row r="31" s="46" customFormat="1" ht="80" customHeight="1">
      <x:c r="A31" s="5" t="inlineStr">
        <x:is>
          <x:t xml:space="preserve">PL-HIST-0030</x:t>
        </x:is>
      </x:c>
      <x:c r="B31" s="5" t="inlineStr">
        <x:is>
          <x:t xml:space="preserve">1840</x:t>
        </x:is>
      </x:c>
      <x:c r="C31" s="5" t="inlineStr">
        <x:is>
          <x:t xml:space="preserve">год</x:t>
        </x:is>
      </x:c>
      <x:c r="D31" s="5" t="inlineStr">
        <x:is>
          <x:t xml:space="preserve">США</x:t>
        </x:is>
      </x:c>
      <x:c r="E31" s="5" t="inlineStr">
        <x:is>
          <x:t xml:space="preserve">Нью-Йорк</x:t>
        </x:is>
      </x:c>
      <x:c r="F31" s="5" t="inlineStr">
        <x:is>
          <x:t xml:space="preserve">Джон Уильям Дрейпер</x:t>
        </x:is>
      </x:c>
      <x:c r="G31" s="5" t="inlineStr">
        <x:is>
          <x:t xml:space="preserve">Делает ранние научные дагеротипы, включая одну из первых фотографий Луны.</x:t>
        </x:is>
      </x:c>
      <x:c r="H31" s="5" t="inlineStr">
        <x:is>
          <x:t xml:space="preserve">Дагеротип</x:t>
        </x:is>
      </x:c>
      <x:c r="I31" s="5" t="inlineStr">
        <x:is>
          <x:t xml:space="preserve">Daguerreotype for astronomy</x:t>
        </x:is>
      </x:c>
      <x:c r="J31" s="5" t="inlineStr">
        <x:is>
          <x:t xml:space="preserve">Фотография быстро выходит за пределы портрета и становится научным инструментом.</x:t>
        </x:is>
      </x:c>
      <x:c r="K31" s="5" t="inlineStr">
        <x:is>
          <x:t xml:space="preserve">Daguerreotype public disclosure</x:t>
        </x:is>
      </x:c>
      <x:c r="L31" s="5" t="inlineStr">
        <x:is>
          <x:t xml:space="preserve">Astronomical and scientific photography</x:t>
        </x:is>
      </x:c>
      <x:c r="M31" s="5" t="inlineStr">
        <x:is>
          <x:t xml:space="preserve">Главная линия</x:t>
        </x:is>
      </x:c>
      <x:c r="N31" s="6" t="n">
        <x:v>3</x:v>
      </x:c>
      <x:c r="O31" s="5" t="inlineStr">
        <x:is>
          <x:t xml:space="preserve">будущие PL</x:t>
        </x:is>
      </x:c>
      <x:c r="P31" s="5" t="inlineStr">
        <x:is>
          <x:t xml:space="preserve">SRC-012</x:t>
        </x:is>
      </x:c>
      <x:c r="Q31" s="5" t="inlineStr">
        <x:is>
          <x:t xml:space="preserve">Harvard Library — History of Photography Timeline</x:t>
        </x:is>
      </x:c>
      <x:c r="R31" s="5" t="inlineStr">
        <x:is>
          <x:t xml:space="preserve">https://photographpreservationprogram.hsites.harvard.edu/harvards-history-photography-timeline-text-only</x:t>
        </x:is>
      </x:c>
      <x:c r="S31" s="6" t="n">
        <x:v>3</x:v>
      </x:c>
      <x:c r="T31" s="5" t="inlineStr">
        <x:is>
          <x:t xml:space="preserve">Будущий узел для урока о научной фотографии.</x:t>
        </x:is>
      </x:c>
      <x:c r="U31" s="5" t="inlineStr">
        <x:is>
          <x:t xml:space="preserve">Линия Париж → Нью-Йорк + Луна.</x:t>
        </x:is>
      </x:c>
      <x:c r="V31" s="5" t="inlineStr">
        <x:is>
          <x:t xml:space="preserve">#Draper #астрономия #научнаяфотография</x:t>
        </x:is>
      </x:c>
      <x:c r="W31" s="5" t="inlineStr">
        <x:is>
      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      </x:is>
      </x:c>
      <x:c r="X31" t="inlineStr">
        <x:is>
          <x:t xml:space="preserve">40.7128, -74.006</x:t>
        </x:is>
      </x:c>
      <x:c r="Y31" t="inlineStr">
        <x:is>
          <x:t xml:space="preserve">Научная фотография</x:t>
        </x:is>
      </x:c>
      <x:c r="Z31" t="inlineStr">
        <x:is>
          <x:t xml:space="preserve">Научное применение / пример</x:t>
        </x:is>
      </x:c>
    </x:row>
    <x:row r="32" s="46" customFormat="1" ht="40" customHeight="1">
      <x:c r="A32" s="5" t="inlineStr">
        <x:is>
          <x:t xml:space="preserve">PL-HIST-0031</x:t>
        </x:is>
      </x:c>
      <x:c r="B32" s="5" t="inlineStr">
        <x:is>
          <x:t xml:space="preserve">1841</x:t>
        </x:is>
      </x:c>
      <x:c r="C32" s="5" t="inlineStr">
        <x:is>
          <x:t xml:space="preserve">год</x:t>
        </x:is>
      </x:c>
      <x:c r="D32" s="5" t="inlineStr">
        <x:is>
          <x:t xml:space="preserve">Великобритания</x:t>
        </x:is>
      </x:c>
      <x:c r="E32" s="5" t="inlineStr">
        <x:is>
          <x:t xml:space="preserve">Лондон / Лэкок-Эбби</x:t>
        </x:is>
      </x:c>
      <x:c r="F32" s="5" t="inlineStr">
        <x:is>
          <x:t xml:space="preserve">Уильям Генри Фокс Тальбот</x:t>
        </x:is>
      </x:c>
      <x:c r="G32" s="5" t="inlineStr">
        <x:is>
          <x:t xml:space="preserve">Патентует калотип: усовершенствованный негативно-позитивный процесс на бумаге.</x:t>
        </x:is>
      </x:c>
      <x:c r="H32" s="5" t="inlineStr">
        <x:is>
          <x:t xml:space="preserve">Негатив-позитив</x:t>
        </x:is>
      </x:c>
      <x:c r="I32" s="5" t="inlineStr">
        <x:is>
          <x:t xml:space="preserve">Calotype / Talbotype</x:t>
        </x:is>
      </x:c>
      <x:c r="J32" s="5" t="inlineStr">
        <x:is>
          <x:t xml:space="preserve">Появляется фундаментальная логика фотографии: один негатив может дать много позитивных отпечатков.</x:t>
        </x:is>
      </x:c>
      <x:c r="K32" s="5" t="inlineStr">
        <x:is>
          <x:t xml:space="preserve">Latent image development 1840</x:t>
        </x:is>
      </x:c>
      <x:c r="L32" s="5" t="inlineStr">
        <x:is>
          <x:t xml:space="preserve">Salted paper prints and The Pencil of Nature</x:t>
        </x:is>
      </x:c>
      <x:c r="M32" s="5" t="inlineStr">
        <x:is>
          <x:t xml:space="preserve">Главная линия</x:t>
        </x:is>
      </x:c>
      <x:c r="N32" s="6" t="n">
        <x:v>5</x:v>
      </x:c>
      <x:c r="O32" s="5" t="inlineStr">
        <x:is>
          <x:t xml:space="preserve">PL-004</x:t>
        </x:is>
      </x:c>
      <x:c r="P32" s="5" t="inlineStr">
        <x:is>
          <x:t xml:space="preserve">SRC-015</x:t>
        </x:is>
      </x:c>
      <x:c r="Q32" s="5" t="inlineStr">
        <x:is>
          <x:t xml:space="preserve">Library of Congress — Calotype and Daguerreotype</x:t>
        </x:is>
      </x:c>
      <x:c r="R32" s="5" t="inlineStr">
        <x:is>
          <x:t xml:space="preserve">https://blogs.loc.gov/teachers/2018/09/pre-civil-war-photographic-technologies-the-calotype-and-daguerreotype/</x:t>
        </x:is>
      </x:c>
      <x:c r="S32" s="6" t="n">
        <x:v>5</x:v>
      </x:c>
      <x:c r="T32" s="5" t="inlineStr">
        <x:is>
          <x:t xml:space="preserve">Ключевой тезис PL-004: калотип менее резкий, чем дагеротип, но его идея победила.</x:t>
        </x:is>
      </x:c>
      <x:c r="U32" s="5" t="inlineStr">
        <x:is>
          <x:t xml:space="preserve">Разветвление: один негатив → несколько отпечатков.</x:t>
        </x:is>
      </x:c>
      <x:c r="V32" s="5" t="inlineStr">
        <x:is>
          <x:t xml:space="preserve">#calotype #Talbot #negative-positive #PL004</x:t>
        </x:is>
      </x:c>
      <x:c r="W32" s="5" t="n"/>
      <x:c r="X32" t="inlineStr">
        <x:is>
          <x:t xml:space="preserve">51.5074, -0.1278</x:t>
        </x:is>
      </x:c>
      <x:c r="Z32" t="inlineStr">
        <x:is>
          <x:t xml:space="preserve">Технология / процесс</x:t>
        </x:is>
      </x:c>
      <x:c r="AA32" t="inlineStr">
        <x:is>
          <x:t xml:space="preserve">да</x:t>
        </x:is>
      </x:c>
    </x:row>
    <x:row r="33" s="46" customFormat="1" ht="40" customHeight="1">
      <x:c r="A33" s="5" t="inlineStr">
        <x:is>
          <x:t xml:space="preserve">PL-HIST-0032</x:t>
        </x:is>
      </x:c>
      <x:c r="B33" s="5" t="inlineStr">
        <x:is>
          <x:t xml:space="preserve">1841</x:t>
        </x:is>
      </x:c>
      <x:c r="C33" s="5" t="inlineStr">
        <x:is>
          <x:t xml:space="preserve">год</x:t>
        </x:is>
      </x:c>
      <x:c r="D33" s="5" t="inlineStr">
        <x:is>
          <x:t xml:space="preserve">Великобритания</x:t>
        </x:is>
      </x:c>
      <x:c r="E33" s="5" t="inlineStr">
        <x:is>
          <x:t xml:space="preserve">Лондон / Лэкок-Эбби</x:t>
        </x:is>
      </x:c>
      <x:c r="F33" s="5" t="inlineStr">
        <x:is>
          <x:t xml:space="preserve">Уильям Генри Фокс Тальбот</x:t>
        </x:is>
      </x:c>
      <x:c r="G33" s="5" t="inlineStr">
        <x:is>
          <x:t xml:space="preserve">Солёная бумажная печать становится практическим позитивом с бумажного негатива.</x:t>
        </x:is>
      </x:c>
      <x:c r="H33" s="5" t="inlineStr">
        <x:is>
          <x:t xml:space="preserve">Печать / тиражирование</x:t>
        </x:is>
      </x:c>
      <x:c r="I33" s="5" t="inlineStr">
        <x:is>
          <x:t xml:space="preserve">Salted paper print</x:t>
        </x:is>
      </x:c>
      <x:c r="J33" s="5" t="inlineStr">
        <x:is>
          <x:t xml:space="preserve">Фотография становится печатной системой: негатив и позитив начинают работать вместе.</x:t>
        </x:is>
      </x:c>
      <x:c r="K33" s="5" t="inlineStr">
        <x:is>
          <x:t xml:space="preserve">Calotype negative</x:t>
        </x:is>
      </x:c>
      <x:c r="L33" s="5" t="inlineStr">
        <x:is>
          <x:t xml:space="preserve">Pencil of Nature and albumen print</x:t>
        </x:is>
      </x:c>
      <x:c r="M33" s="5" t="inlineStr">
        <x:is>
          <x:t xml:space="preserve">Главная линия</x:t>
        </x:is>
      </x:c>
      <x:c r="N33" s="6" t="n">
        <x:v>4</x:v>
      </x:c>
      <x:c r="O33" s="5" t="inlineStr">
        <x:is>
          <x:t xml:space="preserve">PL-004</x:t>
        </x:is>
      </x:c>
      <x:c r="P33" s="5" t="inlineStr">
        <x:is>
          <x:t xml:space="preserve">SRC-020</x:t>
        </x:is>
      </x:c>
      <x:c r="Q33" s="5" t="inlineStr">
        <x:is>
          <x:t xml:space="preserve">V&amp;A — Photography Processes and Techniques</x:t>
        </x:is>
      </x:c>
      <x:c r="R33" s="5" t="inlineStr">
        <x:is>
          <x:t xml:space="preserve">https://www.vam.ac.uk/info/collection-selection-boxes-photography-processes-and-techniques</x:t>
        </x:is>
      </x:c>
      <x:c r="S33" s="6" t="n">
        <x:v>4</x:v>
      </x:c>
      <x:c r="T33" s="5" t="inlineStr">
        <x:is>
          <x:t xml:space="preserve">Для схемы: калотип — это не только негатив, но и контактная печать.</x:t>
        </x:is>
      </x:c>
      <x:c r="U33" s="5" t="inlineStr">
        <x:is>
          <x:t xml:space="preserve">Контактная рамка: негатив лежит на бумаге под стеклом.</x:t>
        </x:is>
      </x:c>
      <x:c r="V33" s="5" t="inlineStr">
        <x:is>
          <x:t xml:space="preserve">#salted-paper #print #Talbot</x:t>
        </x:is>
      </x:c>
      <x:c r="W33" s="5" t="n"/>
      <x:c r="X33" t="inlineStr">
        <x:is>
          <x:t xml:space="preserve">51.5074, -0.1278</x:t>
        </x:is>
      </x:c>
      <x:c r="Z33" t="inlineStr">
        <x:is>
          <x:t xml:space="preserve">Тиражирование / публикация</x:t>
        </x:is>
      </x:c>
    </x:row>
    <x:row r="34" s="46" customFormat="1" ht="60" customHeight="1">
      <x:c r="A34" s="5" t="inlineStr">
        <x:is>
          <x:t xml:space="preserve">PL-HIST-0033</x:t>
        </x:is>
      </x:c>
      <x:c r="B34" s="5" t="inlineStr">
        <x:is>
          <x:t xml:space="preserve">1842</x:t>
        </x:is>
      </x:c>
      <x:c r="C34" s="5" t="inlineStr">
        <x:is>
          <x:t xml:space="preserve">год</x:t>
        </x:is>
      </x:c>
      <x:c r="D34" s="5" t="inlineStr">
        <x:is>
          <x:t xml:space="preserve">Великобритания</x:t>
        </x:is>
      </x:c>
      <x:c r="E34" s="5" t="inlineStr">
        <x:is>
          <x:t xml:space="preserve">Лондон / Slough</x:t>
        </x:is>
      </x:c>
      <x:c r="F34" s="5" t="inlineStr">
        <x:is>
          <x:t xml:space="preserve">Джон Фредерик Уильям Гершель</x:t>
        </x:is>
      </x:c>
      <x:c r="G34" s="5" t="inlineStr">
        <x:is>
          <x:t xml:space="preserve">Изобретает цианотипию — железо-солевой процесс, дающий синий отпечаток.</x:t>
        </x:is>
      </x:c>
      <x:c r="H34" s="5" t="inlineStr">
        <x:is>
          <x:t xml:space="preserve">Печать / тиражирование</x:t>
        </x:is>
      </x:c>
      <x:c r="I34" s="5" t="inlineStr">
        <x:is>
          <x:t xml:space="preserve">Cyanotype</x:t>
        </x:is>
      </x:c>
      <x:c r="J34" s="5" t="inlineStr">
        <x:is>
          <x:t xml:space="preserve">Показывает, что фотография не обязана быть только серебряной; появляется альтернативная печать и будущие blueprint-процессы.</x:t>
        </x:is>
      </x:c>
      <x:c r="K34" s="5" t="inlineStr">
        <x:is>
          <x:t xml:space="preserve">Herschel's photochemistry</x:t>
        </x:is>
      </x:c>
      <x:c r="L34" s="5" t="inlineStr">
        <x:is>
          <x:t xml:space="preserve">Anna Atkins's photographic book</x:t>
        </x:is>
      </x:c>
      <x:c r="M34" s="5" t="inlineStr">
        <x:is>
          <x:t xml:space="preserve">Переходная технология / художественное возрождение</x:t>
        </x:is>
      </x:c>
      <x:c r="N34" s="6" t="n">
        <x:v>4</x:v>
      </x:c>
      <x:c r="O34" s="5" t="inlineStr">
        <x:is>
          <x:t xml:space="preserve">будущие PL</x:t>
        </x:is>
      </x:c>
      <x:c r="P34" s="5" t="inlineStr">
        <x:is>
          <x:t xml:space="preserve">SRC-018</x:t>
        </x:is>
      </x:c>
      <x:c r="Q34" s="5" t="inlineStr">
        <x:is>
          <x:t xml:space="preserve">HNOC — Cyanotype Process</x:t>
        </x:is>
      </x:c>
      <x:c r="R34" s="5" t="inlineStr">
        <x:is>
          <x:t xml:space="preserve">https://hnoc.org/virtual-exhibitions/from_daguerreotype_to_digital/cyanotype-process</x:t>
        </x:is>
      </x:c>
      <x:c r="S34" s="6" t="n">
        <x:v>5</x:v>
      </x:c>
      <x:c r="T34" s="5" t="inlineStr">
        <x:is>
          <x:t xml:space="preserve">Цианотипия идеальна для практического урока: простой, зрелищный процесс.</x:t>
        </x:is>
      </x:c>
      <x:c r="U34" s="5" t="inlineStr">
        <x:is>
          <x:t xml:space="preserve">Синяя ветка на карте.</x:t>
        </x:is>
      </x:c>
      <x:c r="V34" s="5" t="inlineStr">
        <x:is>
          <x:t xml:space="preserve">#cyanotype #Herschel #альтернативныйпроцесс</x:t>
        </x:is>
      </x:c>
      <x:c r="W34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4" t="inlineStr">
        <x:is>
          <x:t xml:space="preserve">51.5074, -0.1278</x:t>
        </x:is>
      </x:c>
      <x:c r="Y34" t="inlineStr">
        <x:is>
          <x:t xml:space="preserve">Цианотипия</x:t>
        </x:is>
      </x:c>
      <x:c r="Z34" t="inlineStr">
        <x:is>
          <x:t xml:space="preserve">Технология / процесс</x:t>
        </x:is>
      </x:c>
    </x:row>
    <x:row r="35" s="46" customFormat="1" ht="60" customHeight="1">
      <x:c r="A35" s="5" t="inlineStr">
        <x:is>
          <x:t xml:space="preserve">PL-HIST-0034</x:t>
        </x:is>
      </x:c>
      <x:c r="B35" s="5" t="inlineStr">
        <x:is>
          <x:t xml:space="preserve">1843</x:t>
        </x:is>
      </x:c>
      <x:c r="C35" s="5" t="inlineStr">
        <x:is>
          <x:t xml:space="preserve">год</x:t>
        </x:is>
      </x:c>
      <x:c r="D35" s="5" t="inlineStr">
        <x:is>
          <x:t xml:space="preserve">Великобритания</x:t>
        </x:is>
      </x:c>
      <x:c r="E35" s="5" t="inlineStr">
        <x:is>
          <x:t xml:space="preserve">Кент</x:t>
        </x:is>
      </x:c>
      <x:c r="F35" s="5" t="inlineStr">
        <x:is>
          <x:t xml:space="preserve">Анна Аткинс</x:t>
        </x:is>
      </x:c>
      <x:c r="G35" s="5" t="inlineStr">
        <x:is>
          <x:t xml:space="preserve">Начинает выпуск «Photographs of British Algae: Cyanotype Impressions» — первой книги, напечатанной и иллюстрированной фотографией.</x:t>
        </x:is>
      </x:c>
      <x:c r="H35" s="5" t="inlineStr">
        <x:is>
          <x:t xml:space="preserve">Печать / тиражирование</x:t>
        </x:is>
      </x:c>
      <x:c r="I35" s="5" t="inlineStr">
        <x:is>
          <x:t xml:space="preserve">Cyanotype photobook</x:t>
        </x:is>
      </x:c>
      <x:c r="J35" s="5" t="inlineStr">
        <x:is>
          <x:t xml:space="preserve">Фотография становится способом научной публикации, а не только экспериментом или портретом.</x:t>
        </x:is>
      </x:c>
      <x:c r="K35" s="5" t="inlineStr">
        <x:is>
          <x:t xml:space="preserve">Cyanotype 1842</x:t>
        </x:is>
      </x:c>
      <x:c r="L35" s="5" t="inlineStr">
        <x:is>
          <x:t xml:space="preserve">Scientific and documentary photography</x:t>
        </x:is>
      </x:c>
      <x:c r="M35" s="5" t="inlineStr">
        <x:is>
          <x:t xml:space="preserve">Главная линия</x:t>
        </x:is>
      </x:c>
      <x:c r="N35" s="6" t="n">
        <x:v>4</x:v>
      </x:c>
      <x:c r="O35" s="5" t="inlineStr">
        <x:is>
          <x:t xml:space="preserve">будущие PL</x:t>
        </x:is>
      </x:c>
      <x:c r="P35" s="5" t="inlineStr">
        <x:is>
          <x:t xml:space="preserve">SRC-019</x:t>
        </x:is>
      </x:c>
      <x:c r="Q35" s="5" t="inlineStr">
        <x:is>
          <x:t xml:space="preserve">Natural History Museum — Anna Atkins's cyanotypes</x:t>
        </x:is>
      </x:c>
      <x:c r="R35" s="5" t="inlineStr">
        <x:is>
          <x:t xml:space="preserve">https://www.nhm.ac.uk/discover/anna-atkins-cyanotypes-the-first-book-of-photographs.html</x:t>
        </x:is>
      </x:c>
      <x:c r="S35" s="6" t="n">
        <x:v>5</x:v>
      </x:c>
      <x:c r="T35" s="5" t="inlineStr">
        <x:is>
          <x:t xml:space="preserve">Очень важный узел: женщина-фотограф, наука, книга и фотография как документ.</x:t>
        </x:is>
      </x:c>
      <x:c r="U35" s="5" t="inlineStr">
        <x:is>
          <x:t xml:space="preserve">Иконка синей книги с водорослью.</x:t>
        </x:is>
      </x:c>
      <x:c r="V35" s="5" t="inlineStr">
        <x:is>
          <x:t xml:space="preserve">#AnnaAtkins #cyanotype #photobook</x:t>
        </x:is>
      </x:c>
      <x:c r="W35" s="5" t="n"/>
      <x:c r="X35" t="inlineStr">
        <x:is>
          <x:t xml:space="preserve">51.2787, 0.5217</x:t>
        </x:is>
      </x:c>
      <x:c r="Y35" t="inlineStr">
        <x:is>
          <x:t xml:space="preserve">Фотокнига / научная документация</x:t>
        </x:is>
      </x:c>
      <x:c r="Z35" t="inlineStr">
        <x:is>
          <x:t xml:space="preserve">Тиражирование / публикация</x:t>
        </x:is>
      </x:c>
    </x:row>
    <x:row r="36" s="46" customFormat="1" ht="60" customHeight="1">
      <x:c r="A36" s="5" t="inlineStr">
        <x:is>
          <x:t xml:space="preserve">PL-HIST-0035</x:t>
        </x:is>
      </x:c>
      <x:c r="B36" s="5" t="inlineStr">
        <x:is>
          <x:t xml:space="preserve">1844</x:t>
        </x:is>
      </x:c>
      <x:c r="C36" s="5" t="inlineStr">
        <x:is>
          <x:t xml:space="preserve">год</x:t>
        </x:is>
      </x:c>
      <x:c r="D36" s="5" t="inlineStr">
        <x:is>
          <x:t xml:space="preserve">Великобритания</x:t>
        </x:is>
      </x:c>
      <x:c r="E36" s="5" t="inlineStr">
        <x:is>
          <x:t xml:space="preserve">Лондон</x:t>
        </x:is>
      </x:c>
      <x:c r="F36" s="5" t="inlineStr">
        <x:is>
          <x:t xml:space="preserve">Уильям Генри Фокс Тальбот</x:t>
        </x:is>
      </x:c>
      <x:c r="G36" s="5" t="inlineStr">
        <x:is>
          <x:t xml:space="preserve">Начинает публикацию «The Pencil of Nature» — первой коммерчески изданной книги с фотографическими отпечатками.</x:t>
        </x:is>
      </x:c>
      <x:c r="H36" s="5" t="inlineStr">
        <x:is>
          <x:t xml:space="preserve">Печать / тиражирование</x:t>
        </x:is>
      </x:c>
      <x:c r="I36" s="5" t="inlineStr">
        <x:is>
          <x:t xml:space="preserve">Salted paper prints from calotype negatives</x:t>
        </x:is>
      </x:c>
      <x:c r="J36" s="5" t="inlineStr">
        <x:is>
          <x:t xml:space="preserve">Фотография входит в книгу как новый способ иллюстрации и доказательства.</x:t>
        </x:is>
      </x:c>
      <x:c r="K36" s="5" t="inlineStr">
        <x:is>
          <x:t xml:space="preserve">Calotype and salted paper print</x:t>
        </x:is>
      </x:c>
      <x:c r="L36" s="5" t="inlineStr">
        <x:is>
          <x:t xml:space="preserve">Photographic publishing</x:t>
        </x:is>
      </x:c>
      <x:c r="M36" s="5" t="inlineStr">
        <x:is>
          <x:t xml:space="preserve">Главная линия</x:t>
        </x:is>
      </x:c>
      <x:c r="N36" s="6" t="n">
        <x:v>5</x:v>
      </x:c>
      <x:c r="O36" s="5" t="inlineStr">
        <x:is>
          <x:t xml:space="preserve">PL-004</x:t>
        </x:is>
      </x:c>
      <x:c r="P36" s="5" t="inlineStr">
        <x:is>
          <x:t xml:space="preserve">SRC-016</x:t>
        </x:is>
      </x:c>
      <x:c r="Q36" s="5" t="inlineStr">
        <x:is>
          <x:t xml:space="preserve">The Met — William Henry Fox Talbot</x:t>
        </x:is>
      </x:c>
      <x:c r="R36" s="5" t="inlineStr">
        <x:is>
          <x:t xml:space="preserve">https://www.metmuseum.org/essays/william-henry-fox-talbot-1800-1877-and-the-invention-of-photography</x:t>
        </x:is>
      </x:c>
      <x:c r="S36" s="6" t="n">
        <x:v>5</x:v>
      </x:c>
      <x:c r="T36" s="5" t="inlineStr">
        <x:is>
          <x:t xml:space="preserve">Сильный мост к бренду PHOTO LAB: фотография становится не только снимком, но и системой распространения знания.</x:t>
        </x:is>
      </x:c>
      <x:c r="U36" s="5" t="inlineStr">
        <x:is>
          <x:t xml:space="preserve">Книга, из которой выходят маленькие отпечатки.</x:t>
        </x:is>
      </x:c>
      <x:c r="V36" s="5" t="inlineStr">
        <x:is>
          <x:t xml:space="preserve">#PencilOfNature #Talbot #книга #PL004</x:t>
        </x:is>
      </x:c>
      <x:c r="W36" s="5" t="n"/>
      <x:c r="X36" t="inlineStr">
        <x:is>
          <x:t xml:space="preserve">51.5074, -0.1278</x:t>
        </x:is>
      </x:c>
      <x:c r="Y36" t="inlineStr">
        <x:is>
          <x:t xml:space="preserve">Фотокнига / тиражирование</x:t>
        </x:is>
      </x:c>
      <x:c r="Z36" t="inlineStr">
        <x:is>
          <x:t xml:space="preserve">Тиражирование / публикация</x:t>
        </x:is>
      </x:c>
    </x:row>
    <x:row r="37" s="46" customFormat="1" ht="60" customHeight="1">
      <x:c r="A37" s="5" t="inlineStr">
        <x:is>
          <x:t xml:space="preserve">PL-HIST-0036</x:t>
        </x:is>
      </x:c>
      <x:c r="B37" s="5" t="inlineStr">
        <x:is>
          <x:t xml:space="preserve">1847</x:t>
        </x:is>
      </x:c>
      <x:c r="C37" s="5" t="inlineStr">
        <x:is>
          <x:t xml:space="preserve">год</x:t>
        </x:is>
      </x:c>
      <x:c r="D37" s="5" t="inlineStr">
        <x:is>
          <x:t xml:space="preserve">США</x:t>
        </x:is>
      </x:c>
      <x:c r="E37" s="5" t="inlineStr">
        <x:is>
          <x:t xml:space="preserve">Бостон</x:t>
        </x:is>
      </x:c>
      <x:c r="F37" s="5" t="inlineStr">
        <x:is>
          <x:t xml:space="preserve">Southworth &amp; Hawes</x:t>
        </x:is>
      </x:c>
      <x:c r="G37" s="5" t="inlineStr">
        <x:is>
          <x:t xml:space="preserve">Создают дагеротипы медицинских операций с эфирной анестезией в Massachusetts General Hospital.</x:t>
        </x:is>
      </x:c>
      <x:c r="H37" s="5" t="inlineStr">
        <x:is>
          <x:t xml:space="preserve">Дагеротип</x:t>
        </x:is>
      </x:c>
      <x:c r="I37" s="5" t="inlineStr">
        <x:is>
          <x:t xml:space="preserve">Daguerreotype documentation</x:t>
        </x:is>
      </x:c>
      <x:c r="J37" s="5" t="inlineStr">
        <x:is>
          <x:t xml:space="preserve">Фотография быстро становится инструментом медицинского и научного свидетельства.</x:t>
        </x:is>
      </x:c>
      <x:c r="K37" s="5" t="inlineStr">
        <x:is>
          <x:t xml:space="preserve">Daguerreotype portrait/studio practice</x:t>
        </x:is>
      </x:c>
      <x:c r="L37" s="5" t="inlineStr">
        <x:is>
          <x:t xml:space="preserve">Documentary and medical photography</x:t>
        </x:is>
      </x:c>
      <x:c r="M37" s="5" t="inlineStr">
        <x:is>
          <x:t xml:space="preserve">Главная линия</x:t>
        </x:is>
      </x:c>
      <x:c r="N37" s="6" t="n">
        <x:v>3</x:v>
      </x:c>
      <x:c r="O37" s="5" t="inlineStr">
        <x:is>
          <x:t xml:space="preserve">будущие PL</x:t>
        </x:is>
      </x:c>
      <x:c r="P37" s="5" t="inlineStr">
        <x:is>
          <x:t xml:space="preserve">SRC-012</x:t>
        </x:is>
      </x:c>
      <x:c r="Q37" s="5" t="inlineStr">
        <x:is>
          <x:t xml:space="preserve">Harvard Library — History of Photography Timeline</x:t>
        </x:is>
      </x:c>
      <x:c r="R37" s="5" t="inlineStr">
        <x:is>
          <x:t xml:space="preserve">https://photographpreservationprogram.hsites.harvard.edu/harvards-history-photography-timeline-text-only</x:t>
        </x:is>
      </x:c>
      <x:c r="S37" s="6" t="n">
        <x:v>4</x:v>
      </x:c>
      <x:c r="T37" s="5" t="inlineStr">
        <x:is>
          <x:t xml:space="preserve">Этот узел можно оставить для будущего урока о документальности фотографии.</x:t>
        </x:is>
      </x:c>
      <x:c r="U37" s="5" t="inlineStr">
        <x:is>
          <x:t xml:space="preserve">Иконка больницы/операционной + дагеротип.</x:t>
        </x:is>
      </x:c>
      <x:c r="V37" s="5" t="inlineStr">
        <x:is>
          <x:t xml:space="preserve">#medical-photography #daguerreotype #Boston</x:t>
        </x:is>
      </x:c>
      <x:c r="W37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7" t="inlineStr">
        <x:is>
          <x:t xml:space="preserve">42.3601, -71.0589</x:t>
        </x:is>
      </x:c>
      <x:c r="Y37" t="inlineStr">
        <x:is>
          <x:t xml:space="preserve">Научная / медицинская фотография</x:t>
        </x:is>
      </x:c>
      <x:c r="Z37" t="inlineStr">
        <x:is>
          <x:t xml:space="preserve">Научное применение / пример</x:t>
        </x:is>
      </x:c>
    </x:row>
    <x:row r="38" s="46" customFormat="1" ht="40" customHeight="1">
      <x:c r="A38" s="5" t="inlineStr">
        <x:is>
          <x:t xml:space="preserve">PL-HIST-0037</x:t>
        </x:is>
      </x:c>
      <x:c r="B38" s="5" t="inlineStr">
        <x:is>
          <x:t xml:space="preserve">1847</x:t>
        </x:is>
      </x:c>
      <x:c r="C38" s="5" t="inlineStr">
        <x:is>
          <x:t xml:space="preserve">год</x:t>
        </x:is>
      </x:c>
      <x:c r="D38" s="5" t="inlineStr">
        <x:is>
          <x:t xml:space="preserve">Франция</x:t>
        </x:is>
      </x:c>
      <x:c r="E38" s="5" t="inlineStr">
        <x:is>
          <x:t xml:space="preserve">Лилль / Париж</x:t>
        </x:is>
      </x:c>
      <x:c r="F38" s="5" t="inlineStr">
        <x:is>
          <x:t xml:space="preserve">Луи-Дезире Бланкар-Эврар</x:t>
        </x:is>
      </x:c>
      <x:c r="G38" s="5" t="inlineStr">
        <x:is>
          <x:t xml:space="preserve">Развивает и публикует улучшения бумажных негативно-позитивных процессов во Франции.</x:t>
        </x:is>
      </x:c>
      <x:c r="H38" s="5" t="inlineStr">
        <x:is>
          <x:t xml:space="preserve">Печать / тиражирование</x:t>
        </x:is>
      </x:c>
      <x:c r="I38" s="5" t="inlineStr">
        <x:is>
          <x:t xml:space="preserve">Paper negative-positive process</x:t>
        </x:is>
      </x:c>
      <x:c r="J38" s="5" t="inlineStr">
        <x:is>
          <x:t xml:space="preserve">Французская фотография получает не только дагеротипическую, но и бумажную тиражируемую ветку.</x:t>
        </x:is>
      </x:c>
      <x:c r="K38" s="5" t="inlineStr">
        <x:is>
          <x:t xml:space="preserve">Talbot calotype influence</x:t>
        </x:is>
      </x:c>
      <x:c r="L38" s="5" t="inlineStr">
        <x:is>
          <x:t xml:space="preserve">Albumen paper 1850</x:t>
        </x:is>
      </x:c>
      <x:c r="M38" s="5" t="inlineStr">
        <x:is>
          <x:t xml:space="preserve">Главная линия</x:t>
        </x:is>
      </x:c>
      <x:c r="N38" s="6" t="n">
        <x:v>3</x:v>
      </x:c>
      <x:c r="O38" s="5" t="inlineStr">
        <x:is>
          <x:t xml:space="preserve">будущие PL</x:t>
        </x:is>
      </x:c>
      <x:c r="P38" s="5" t="inlineStr">
        <x:is>
          <x:t xml:space="preserve">SRC-017</x:t>
        </x:is>
      </x:c>
      <x:c r="Q38" s="5" t="inlineStr">
        <x:is>
          <x:t xml:space="preserve">Getty — Sir John F. W. Herschel</x:t>
        </x:is>
      </x:c>
      <x:c r="R38" s="5" t="inlineStr">
        <x:is>
          <x:t xml:space="preserve">https://www.getty.edu/art/collection/person/103KHK</x:t>
        </x:is>
      </x:c>
      <x:c r="S38" s="6" t="n">
        <x:v>2</x:v>
      </x:c>
      <x:c r="T38" s="5" t="inlineStr">
        <x:is>
          <x:t xml:space="preserve">Пока источник не идеален; оставить как узел на доработку.</x:t>
        </x:is>
      </x:c>
      <x:c r="U38" s="5" t="inlineStr">
        <x:is>
          <x:t xml:space="preserve">Франция получает ответвление бумажной печати.</x:t>
        </x:is>
      </x:c>
      <x:c r="V38" s="5" t="inlineStr">
        <x:is>
          <x:t xml:space="preserve">#BlanquartEvrard #France #paper-process</x:t>
        </x:is>
      </x:c>
      <x:c r="W38" s="5" t="inlineStr">
        <x:is>
          <x:t xml:space="preserve">Найти лучший источник по 1847 публикации Бланкара-Эврара.</x:t>
        </x:is>
      </x:c>
      <x:c r="X38" t="inlineStr">
        <x:is>
          <x:t xml:space="preserve">50.6292, 3.0573</x:t>
        </x:is>
      </x:c>
      <x:c r="Z38" t="inlineStr">
        <x:is>
          <x:t xml:space="preserve">Распространение / коммерциализация</x:t>
        </x:is>
      </x:c>
    </x:row>
    <x:row r="39" s="46" customFormat="1" ht="40" customHeight="1">
      <x:c r="A39" s="5" t="inlineStr">
        <x:is>
          <x:t xml:space="preserve">PL-HIST-0038</x:t>
        </x:is>
      </x:c>
      <x:c r="B39" s="5" t="inlineStr">
        <x:is>
          <x:t xml:space="preserve">1848</x:t>
        </x:is>
      </x:c>
      <x:c r="C39" s="5" t="inlineStr">
        <x:is>
          <x:t xml:space="preserve">год</x:t>
        </x:is>
      </x:c>
      <x:c r="D39" s="5" t="inlineStr">
        <x:is>
          <x:t xml:space="preserve">Франция</x:t>
        </x:is>
      </x:c>
      <x:c r="E39" s="5" t="inlineStr">
        <x:is>
          <x:t xml:space="preserve">Париж</x:t>
        </x:is>
      </x:c>
      <x:c r="F39" s="5" t="inlineStr">
        <x:is>
          <x:t xml:space="preserve">Эдмон Беккерель</x:t>
        </x:is>
      </x:c>
      <x:c r="G39" s="5" t="inlineStr">
        <x:is>
          <x:t xml:space="preserve">Создаёт ранний цветной фотографический процесс на основе серебряно-хлоридного слоя.</x:t>
        </x:is>
      </x:c>
      <x:c r="H39" s="5" t="inlineStr">
        <x:is>
          <x:t xml:space="preserve">Цвет</x:t>
        </x:is>
      </x:c>
      <x:c r="I39" s="5" t="inlineStr">
        <x:is>
          <x:t xml:space="preserve">Early colour photography / photochromatic images</x:t>
        </x:is>
      </x:c>
      <x:c r="J39" s="5" t="inlineStr">
        <x:is>
          <x:t xml:space="preserve">Цвет возникает очень рано, но эта ветка пока не становится практичной массовой фотографией.</x:t>
        </x:is>
      </x:c>
      <x:c r="K39" s="5" t="inlineStr">
        <x:is>
          <x:t xml:space="preserve">Silver-based photochemistry</x:t>
        </x:is>
      </x:c>
      <x:c r="L39" s="5" t="inlineStr">
        <x:is>
          <x:t xml:space="preserve">Autochrome and later colour processes</x:t>
        </x:is>
      </x:c>
      <x:c r="M39" s="5" t="inlineStr">
        <x:is>
          <x:t xml:space="preserve">Исторически важная ограниченная ветка</x:t>
        </x:is>
      </x:c>
      <x:c r="N39" s="6" t="n">
        <x:v>3</x:v>
      </x:c>
      <x:c r="O39" s="5" t="inlineStr">
        <x:is>
          <x:t xml:space="preserve">будущие PL</x:t>
        </x:is>
      </x:c>
      <x:c r="P39" s="5" t="inlineStr">
        <x:is>
          <x:t xml:space="preserve">SRC-025</x:t>
        </x:is>
      </x:c>
      <x:c r="Q39" s="5" t="inlineStr">
        <x:is>
          <x:t xml:space="preserve">Getty Conservation Institute — Atlas: Salt Print PDF</x:t>
        </x:is>
      </x:c>
      <x:c r="R39" s="5" t="inlineStr">
        <x:is>
          <x:t xml:space="preserve">https://www.getty.edu/conservation/publications_resources/pdf_publications/pdf/atlas_saltprint.pdf</x:t>
        </x:is>
      </x:c>
      <x:c r="S39" s="6" t="n">
        <x:v>3</x:v>
      </x:c>
      <x:c r="T39" s="5" t="inlineStr">
        <x:is>
          <x:t xml:space="preserve">На карте: цвет появился рано, но не сразу стал удобным.</x:t>
        </x:is>
      </x:c>
      <x:c r="U39" s="5" t="inlineStr">
        <x:is>
          <x:t xml:space="preserve">Пунктирная цветная ветка от серебряной химии.</x:t>
        </x:is>
      </x:c>
      <x:c r="V39" s="5" t="inlineStr">
        <x:is>
          <x:t xml:space="preserve">#color #Becquerel #раннийцвет</x:t>
        </x:is>
      </x:c>
      <x:c r="W39" s="5" t="inlineStr">
        <x:is>
          <x:t xml:space="preserve">Лучше заменить на специализированный музейный источник по Becquerel.</x:t>
        </x:is>
      </x:c>
      <x:c r="X39" t="inlineStr">
        <x:is>
          <x:t xml:space="preserve">48.8566, 2.3522</x:t>
        </x:is>
      </x:c>
      <x:c r="Z39" t="inlineStr">
        <x:is>
          <x:t xml:space="preserve">Технология / процесс</x:t>
        </x:is>
      </x:c>
    </x:row>
    <x:row r="40" s="46" customFormat="1" ht="40" customHeight="1">
      <x:c r="A40" s="5" t="inlineStr">
        <x:is>
          <x:t xml:space="preserve">PL-HIST-0039</x:t>
        </x:is>
      </x:c>
      <x:c r="B40" s="5" t="inlineStr">
        <x:is>
          <x:t xml:space="preserve">1848</x:t>
        </x:is>
      </x:c>
      <x:c r="C40" s="5" t="inlineStr">
        <x:is>
          <x:t xml:space="preserve">год</x:t>
        </x:is>
      </x:c>
      <x:c r="D40" s="5" t="inlineStr">
        <x:is>
          <x:t xml:space="preserve">США</x:t>
        </x:is>
      </x:c>
      <x:c r="E40" s="5" t="inlineStr">
        <x:is>
          <x:t xml:space="preserve">Филадельфия</x:t>
        </x:is>
      </x:c>
      <x:c r="F40" s="5" t="inlineStr">
        <x:is>
          <x:t xml:space="preserve">Братья Лангенхайм</x:t>
        </x:is>
      </x:c>
      <x:c r="G40" s="5" t="inlineStr">
        <x:is>
          <x:t xml:space="preserve">Вводят первые фотографические фонарные слайды.</x:t>
        </x:is>
      </x:c>
      <x:c r="H40" s="5" t="inlineStr">
        <x:is>
          <x:t xml:space="preserve">Проекция / распространение</x:t>
        </x:is>
      </x:c>
      <x:c r="I40" s="5" t="inlineStr">
        <x:is>
          <x:t xml:space="preserve">Photographic lantern slide</x:t>
        </x:is>
      </x:c>
      <x:c r="J40" s="5" t="inlineStr">
        <x:is>
          <x:t xml:space="preserve">Фотография становится не только отпечатком, но и изображением для публичного показа и обучения.</x:t>
        </x:is>
      </x:c>
      <x:c r="K40" s="5" t="inlineStr">
        <x:is>
          <x:t xml:space="preserve">Daguerreotype and glass support experimentation</x:t>
        </x:is>
      </x:c>
      <x:c r="L40" s="5" t="inlineStr">
        <x:is>
          <x:t xml:space="preserve">Educational projection and slide culture</x:t>
        </x:is>
      </x:c>
      <x:c r="M40" s="5" t="inlineStr">
        <x:is>
          <x:t xml:space="preserve">Переходная технология</x:t>
        </x:is>
      </x:c>
      <x:c r="N40" s="6" t="n">
        <x:v>3</x:v>
      </x:c>
      <x:c r="O40" s="5" t="inlineStr">
        <x:is>
          <x:t xml:space="preserve">будущие PL</x:t>
        </x:is>
      </x:c>
      <x:c r="P40" s="5" t="inlineStr">
        <x:is>
          <x:t xml:space="preserve">SRC-012</x:t>
        </x:is>
      </x:c>
      <x:c r="Q40" s="5" t="inlineStr">
        <x:is>
          <x:t xml:space="preserve">Harvard Library — History of Photography Timeline</x:t>
        </x:is>
      </x:c>
      <x:c r="R40" s="5" t="inlineStr">
        <x:is>
          <x:t xml:space="preserve">https://photographpreservationprogram.hsites.harvard.edu/harvards-history-photography-timeline-text-only</x:t>
        </x:is>
      </x:c>
      <x:c r="S40" s="6" t="n">
        <x:v>4</x:v>
      </x:c>
      <x:c r="T40" s="5" t="inlineStr">
        <x:is>
          <x:t xml:space="preserve">Хороший узел для темы распространения изображений до кино и презентаций.</x:t>
        </x:is>
      </x:c>
      <x:c r="U40" s="5" t="inlineStr">
        <x:is>
          <x:t xml:space="preserve">Фонарный проектор + экран.</x:t>
        </x:is>
      </x:c>
      <x:c r="V40" s="5" t="inlineStr">
        <x:is>
          <x:t xml:space="preserve">#lantern-slide #projection #Langenheim</x:t>
        </x:is>
      </x:c>
      <x:c r="W40" s="5" t="n"/>
      <x:c r="X40" t="inlineStr">
        <x:is>
          <x:t xml:space="preserve">39.9526, -75.1652</x:t>
        </x:is>
      </x:c>
      <x:c r="Z40" t="inlineStr">
        <x:is>
          <x:t xml:space="preserve">Распространение / коммерциализация</x:t>
        </x:is>
      </x:c>
    </x:row>
    <x:row r="41" s="46" customFormat="1" ht="40" customHeight="1">
      <x:c r="A41" s="5" t="inlineStr">
        <x:is>
          <x:t xml:space="preserve">PL-HIST-0040</x:t>
        </x:is>
      </x:c>
      <x:c r="B41" s="5" t="inlineStr">
        <x:is>
          <x:t xml:space="preserve">1850</x:t>
        </x:is>
      </x:c>
      <x:c r="C41" s="5" t="inlineStr">
        <x:is>
          <x:t xml:space="preserve">год</x:t>
        </x:is>
      </x:c>
      <x:c r="D41" s="5" t="inlineStr">
        <x:is>
          <x:t xml:space="preserve">Франция</x:t>
        </x:is>
      </x:c>
      <x:c r="E41" s="5" t="inlineStr">
        <x:is>
          <x:t xml:space="preserve">Лилль</x:t>
        </x:is>
      </x:c>
      <x:c r="F41" s="5" t="inlineStr">
        <x:is>
          <x:t xml:space="preserve">Луи-Дезире Бланкар-Эврар</x:t>
        </x:is>
      </x:c>
      <x:c r="G41" s="5" t="inlineStr">
        <x:is>
          <x:t xml:space="preserve">Изобретает альбуминовую печать, которая станет ведущим типом фотопечати XIX века.</x:t>
        </x:is>
      </x:c>
      <x:c r="H41" s="5" t="inlineStr">
        <x:is>
          <x:t xml:space="preserve">Печать / тиражирование</x:t>
        </x:is>
      </x:c>
      <x:c r="I41" s="5" t="inlineStr">
        <x:is>
          <x:t xml:space="preserve">Albumen print</x:t>
        </x:is>
      </x:c>
      <x:c r="J41" s="5" t="inlineStr">
        <x:is>
          <x:t xml:space="preserve">Печать становится более детальной, тональной и удобной для массовой фотографии XIX века.</x:t>
        </x:is>
      </x:c>
      <x:c r="K41" s="5" t="inlineStr">
        <x:is>
          <x:t xml:space="preserve">Salted paper print</x:t>
        </x:is>
      </x:c>
      <x:c r="L41" s="5" t="inlineStr">
        <x:is>
          <x:t xml:space="preserve">Wet collodion negative + albumen print dominance</x:t>
        </x:is>
      </x:c>
      <x:c r="M41" s="5" t="inlineStr">
        <x:is>
          <x:t xml:space="preserve">Главная линия</x:t>
        </x:is>
      </x:c>
      <x:c r="N41" s="6" t="n">
        <x:v>5</x:v>
      </x:c>
      <x:c r="O41" s="5" t="inlineStr">
        <x:is>
          <x:t xml:space="preserve">будущие PL</x:t>
        </x:is>
      </x:c>
      <x:c r="P41" s="5" t="inlineStr">
        <x:is>
          <x:t xml:space="preserve">SRC-020</x:t>
        </x:is>
      </x:c>
      <x:c r="Q41" s="5" t="inlineStr">
        <x:is>
          <x:t xml:space="preserve">V&amp;A — Photography Processes and Techniques</x:t>
        </x:is>
      </x:c>
      <x:c r="R41" s="5" t="inlineStr">
        <x:is>
          <x:t xml:space="preserve">https://www.vam.ac.uk/info/collection-selection-boxes-photography-processes-and-techniques</x:t>
        </x:is>
      </x:c>
      <x:c r="S41" s="6" t="n">
        <x:v>5</x:v>
      </x:c>
      <x:c r="T41" s="5" t="inlineStr">
        <x:is>
          <x:t xml:space="preserve">Важный мост к мокрому коллодию: резкий стеклянный негатив + альбуминовая бумага = визуальный язык XIX века.</x:t>
        </x:is>
      </x:c>
      <x:c r="U41" s="5" t="inlineStr">
        <x:is>
          <x:t xml:space="preserve">Яичный белок/лист бумаги + стеклянный негатив.</x:t>
        </x:is>
      </x:c>
      <x:c r="V41" s="5" t="inlineStr">
        <x:is>
          <x:t xml:space="preserve">#albumen #print #BlanquartEvrard</x:t>
        </x:is>
      </x:c>
      <x:c r="W41" s="5" t="n"/>
      <x:c r="X41" t="inlineStr">
        <x:is>
          <x:t xml:space="preserve">50.6292, 3.0573</x:t>
        </x:is>
      </x:c>
      <x:c r="Z41" t="inlineStr">
        <x:is>
          <x:t xml:space="preserve">Тиражирование / публикация</x:t>
        </x:is>
      </x:c>
    </x:row>
    <x:row r="42" s="46" customFormat="1" ht="60" customHeight="1">
      <x:c r="A42" s="5" t="inlineStr">
        <x:is>
          <x:t xml:space="preserve">PL-HIST-0041</x:t>
        </x:is>
      </x:c>
      <x:c r="B42" s="5" t="inlineStr">
        <x:is>
          <x:t xml:space="preserve">1851</x:t>
        </x:is>
      </x:c>
      <x:c r="C42" s="5" t="inlineStr">
        <x:is>
          <x:t xml:space="preserve">год</x:t>
        </x:is>
      </x:c>
      <x:c r="D42" s="5" t="inlineStr">
        <x:is>
          <x:t xml:space="preserve">Великобритания</x:t>
        </x:is>
      </x:c>
      <x:c r="E42" s="5" t="inlineStr">
        <x:is>
          <x:t xml:space="preserve">Лондон</x:t>
        </x:is>
      </x:c>
      <x:c r="F42" s="5" t="inlineStr">
        <x:is>
          <x:t xml:space="preserve">Фредерик Скотт Арчер</x:t>
        </x:is>
      </x:c>
      <x:c r="G42" s="5" t="inlineStr">
        <x:is>
      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      </x:is>
      </x:c>
      <x:c r="H42" s="5" t="inlineStr">
        <x:is>
          <x:t xml:space="preserve">Мокрый коллодий</x:t>
        </x:is>
      </x:c>
      <x:c r="I42" s="5" t="inlineStr">
        <x:is>
          <x:t xml:space="preserve">Wet collodion glass negative</x:t>
        </x:is>
      </x:c>
      <x:c r="J42" s="5" t="inlineStr">
        <x:is>
          <x:t xml:space="preserve">Соединяет резкость стеклянного носителя и тиражируемость негативно-позитивной системы.</x:t>
        </x:is>
      </x:c>
      <x:c r="K42" s="5" t="inlineStr">
        <x:is>
          <x:t xml:space="preserve">Daguerreotype sharpness + calotype reproducibility problem</x:t>
        </x:is>
      </x:c>
      <x:c r="L42" s="5" t="inlineStr">
        <x:is>
          <x:t xml:space="preserve">Albumen prints, ambrotypes, tintypes, documentary photography</x:t>
        </x:is>
      </x:c>
      <x:c r="M42" s="5" t="inlineStr">
        <x:is>
          <x:t xml:space="preserve">Главная линия / временная доминирующая линия</x:t>
        </x:is>
      </x:c>
      <x:c r="N42" s="6" t="n">
        <x:v>5</x:v>
      </x:c>
      <x:c r="O42" s="5" t="inlineStr">
        <x:is>
          <x:t xml:space="preserve">PL-005</x:t>
        </x:is>
      </x:c>
      <x:c r="P42" s="5" t="inlineStr">
        <x:is>
          <x:t xml:space="preserve">SRC-021</x:t>
        </x:is>
      </x:c>
      <x:c r="Q42" s="5" t="inlineStr">
        <x:is>
          <x:t xml:space="preserve">National Science and Media Museum — Frederick Scott Archer</x:t>
        </x:is>
      </x:c>
      <x:c r="R42" s="5" t="inlineStr">
        <x:is>
          <x:t xml:space="preserve">https://blog.scienceandmediamuseum.org.uk/photography-a-z-frederick-scott-archer-wet-collodion-process/</x:t>
        </x:is>
      </x:c>
      <x:c r="S42" s="6" t="n">
        <x:v>5</x:v>
      </x:c>
      <x:c r="T42" s="5" t="inlineStr">
        <x:is>
          <x:t xml:space="preserve">Ключ PL-005: резкость дагеротипа и тираж калотипа наконец встретились.</x:t>
        </x:is>
      </x:c>
      <x:c r="U42" s="5" t="inlineStr">
        <x:is>
          <x:t xml:space="preserve">Главный узел: стеклянная влажная пластина + таймер 15 минут.</x:t>
        </x:is>
      </x:c>
      <x:c r="V42" s="5" t="inlineStr">
        <x:is>
          <x:t xml:space="preserve">#wet-collodion #Archer #PL005</x:t>
        </x:is>
      </x:c>
      <x:c r="W42" s="5" t="n"/>
      <x:c r="X42" t="inlineStr">
        <x:is>
          <x:t xml:space="preserve">51.5074, -0.1278</x:t>
        </x:is>
      </x:c>
      <x:c r="Z42" t="inlineStr">
        <x:is>
          <x:t xml:space="preserve">Технология / процесс</x:t>
        </x:is>
      </x:c>
      <x:c r="AA42" t="inlineStr">
        <x:is>
          <x:t xml:space="preserve">да</x:t>
        </x:is>
      </x:c>
    </x:row>
    <x:row r="43" s="46" customFormat="1" ht="60" customHeight="1">
      <x:c r="A43" s="5" t="inlineStr">
        <x:is>
          <x:t xml:space="preserve">PL-HIST-0042</x:t>
        </x:is>
      </x:c>
      <x:c r="B43" s="5" t="inlineStr">
        <x:is>
          <x:t xml:space="preserve">1851–1880-е</x:t>
        </x:is>
      </x:c>
      <x:c r="C43" s="5" t="inlineStr">
        <x:is>
          <x:t xml:space="preserve">диапазон</x:t>
        </x:is>
      </x:c>
      <x:c r="D43" s="5" t="inlineStr">
        <x:is>
          <x:t xml:space="preserve">Великобритания / глобально</x:t>
        </x:is>
      </x:c>
      <x:c r="E43" s="5" t="inlineStr">
        <x:is>
          <x:t xml:space="preserve">Лондон → Европа / Америка</x:t>
        </x:is>
      </x:c>
      <x:c r="F43" s="5" t="inlineStr">
        <x:is>
          <x:t xml:space="preserve">Фотографы мокрого коллодия</x:t>
        </x:is>
      </x:c>
      <x:c r="G43" s="5" t="inlineStr">
        <x:is>
          <x:t xml:space="preserve">Мокрый коллодий становится доминирующим процессом на несколько десятилетий.</x:t>
        </x:is>
      </x:c>
      <x:c r="H43" s="5" t="inlineStr">
        <x:is>
          <x:t xml:space="preserve">Мокрый коллодий</x:t>
        </x:is>
      </x:c>
      <x:c r="I43" s="5" t="inlineStr">
        <x:is>
          <x:t xml:space="preserve">Wet collodion negative</x:t>
        </x:is>
      </x:c>
      <x:c r="J43" s="5" t="inlineStr">
        <x:is>
          <x:t xml:space="preserve">Фотография становится более резкой, воспроизводимой и пригодной для документальных задач, но требует мобильной лаборатории.</x:t>
        </x:is>
      </x:c>
      <x:c r="K43" s="5" t="inlineStr">
        <x:is>
          <x:t xml:space="preserve">Archer's publication</x:t>
        </x:is>
      </x:c>
      <x:c r="L43" s="5" t="inlineStr">
        <x:is>
          <x:t xml:space="preserve">Dry plates replace wet collodion later</x:t>
        </x:is>
      </x:c>
      <x:c r="M43" s="5" t="inlineStr">
        <x:is>
          <x:t xml:space="preserve">Временная доминирующая линия</x:t>
        </x:is>
      </x:c>
      <x:c r="N43" s="6" t="n">
        <x:v>5</x:v>
      </x:c>
      <x:c r="O43" s="5" t="inlineStr">
        <x:is>
          <x:t xml:space="preserve">PL-005</x:t>
        </x:is>
      </x:c>
      <x:c r="P43" s="5" t="inlineStr">
        <x:is>
          <x:t xml:space="preserve">SRC-021</x:t>
        </x:is>
      </x:c>
      <x:c r="Q43" s="5" t="inlineStr">
        <x:is>
          <x:t xml:space="preserve">National Science and Media Museum — Frederick Scott Archer</x:t>
        </x:is>
      </x:c>
      <x:c r="R43" s="5" t="inlineStr">
        <x:is>
          <x:t xml:space="preserve">https://blog.scienceandmediamuseum.org.uk/photography-a-z-frederick-scott-archer-wet-collodion-process/</x:t>
        </x:is>
      </x:c>
      <x:c r="S43" s="6" t="n">
        <x:v>5</x:v>
      </x:c>
      <x:c r="T43" s="5" t="inlineStr">
        <x:is>
          <x:t xml:space="preserve">Важно: это не тупик сразу; это главный мост середины XIX века.</x:t>
        </x:is>
      </x:c>
      <x:c r="U43" s="5" t="inlineStr">
        <x:is>
          <x:t xml:space="preserve">Широкие линии от Лондона по Европе и Америке.</x:t>
        </x:is>
      </x:c>
      <x:c r="V43" s="5" t="inlineStr">
        <x:is>
          <x:t xml:space="preserve">#wet-collodion #dominant-process #PL005</x:t>
        </x:is>
      </x:c>
      <x:c r="W43" s="5" t="n"/>
      <x:c r="X43" t="inlineStr">
        <x:is>
          <x:t xml:space="preserve">51.5074, -0.1278</x:t>
        </x:is>
      </x:c>
      <x:c r="Y43" t="inlineStr">
        <x:is>
          <x:t xml:space="preserve">Мокрый коллодий / распространение</x:t>
        </x:is>
      </x:c>
      <x:c r="Z43" t="inlineStr">
        <x:is>
          <x:t xml:space="preserve">Распространение / коммерциализация</x:t>
        </x:is>
      </x:c>
    </x:row>
    <x:row r="44" s="46" customFormat="1" ht="60" customHeight="1">
      <x:c r="A44" s="5" t="inlineStr">
        <x:is>
          <x:t xml:space="preserve">PL-HIST-0043</x:t>
        </x:is>
      </x:c>
      <x:c r="B44" s="5" t="inlineStr">
        <x:is>
          <x:t xml:space="preserve">1851</x:t>
        </x:is>
      </x:c>
      <x:c r="C44" s="5" t="inlineStr">
        <x:is>
          <x:t xml:space="preserve">год</x:t>
        </x:is>
      </x:c>
      <x:c r="D44" s="5" t="inlineStr">
        <x:is>
          <x:t xml:space="preserve">Великобритания</x:t>
        </x:is>
      </x:c>
      <x:c r="E44" s="5" t="inlineStr">
        <x:is>
          <x:t xml:space="preserve">Лондон</x:t>
        </x:is>
      </x:c>
      <x:c r="F44" s="5" t="inlineStr">
        <x:is>
          <x:t xml:space="preserve">Фредерик Скотт Арчер</x:t>
        </x:is>
      </x:c>
      <x:c r="G44" s="5" t="inlineStr">
        <x:is>
          <x:t xml:space="preserve">Показывает практическую формулу мокрого коллодия: коллодий + йодид калия + нитрат серебра + немедленное проявление/фиксаж.</x:t>
        </x:is>
      </x:c>
      <x:c r="H44" s="5" t="inlineStr">
        <x:is>
          <x:t xml:space="preserve">Мокрый коллодий</x:t>
        </x:is>
      </x:c>
      <x:c r="I44" s="5" t="inlineStr">
        <x:is>
          <x:t xml:space="preserve">Collodion + silver nitrate</x:t>
        </x:is>
      </x:c>
      <x:c r="J44" s="5" t="inlineStr">
        <x:is>
          <x:t xml:space="preserve">Процесс требует скорости и дисциплины: пластину надо подготовить, снять и проявить пока она влажная.</x:t>
        </x:is>
      </x:c>
      <x:c r="K44" s="5" t="inlineStr">
        <x:is>
          <x:t xml:space="preserve">Photographic chemistry and glass supports</x:t>
        </x:is>
      </x:c>
      <x:c r="L44" s="5" t="inlineStr">
        <x:is>
          <x:t xml:space="preserve">Portable darkrooms and field photography</x:t>
        </x:is>
      </x:c>
      <x:c r="M44" s="5" t="inlineStr">
        <x:is>
          <x:t xml:space="preserve">Главная линия / временная доминирующая линия</x:t>
        </x:is>
      </x:c>
      <x:c r="N44" s="6" t="n">
        <x:v>5</x:v>
      </x:c>
      <x:c r="O44" s="5" t="inlineStr">
        <x:is>
          <x:t xml:space="preserve">PL-005</x:t>
        </x:is>
      </x:c>
      <x:c r="P44" s="5" t="inlineStr">
        <x:is>
          <x:t xml:space="preserve">SRC-021</x:t>
        </x:is>
      </x:c>
      <x:c r="Q44" s="5" t="inlineStr">
        <x:is>
          <x:t xml:space="preserve">National Science and Media Museum — Frederick Scott Archer</x:t>
        </x:is>
      </x:c>
      <x:c r="R44" s="5" t="inlineStr">
        <x:is>
          <x:t xml:space="preserve">https://blog.scienceandmediamuseum.org.uk/photography-a-z-frederick-scott-archer-wet-collodion-process/</x:t>
        </x:is>
      </x:c>
      <x:c r="S44" s="6" t="n">
        <x:v>5</x:v>
      </x:c>
      <x:c r="T44" s="5" t="inlineStr">
        <x:is>
          <x:t xml:space="preserve">Для урока: здесь появляется драматургия «15 минут, пока пластина влажная».</x:t>
        </x:is>
      </x:c>
      <x:c r="U44" s="5" t="inlineStr">
        <x:is>
          <x:t xml:space="preserve">Схема-алгоритм из 5 шагов вокруг стеклянной пластины.</x:t>
        </x:is>
      </x:c>
      <x:c r="V44" s="5" t="inlineStr">
        <x:is>
          <x:t xml:space="preserve">#химия #коллодий #стекло #PL005</x:t>
        </x:is>
      </x:c>
      <x:c r="W44" s="5" t="n"/>
      <x:c r="X44" t="inlineStr">
        <x:is>
          <x:t xml:space="preserve">51.5074, -0.1278</x:t>
        </x:is>
      </x:c>
      <x:c r="Y44" t="inlineStr">
        <x:is>
          <x:t xml:space="preserve">Мокрый коллодий / химия</x:t>
        </x:is>
      </x:c>
      <x:c r="Z44" t="inlineStr">
        <x:is>
          <x:t xml:space="preserve">Технология / процесс</x:t>
        </x:is>
      </x:c>
    </x:row>
    <x:row r="45" s="46" customFormat="1" ht="40" customHeight="1">
      <x:c r="A45" s="5" t="inlineStr">
        <x:is>
          <x:t xml:space="preserve">PL-HIST-0044</x:t>
        </x:is>
      </x:c>
      <x:c r="B45" s="5" t="inlineStr">
        <x:is>
          <x:t xml:space="preserve">1853</x:t>
        </x:is>
      </x:c>
      <x:c r="C45" s="5" t="inlineStr">
        <x:is>
          <x:t xml:space="preserve">год</x:t>
        </x:is>
      </x:c>
      <x:c r="D45" s="5" t="inlineStr">
        <x:is>
          <x:t xml:space="preserve">Великобритания</x:t>
        </x:is>
      </x:c>
      <x:c r="E45" s="5" t="inlineStr">
        <x:is>
          <x:t xml:space="preserve">Лондон</x:t>
        </x:is>
      </x:c>
      <x:c r="F45" s="5" t="inlineStr">
        <x:is>
          <x:t xml:space="preserve">Фредерик Скотт Арчер</x:t>
        </x:is>
      </x:c>
      <x:c r="G45" s="5" t="inlineStr">
        <x:is>
          <x:t xml:space="preserve">Демонстрирует складную коллодионную камеру, совмещённую с мини-тёмной комнатой.</x:t>
        </x:is>
      </x:c>
      <x:c r="H45" s="5" t="inlineStr">
        <x:is>
          <x:t xml:space="preserve">Мокрый коллодий</x:t>
        </x:is>
      </x:c>
      <x:c r="I45" s="5" t="inlineStr">
        <x:is>
          <x:t xml:space="preserve">Folding collodion camera / portable darkroom</x:t>
        </x:is>
      </x:c>
      <x:c r="J45" s="5" t="inlineStr">
        <x:is>
          <x:t xml:space="preserve">Техническая проблема процесса решается конструкцией: фотографу нужно работать с пластиной на месте.</x:t>
        </x:is>
      </x:c>
      <x:c r="K45" s="5" t="inlineStr">
        <x:is>
          <x:t xml:space="preserve">Wet collodion process 1851</x:t>
        </x:is>
      </x:c>
      <x:c r="L45" s="5" t="inlineStr">
        <x:is>
          <x:t xml:space="preserve">Field photography and mobile darkrooms</x:t>
        </x:is>
      </x:c>
      <x:c r="M45" s="5" t="inlineStr">
        <x:is>
          <x:t xml:space="preserve">Переходная технология</x:t>
        </x:is>
      </x:c>
      <x:c r="N45" s="6" t="n">
        <x:v>4</x:v>
      </x:c>
      <x:c r="O45" s="5" t="inlineStr">
        <x:is>
          <x:t xml:space="preserve">PL-005</x:t>
        </x:is>
      </x:c>
      <x:c r="P45" s="5" t="inlineStr">
        <x:is>
          <x:t xml:space="preserve">SRC-021</x:t>
        </x:is>
      </x:c>
      <x:c r="Q45" s="5" t="inlineStr">
        <x:is>
          <x:t xml:space="preserve">National Science and Media Museum — Frederick Scott Archer</x:t>
        </x:is>
      </x:c>
      <x:c r="R45" s="5" t="inlineStr">
        <x:is>
          <x:t xml:space="preserve">https://blog.scienceandmediamuseum.org.uk/photography-a-z-frederick-scott-archer-wet-collodion-process/</x:t>
        </x:is>
      </x:c>
      <x:c r="S45" s="6" t="n">
        <x:v>5</x:v>
      </x:c>
      <x:c r="T45" s="5" t="inlineStr">
        <x:is>
          <x:t xml:space="preserve">Хороший визуальный сюжет: камера как чемодан-лаборатория.</x:t>
        </x:is>
      </x:c>
      <x:c r="U45" s="5" t="inlineStr">
        <x:is>
          <x:t xml:space="preserve">Иконка камеры с рукавами и стеклянной пластиной внутри.</x:t>
        </x:is>
      </x:c>
      <x:c r="V45" s="5" t="inlineStr">
        <x:is>
          <x:t xml:space="preserve">#Archer #collodion-camera #PL005</x:t>
        </x:is>
      </x:c>
      <x:c r="W45" s="5" t="n"/>
      <x:c r="X45" t="inlineStr">
        <x:is>
          <x:t xml:space="preserve">51.5074, -0.1278</x:t>
        </x:is>
      </x:c>
      <x:c r="Y45" t="inlineStr">
        <x:is>
          <x:t xml:space="preserve">Мокрый коллодий / камера</x:t>
        </x:is>
      </x:c>
      <x:c r="Z45" t="inlineStr">
        <x:is>
          <x:t xml:space="preserve">Инструмент / устройство</x:t>
        </x:is>
      </x:c>
    </x:row>
    <x:row r="46" s="46" customFormat="1" ht="40" customHeight="1">
      <x:c r="A46" s="5" t="inlineStr">
        <x:is>
          <x:t xml:space="preserve">PL-HIST-0045</x:t>
        </x:is>
      </x:c>
      <x:c r="B46" s="5" t="inlineStr">
        <x:is>
          <x:t xml:space="preserve">ок. 1853</x:t>
        </x:is>
      </x:c>
      <x:c r="C46" s="5" t="inlineStr">
        <x:is>
          <x:t xml:space="preserve">примерно</x:t>
        </x:is>
      </x:c>
      <x:c r="D46" s="5" t="inlineStr">
        <x:is>
          <x:t xml:space="preserve">Великобритания / США</x:t>
        </x:is>
      </x:c>
      <x:c r="E46" s="5" t="inlineStr">
        <x:is>
          <x:t xml:space="preserve">Лондон / Бостон</x:t>
        </x:is>
      </x:c>
      <x:c r="F46" s="5" t="inlineStr">
        <x:is>
          <x:t xml:space="preserve">Фотографы коллодионного процесса</x:t>
        </x:is>
      </x:c>
      <x:c r="G46" s="5" t="inlineStr">
        <x:is>
          <x:t xml:space="preserve">Появляется коллодионный позитив на стекле, позже известный как амбротип.</x:t>
        </x:is>
      </x:c>
      <x:c r="H46" s="5" t="inlineStr">
        <x:is>
          <x:t xml:space="preserve">Уникальный позитив</x:t>
        </x:is>
      </x:c>
      <x:c r="I46" s="5" t="inlineStr">
        <x:is>
          <x:t xml:space="preserve">Ambrotype / collodion positive</x:t>
        </x:is>
      </x:c>
      <x:c r="J46" s="5" t="inlineStr">
        <x:is>
          <x:t xml:space="preserve">Мокрый коллодий даёт не только негативы для печати, но и дешёвые уникальные портреты.</x:t>
        </x:is>
      </x:c>
      <x:c r="K46" s="5" t="inlineStr">
        <x:is>
          <x:t xml:space="preserve">Wet collodion process</x:t>
        </x:is>
      </x:c>
      <x:c r="L46" s="5" t="inlineStr">
        <x:is>
          <x:t xml:space="preserve">Cutting patent 1854 and tintype</x:t>
        </x:is>
      </x:c>
      <x:c r="M46" s="5" t="inlineStr">
        <x:is>
          <x:t xml:space="preserve">Исторически важная ограниченная ветка</x:t>
        </x:is>
      </x:c>
      <x:c r="N46" s="6" t="n">
        <x:v>4</x:v>
      </x:c>
      <x:c r="O46" s="5" t="inlineStr">
        <x:is>
          <x:t xml:space="preserve">PL-005</x:t>
        </x:is>
      </x:c>
      <x:c r="P46" s="5" t="inlineStr">
        <x:is>
          <x:t xml:space="preserve">SRC-022</x:t>
        </x:is>
      </x:c>
      <x:c r="Q46" s="5" t="inlineStr">
        <x:is>
          <x:t xml:space="preserve">Library of Congress — Ambrotypes and Tintypes</x:t>
        </x:is>
      </x:c>
      <x:c r="R46" s="5" t="inlineStr">
        <x:is>
          <x:t xml:space="preserve">https://www.loc.gov/collections/liljenquist-civil-war-photographs/articles-and-essays/ambrotypes-and-tintypes/</x:t>
        </x:is>
      </x:c>
      <x:c r="S46" s="6" t="n">
        <x:v>4</x:v>
      </x:c>
      <x:c r="T46" s="5" t="inlineStr">
        <x:is>
          <x:t xml:space="preserve">В PL-005 можно сказать: один процесс породил сразу несколько форм — негатив, амбротип, тинтайп.</x:t>
        </x:is>
      </x:c>
      <x:c r="U46" s="5" t="inlineStr">
        <x:is>
          <x:t xml:space="preserve">От основной коллодионной ветки отходит стеклянный позитив.</x:t>
        </x:is>
      </x:c>
      <x:c r="V46" s="5" t="inlineStr">
        <x:is>
          <x:t xml:space="preserve">#ambrotype #collodion-positive #PL005</x:t>
        </x:is>
      </x:c>
      <x:c r="W46" s="5" t="n"/>
      <x:c r="X46" t="inlineStr">
        <x:is>
          <x:t xml:space="preserve">51.5074, -0.1278</x:t>
        </x:is>
      </x:c>
      <x:c r="Y46" t="inlineStr">
        <x:is>
          <x:t xml:space="preserve">Уникальный позитив / мокрый коллодий</x:t>
        </x:is>
      </x:c>
      <x:c r="Z46" t="inlineStr">
        <x:is>
          <x:t xml:space="preserve">Технология / процесс</x:t>
        </x:is>
      </x:c>
    </x:row>
    <x:row r="47" s="46" customFormat="1" ht="40" customHeight="1">
      <x:c r="A47" s="5" t="inlineStr">
        <x:is>
          <x:t xml:space="preserve">PL-HIST-0046</x:t>
        </x:is>
      </x:c>
      <x:c r="B47" s="5" t="inlineStr">
        <x:is>
          <x:t xml:space="preserve">1854</x:t>
        </x:is>
      </x:c>
      <x:c r="C47" s="5" t="inlineStr">
        <x:is>
          <x:t xml:space="preserve">год</x:t>
        </x:is>
      </x:c>
      <x:c r="D47" s="5" t="inlineStr">
        <x:is>
          <x:t xml:space="preserve">США</x:t>
        </x:is>
      </x:c>
      <x:c r="E47" s="5" t="inlineStr">
        <x:is>
          <x:t xml:space="preserve">Бостон</x:t>
        </x:is>
      </x:c>
      <x:c r="F47" s="5" t="inlineStr">
        <x:is>
          <x:t xml:space="preserve">Джеймс Амброуз Каттинг</x:t>
        </x:is>
      </x:c>
      <x:c r="G47" s="5" t="inlineStr">
        <x:is>
          <x:t xml:space="preserve">Патентует улучшения амбротипного процесса.</x:t>
        </x:is>
      </x:c>
      <x:c r="H47" s="5" t="inlineStr">
        <x:is>
          <x:t xml:space="preserve">Уникальный позитив</x:t>
        </x:is>
      </x:c>
      <x:c r="I47" s="5" t="inlineStr">
        <x:is>
          <x:t xml:space="preserve">Ambrotype</x:t>
        </x:is>
      </x:c>
      <x:c r="J47" s="5" t="inlineStr">
        <x:is>
          <x:t xml:space="preserve">Коллодионный позитив становится коммерческой портретной практикой, особенно в 1850–1860-х.</x:t>
        </x:is>
      </x:c>
      <x:c r="K47" s="5" t="inlineStr">
        <x:is>
          <x:t xml:space="preserve">Collodion positive around 1853</x:t>
        </x:is>
      </x:c>
      <x:c r="L47" s="5" t="inlineStr">
        <x:is>
          <x:t xml:space="preserve">Tintype and paper print competition</x:t>
        </x:is>
      </x:c>
      <x:c r="M47" s="5" t="inlineStr">
        <x:is>
          <x:t xml:space="preserve">Исторически важная ограниченная ветка</x:t>
        </x:is>
      </x:c>
      <x:c r="N47" s="6" t="n">
        <x:v>3</x:v>
      </x:c>
      <x:c r="O47" s="5" t="inlineStr">
        <x:is>
          <x:t xml:space="preserve">PL-005</x:t>
        </x:is>
      </x:c>
      <x:c r="P47" s="5" t="inlineStr">
        <x:is>
          <x:t xml:space="preserve">SRC-022</x:t>
        </x:is>
      </x:c>
      <x:c r="Q47" s="5" t="inlineStr">
        <x:is>
          <x:t xml:space="preserve">Library of Congress — Ambrotypes and Tintypes</x:t>
        </x:is>
      </x:c>
      <x:c r="R47" s="5" t="inlineStr">
        <x:is>
          <x:t xml:space="preserve">https://www.loc.gov/collections/liljenquist-civil-war-photographs/articles-and-essays/ambrotypes-and-tintypes/</x:t>
        </x:is>
      </x:c>
      <x:c r="S47" s="6" t="n">
        <x:v>5</x:v>
      </x:c>
      <x:c r="T47" s="5" t="inlineStr">
        <x:is>
          <x:t xml:space="preserve">Для карты: ветка не главная, но культурно важная — доступные портреты.</x:t>
        </x:is>
      </x:c>
      <x:c r="U47" s="5" t="inlineStr">
        <x:is>
          <x:t xml:space="preserve">Портрет на стекле с тёмной подложкой.</x:t>
        </x:is>
      </x:c>
      <x:c r="V47" s="5" t="inlineStr">
        <x:is>
          <x:t xml:space="preserve">#ambrotype #Cutting #portrait</x:t>
        </x:is>
      </x:c>
      <x:c r="W47" s="5" t="n"/>
      <x:c r="X47" t="inlineStr">
        <x:is>
          <x:t xml:space="preserve">42.3601, -71.0589</x:t>
        </x:is>
      </x:c>
      <x:c r="Y47" t="inlineStr">
        <x:is>
          <x:t xml:space="preserve">Уникальный позитив / мокрый коллодий</x:t>
        </x:is>
      </x:c>
      <x:c r="Z47" t="inlineStr">
        <x:is>
          <x:t xml:space="preserve">Технология / процесс</x:t>
        </x:is>
      </x:c>
    </x:row>
    <x:row r="48" s="46" customFormat="1" ht="60" customHeight="1">
      <x:c r="A48" s="5" t="inlineStr">
        <x:is>
          <x:t xml:space="preserve">PL-HIST-0047</x:t>
        </x:is>
      </x:c>
      <x:c r="B48" s="5" t="inlineStr">
        <x:is>
          <x:t xml:space="preserve">1855–1881</x:t>
        </x:is>
      </x:c>
      <x:c r="C48" s="5" t="inlineStr">
        <x:is>
          <x:t xml:space="preserve">диапазон</x:t>
        </x:is>
      </x:c>
      <x:c r="D48" s="5" t="inlineStr">
        <x:is>
          <x:t xml:space="preserve">Европа / США</x:t>
        </x:is>
      </x:c>
      <x:c r="E48" s="5" t="inlineStr">
        <x:is>
          <x:t xml:space="preserve">Студии и полевые лаборатории</x:t>
        </x:is>
      </x:c>
      <x:c r="F48" s="5" t="inlineStr">
        <x:is>
          <x:t xml:space="preserve">Фотографы мокрого коллодия</x:t>
        </x:is>
      </x:c>
      <x:c r="G48" s="5" t="inlineStr">
        <x:is>
          <x:t xml:space="preserve">Мокрый коллодионный негатив + альбуминовая печать формируют классический визуальный язык середины XIX века.</x:t>
        </x:is>
      </x:c>
      <x:c r="H48" s="5" t="inlineStr">
        <x:is>
          <x:t xml:space="preserve">Мокрый коллодий</x:t>
        </x:is>
      </x:c>
      <x:c r="I48" s="5" t="inlineStr">
        <x:is>
          <x:t xml:space="preserve">Wet collodion negative + albumen print</x:t>
        </x:is>
      </x:c>
      <x:c r="J48" s="5" t="inlineStr">
        <x:is>
          <x:t xml:space="preserve">Появляется связка: резкий стеклянный негатив даёт детальные бумажные отпечатки.</x:t>
        </x:is>
      </x:c>
      <x:c r="K48" s="5" t="inlineStr">
        <x:is>
          <x:t xml:space="preserve">Albumen print 1850 + wet collodion 1851</x:t>
        </x:is>
      </x:c>
      <x:c r="L48" s="5" t="inlineStr">
        <x:is>
          <x:t xml:space="preserve">Dry plate and gelatin processes later</x:t>
        </x:is>
      </x:c>
      <x:c r="M48" s="5" t="inlineStr">
        <x:is>
          <x:t xml:space="preserve">Главная линия / временная доминирующая линия</x:t>
        </x:is>
      </x:c>
      <x:c r="N48" s="6" t="n">
        <x:v>5</x:v>
      </x:c>
      <x:c r="O48" s="5" t="inlineStr">
        <x:is>
          <x:t xml:space="preserve">PL-005</x:t>
        </x:is>
      </x:c>
      <x:c r="P48" s="5" t="inlineStr">
        <x:is>
          <x:t xml:space="preserve">SRC-020</x:t>
        </x:is>
      </x:c>
      <x:c r="Q48" s="5" t="inlineStr">
        <x:is>
          <x:t xml:space="preserve">V&amp;A — Photography Processes and Techniques</x:t>
        </x:is>
      </x:c>
      <x:c r="R48" s="5" t="inlineStr">
        <x:is>
          <x:t xml:space="preserve">https://www.vam.ac.uk/info/collection-selection-boxes-photography-processes-and-techniques</x:t>
        </x:is>
      </x:c>
      <x:c r="S48" s="6" t="n">
        <x:v>5</x:v>
      </x:c>
      <x:c r="T48" s="5" t="inlineStr">
        <x:is>
          <x:t xml:space="preserve">Это финальная формула PL-005: не один процесс, а связка негатив + печать.</x:t>
        </x:is>
      </x:c>
      <x:c r="U48" s="5" t="inlineStr">
        <x:is>
          <x:t xml:space="preserve">Двойной узел: стеклянная пластина → альбуминовый отпечаток.</x:t>
        </x:is>
      </x:c>
      <x:c r="V48" s="5" t="inlineStr">
        <x:is>
          <x:t xml:space="preserve">#wet-collodion #albumen #print #PL005</x:t>
        </x:is>
      </x:c>
      <x:c r="W48" s="5" t="n"/>
      <x:c r="Y48" t="inlineStr">
        <x:is>
          <x:t xml:space="preserve">Мокрый коллодий + печать</x:t>
        </x:is>
      </x:c>
      <x:c r="Z48" t="inlineStr">
        <x:is>
          <x:t xml:space="preserve">Тиражирование / публикация</x:t>
        </x:is>
      </x:c>
    </x:row>
    <x:row r="49" s="46" customFormat="1" ht="60" customHeight="1">
      <x:c r="A49" s="5" t="inlineStr">
        <x:is>
          <x:t xml:space="preserve">PL-HIST-0048</x:t>
        </x:is>
      </x:c>
      <x:c r="B49" s="5" t="inlineStr">
        <x:is>
          <x:t xml:space="preserve">1856</x:t>
        </x:is>
      </x:c>
      <x:c r="C49" s="5" t="inlineStr">
        <x:is>
          <x:t xml:space="preserve">год</x:t>
        </x:is>
      </x:c>
      <x:c r="D49" s="5" t="inlineStr">
        <x:is>
          <x:t xml:space="preserve">США / Великобритания</x:t>
        </x:is>
      </x:c>
      <x:c r="E49" s="5" t="inlineStr">
        <x:is>
          <x:t xml:space="preserve">США / Великобритания</x:t>
        </x:is>
      </x:c>
      <x:c r="F49" s="5" t="inlineStr">
        <x:is>
          <x:t xml:space="preserve">Hamilton Smith / William Kloen / другие</x:t>
        </x:is>
      </x:c>
      <x:c r="G49" s="5" t="inlineStr">
        <x:is>
          <x:t xml:space="preserve">Тинтайп/ферротип закрепляется как дешёвый прямой позитив на лакированном металле, связанный с мокрым коллодием.</x:t>
        </x:is>
      </x:c>
      <x:c r="H49" s="5" t="inlineStr">
        <x:is>
          <x:t xml:space="preserve">Уникальный позитив</x:t>
        </x:is>
      </x:c>
      <x:c r="I49" s="5" t="inlineStr">
        <x:is>
          <x:t xml:space="preserve">Tintype / ferrotype</x:t>
        </x:is>
      </x:c>
      <x:c r="J49" s="5" t="inlineStr">
        <x:is>
          <x:t xml:space="preserve">Фотография становится более дешёвой, прочной и мобильной для массового портрета.</x:t>
        </x:is>
      </x:c>
      <x:c r="K49" s="5" t="inlineStr">
        <x:is>
          <x:t xml:space="preserve">Ambrotype and wet collodion</x:t>
        </x:is>
      </x:c>
      <x:c r="L49" s="5" t="inlineStr">
        <x:is>
          <x:t xml:space="preserve">Civil War era portraiture and itinerant photography</x:t>
        </x:is>
      </x:c>
      <x:c r="M49" s="5" t="inlineStr">
        <x:is>
          <x:t xml:space="preserve">Исторически важная ограниченная ветка / художественное возрождение</x:t>
        </x:is>
      </x:c>
      <x:c r="N49" s="6" t="n">
        <x:v>3</x:v>
      </x:c>
      <x:c r="O49" s="5" t="inlineStr">
        <x:is>
          <x:t xml:space="preserve">PL-005</x:t>
        </x:is>
      </x:c>
      <x:c r="P49" s="5" t="inlineStr">
        <x:is>
          <x:t xml:space="preserve">SRC-022</x:t>
        </x:is>
      </x:c>
      <x:c r="Q49" s="5" t="inlineStr">
        <x:is>
          <x:t xml:space="preserve">Library of Congress — Ambrotypes and Tintypes</x:t>
        </x:is>
      </x:c>
      <x:c r="R49" s="5" t="inlineStr">
        <x:is>
          <x:t xml:space="preserve">https://www.loc.gov/collections/liljenquist-civil-war-photographs/articles-and-essays/ambrotypes-and-tintypes/</x:t>
        </x:is>
      </x:c>
      <x:c r="S49" s="6" t="n">
        <x:v>4</x:v>
      </x:c>
      <x:c r="T49" s="5" t="inlineStr">
        <x:is>
          <x:t xml:space="preserve">Это ветка массового портрета: не главная линия к плёнке, но важная социально.</x:t>
        </x:is>
      </x:c>
      <x:c r="U49" s="5" t="inlineStr">
        <x:is>
          <x:t xml:space="preserve">Металлическая пластинка-портрет, ярмарка/палатка.</x:t>
        </x:is>
      </x:c>
      <x:c r="V49" s="5" t="inlineStr">
        <x:is>
          <x:t xml:space="preserve">#tintype #ferrotype #collodion #portrait</x:t>
        </x:is>
      </x:c>
      <x:c r="W49" s="5" t="inlineStr">
        <x:is>
          <x:t xml:space="preserve">Уточнить авторство/патенты 1856 по отдельным источникам.</x:t>
        </x:is>
      </x:c>
      <x:c r="Y49" t="inlineStr">
        <x:is>
          <x:t xml:space="preserve">Уникальный позитив / массовый портрет</x:t>
        </x:is>
      </x:c>
      <x:c r="Z49" t="inlineStr">
        <x:is>
          <x:t xml:space="preserve">Технология / процесс</x:t>
        </x:is>
      </x:c>
    </x:row>
    <x:row r="50" s="46" customFormat="1" ht="61" customHeight="1">
      <x:c r="A50" s="3" t="inlineStr">
        <x:is>
          <x:t xml:space="preserve">PL-HIST-0049</x:t>
        </x:is>
      </x:c>
      <x:c r="B50" s="3" t="inlineStr">
        <x:is>
          <x:t xml:space="preserve">1871</x:t>
        </x:is>
      </x:c>
      <x:c r="C50" s="3" t="inlineStr">
        <x:is>
          <x:t xml:space="preserve">год</x:t>
        </x:is>
      </x:c>
      <x:c r="D50" s="3" t="inlineStr">
        <x:is>
          <x:t xml:space="preserve">Великобритания</x:t>
        </x:is>
      </x:c>
      <x:c r="E50" s="3" t="inlineStr">
        <x:is>
          <x:t xml:space="preserve">Лондон (публикация)</x:t>
        </x:is>
      </x:c>
      <x:c r="F50" s="3" t="inlineStr">
        <x:is>
          <x:t xml:space="preserve">Ричард Лич Мэддокс</x:t>
        </x:is>
      </x:c>
      <x:c r="G50" s="3" t="inlineStr">
        <x:is>
      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      </x:is>
      </x:c>
      <x:c r="H50" s="3" t="inlineStr">
        <x:is>
          <x:t xml:space="preserve">Негатив-позитив</x:t>
        </x:is>
      </x:c>
      <x:c r="I50" s="3" t="inlineStr">
        <x:is>
          <x:t xml:space="preserve">Gelatino-bromide dry plate</x:t>
        </x:is>
      </x:c>
      <x:c r="J50" s="3" t="inlineStr">
        <x:is>
      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      </x:is>
      </x:c>
      <x:c r="K50" s="3" t="inlineStr">
        <x:is>
          <x:t xml:space="preserve">Мокрый коллодий требовал немедленно готовить, снимать и проявлять пластину</x:t>
        </x:is>
      </x:c>
      <x:c r="L50" s="3" t="inlineStr">
        <x:is>
          <x:t xml:space="preserve">Эксперименты Бёрджесса, Кеннетта и Беннетта; коммерческие сухие пластины</x:t>
        </x:is>
      </x:c>
      <x:c r="M50" s="3" t="inlineStr">
        <x:is>
          <x:t xml:space="preserve">Главная линия</x:t>
        </x:is>
      </x:c>
      <x:c r="N50" s="3" t="n">
        <x:v>5</x:v>
      </x:c>
      <x:c r="O50" s="3" t="inlineStr">
        <x:is>
          <x:t xml:space="preserve">PL-006</x:t>
        </x:is>
      </x:c>
      <x:c r="P50" s="3" t="inlineStr">
        <x:is>
          <x:t xml:space="preserve">SRC-027</x:t>
        </x:is>
      </x:c>
      <x:c r="Q50" s="3" t="inlineStr">
        <x:is>
          <x:t xml:space="preserve">National Science and Media Museum — Kodak and Ilford camera factories</x:t>
        </x:is>
      </x:c>
      <x:c r="R50" s="3" t="inlineStr">
        <x:is>
          <x:t xml:space="preserve">https://www.scienceandmediamuseum.org.uk/objects-and-stories/kodak-ilford-camera-factories-1930s</x:t>
        </x:is>
      </x:c>
      <x:c r="S50" s="3" t="n">
        <x:v>5</x:v>
      </x:c>
      <x:c r="T50" s="3" t="inlineStr">
        <x:is>
      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      </x:is>
      </x:c>
      <x:c r="U50" s="3" t="inlineStr">
        <x:is>
          <x:t xml:space="preserve">На карте: влажная красная линия коллодия переходит в сухую стеклянную пластину с желатиновой эмульсией.</x:t>
        </x:is>
      </x:c>
      <x:c r="V50" s="3" t="inlineStr">
        <x:is>
          <x:t xml:space="preserve">#PL006 #dry-plate #Maddox #gelatin #negative-positive</x:t>
        </x:is>
      </x:c>
      <x:c r="W50" s="3" t="inlineStr">
        <x:is>
          <x:t xml:space="preserve">Уточнить, стоит ли привязывать город к Лондону как месту публикации, а не к месту экспериментов.</x:t>
        </x:is>
      </x:c>
      <x:c r="X50" s="3" t="inlineStr">
        <x:is>
          <x:t xml:space="preserve">51.5074, -0.1278</x:t>
        </x:is>
      </x:c>
      <x:c r="Y50" s="3" t="inlineStr">
        <x:is>
          <x:t xml:space="preserve">Сухие желатиновые пластины / химия</x:t>
        </x:is>
      </x:c>
      <x:c r="Z50" s="3" t="inlineStr">
        <x:is>
          <x:t xml:space="preserve">Технология / процесс</x:t>
        </x:is>
      </x:c>
      <x:c r="AA50" t="inlineStr">
        <x:is>
          <x:t xml:space="preserve">да</x:t>
        </x:is>
      </x:c>
    </x:row>
    <x:row r="51" s="46" customFormat="1" ht="61" customHeight="1">
      <x:c r="A51" s="3" t="inlineStr">
        <x:is>
          <x:t xml:space="preserve">PL-HIST-0050</x:t>
        </x:is>
      </x:c>
      <x:c r="B51" s="3" t="inlineStr">
        <x:is>
          <x:t xml:space="preserve">1874</x:t>
        </x:is>
      </x:c>
      <x:c r="C51" s="3" t="inlineStr">
        <x:is>
          <x:t xml:space="preserve">год</x:t>
        </x:is>
      </x:c>
      <x:c r="D51" s="3" t="inlineStr">
        <x:is>
          <x:t xml:space="preserve">Великобритания</x:t>
        </x:is>
      </x:c>
      <x:c r="E51" s="3" t="inlineStr">
        <x:is>
          <x:t xml:space="preserve">Ливерпуль</x:t>
        </x:is>
      </x:c>
      <x:c r="F51" s="3" t="inlineStr">
        <x:is>
          <x:t xml:space="preserve">Liverpool Dry Plate Company / ранние производители</x:t>
        </x:is>
      </x:c>
      <x:c r="G51" s="3" t="inlineStr">
        <x:is>
          <x:t xml:space="preserve">Начинаются коммерческие продажи желатиновых сухих пластин; одним из первых производителей называется Liverpool Dry Plate Company.</x:t>
        </x:is>
      </x:c>
      <x:c r="H51" s="3" t="inlineStr">
        <x:is>
          <x:t xml:space="preserve">Негатив-позитив</x:t>
        </x:is>
      </x:c>
      <x:c r="I51" s="3" t="inlineStr">
        <x:is>
          <x:t xml:space="preserve">Commercial gelatin dry plates</x:t>
        </x:is>
      </x:c>
      <x:c r="J51" s="3" t="inlineStr">
        <x:is>
          <x:t xml:space="preserve">Фотограф впервые может не готовить пластину сам перед съёмкой, а купить готовый чувствительный материал.</x:t>
        </x:is>
      </x:c>
      <x:c r="K51" s="3" t="inlineStr">
        <x:is>
          <x:t xml:space="preserve">Публикация Мэддокса 1871 и последующие улучшения</x:t>
        </x:is>
      </x:c>
      <x:c r="L51" s="3" t="inlineStr">
        <x:is>
          <x:t xml:space="preserve">Беннетт повышает чувствительность эмульсии; производство становится практичнее</x:t>
        </x:is>
      </x:c>
      <x:c r="M51" s="3" t="inlineStr">
        <x:is>
          <x:t xml:space="preserve">Распространение / коммерциализация</x:t>
        </x:is>
      </x:c>
      <x:c r="N51" s="3" t="n">
        <x:v>4</x:v>
      </x:c>
      <x:c r="O51" s="3" t="inlineStr">
        <x:is>
          <x:t xml:space="preserve">PL-006</x:t>
        </x:is>
      </x:c>
      <x:c r="P51" s="3" t="inlineStr">
        <x:is>
          <x:t xml:space="preserve">SRC-027</x:t>
        </x:is>
      </x:c>
      <x:c r="Q51" s="3" t="inlineStr">
        <x:is>
          <x:t xml:space="preserve">National Science and Media Museum — Kodak and Ilford camera factories</x:t>
        </x:is>
      </x:c>
      <x:c r="R51" s="3" t="inlineStr">
        <x:is>
          <x:t xml:space="preserve">https://www.scienceandmediamuseum.org.uk/objects-and-stories/kodak-ilford-camera-factories-1930s</x:t>
        </x:is>
      </x:c>
      <x:c r="S51" s="3" t="n">
        <x:v>4</x:v>
      </x:c>
      <x:c r="T51" s="3" t="inlineStr">
        <x:is>
          <x:t xml:space="preserve">Для новичка: это переход от «сам себе химик» к покупке готового фотоматериала.</x:t>
        </x:is>
      </x:c>
      <x:c r="U51" s="3" t="inlineStr">
        <x:is>
          <x:t xml:space="preserve">Иконка фабричной коробки сухих пластин рядом со стеклянной пластиной.</x:t>
        </x:is>
      </x:c>
      <x:c r="V51" s="3" t="inlineStr">
        <x:is>
          <x:t xml:space="preserve">#PL006 #LiverpoolDryPlate #commercial #dry-plate</x:t>
        </x:is>
      </x:c>
      <x:c r="W51" s="3" t="inlineStr">
        <x:is>
          <x:t xml:space="preserve">Проверить по отдельному источнику точное название компании и формат первых продаж.</x:t>
        </x:is>
      </x:c>
      <x:c r="X51" s="3" t="inlineStr">
        <x:is>
          <x:t xml:space="preserve">53.4084, -2.9916</x:t>
        </x:is>
      </x:c>
      <x:c r="Y51" s="3" t="inlineStr">
        <x:is>
          <x:t xml:space="preserve">Сухие желатиновые пластины / коммерциализация</x:t>
        </x:is>
      </x:c>
      <x:c r="Z51" s="3" t="inlineStr">
        <x:is>
          <x:t xml:space="preserve">Распространение / коммерциализация</x:t>
        </x:is>
      </x:c>
    </x:row>
    <x:row r="52" s="46" customFormat="1" ht="46" customHeight="1">
      <x:c r="A52" s="3" t="inlineStr">
        <x:is>
          <x:t xml:space="preserve">PL-HIST-0051</x:t>
        </x:is>
      </x:c>
      <x:c r="B52" s="3" t="inlineStr">
        <x:is>
          <x:t xml:space="preserve">1878</x:t>
        </x:is>
      </x:c>
      <x:c r="C52" s="3" t="inlineStr">
        <x:is>
          <x:t xml:space="preserve">год</x:t>
        </x:is>
      </x:c>
      <x:c r="D52" s="3" t="inlineStr">
        <x:is>
          <x:t xml:space="preserve">Великобритания</x:t>
        </x:is>
      </x:c>
      <x:c r="E52" s="3" t="inlineStr">
        <x:is>
          <x:t xml:space="preserve">Лондон</x:t>
        </x:is>
      </x:c>
      <x:c r="F52" s="3" t="inlineStr">
        <x:is>
          <x:t xml:space="preserve">Чарльз Харпер Беннетт</x:t>
        </x:is>
      </x:c>
      <x:c r="G52" s="3" t="inlineStr">
        <x:is>
          <x:t xml:space="preserve">Предлагает нагревать/«созревать» желатиновую эмульсию перед нанесением на стекло, резко повышая её светочувствительность.</x:t>
        </x:is>
      </x:c>
      <x:c r="H52" s="3" t="inlineStr">
        <x:is>
          <x:t xml:space="preserve">Негатив-позитив</x:t>
        </x:is>
      </x:c>
      <x:c r="I52" s="3" t="inlineStr">
        <x:is>
          <x:t xml:space="preserve">Ripened gelatin-bromide emulsion</x:t>
        </x:is>
      </x:c>
      <x:c r="J52" s="3" t="inlineStr">
        <x:is>
          <x:t xml:space="preserve">Сухая пластина становится достаточно быстрой для коротких выдержек и съёмки более живого движения.</x:t>
        </x:is>
      </x:c>
      <x:c r="K52" s="3" t="inlineStr">
        <x:is>
          <x:t xml:space="preserve">Желатино-бромидная сухая пластина Мэддокса</x:t>
        </x:is>
      </x:c>
      <x:c r="L52" s="3" t="inlineStr">
        <x:is>
          <x:t xml:space="preserve">Сухие пластины входят в широкое производство и начинают вытеснять мокрый коллодий</x:t>
        </x:is>
      </x:c>
      <x:c r="M52" s="3" t="inlineStr">
        <x:is>
          <x:t xml:space="preserve">Главная линия</x:t>
        </x:is>
      </x:c>
      <x:c r="N52" s="3" t="n">
        <x:v>5</x:v>
      </x:c>
      <x:c r="O52" s="3" t="inlineStr">
        <x:is>
          <x:t xml:space="preserve">PL-006</x:t>
        </x:is>
      </x:c>
      <x:c r="P52" s="3" t="inlineStr">
        <x:is>
          <x:t xml:space="preserve">SRC-029</x:t>
        </x:is>
      </x:c>
      <x:c r="Q52" s="3" t="inlineStr">
        <x:is>
          <x:t xml:space="preserve">Swiss Camera Museum — Gelatine bromide plates</x:t>
        </x:is>
      </x:c>
      <x:c r="R52" s="3" t="inlineStr">
        <x:is>
          <x:t xml:space="preserve">https://www.cameramuseum.ch/en/discover/permanent-exhibition/the-plate-era/gelatine-bromide-plates/</x:t>
        </x:is>
      </x:c>
      <x:c r="S52" s="3" t="n">
        <x:v>5</x:v>
      </x:c>
      <x:c r="T52" s="3" t="inlineStr">
        <x:is>
          <x:t xml:space="preserve">Драматургия урока: сухая пластина была удобной, но сначала слабой; Беннетт сделал её действительно быстрой.</x:t>
        </x:is>
      </x:c>
      <x:c r="U52" s="3" t="inlineStr">
        <x:is>
          <x:t xml:space="preserve">Иконка нагрева эмульсии + секундомер/короткая выдержка.</x:t>
        </x:is>
      </x:c>
      <x:c r="V52" s="3" t="inlineStr">
        <x:is>
          <x:t xml:space="preserve">#PL006 #Bennett #gelatin-bromide #instantaneous</x:t>
        </x:is>
      </x:c>
      <x:c r="W52" s="3" t="n"/>
      <x:c r="X52" s="3" t="inlineStr">
        <x:is>
          <x:t xml:space="preserve">51.5074, -0.1278</x:t>
        </x:is>
      </x:c>
      <x:c r="Y52" s="3" t="inlineStr">
        <x:is>
          <x:t xml:space="preserve">Сухие желатиновые пластины / повышение чувствительности</x:t>
        </x:is>
      </x:c>
      <x:c r="Z52" s="3" t="inlineStr">
        <x:is>
          <x:t xml:space="preserve">Технология / процесс</x:t>
        </x:is>
      </x:c>
    </x:row>
    <x:row r="53" s="46" customFormat="1" ht="46" customHeight="1">
      <x:c r="A53" s="3" t="inlineStr">
        <x:is>
          <x:t xml:space="preserve">PL-HIST-0052</x:t>
        </x:is>
      </x:c>
      <x:c r="B53" s="3" t="inlineStr">
        <x:is>
          <x:t xml:space="preserve">1878</x:t>
        </x:is>
      </x:c>
      <x:c r="C53" s="3" t="inlineStr">
        <x:is>
          <x:t xml:space="preserve">год</x:t>
        </x:is>
      </x:c>
      <x:c r="D53" s="3" t="inlineStr">
        <x:is>
          <x:t xml:space="preserve">Великобритания / Европа</x:t>
        </x:is>
      </x:c>
      <x:c r="E53" s="3" t="inlineStr">
        <x:is>
          <x:t xml:space="preserve">Лондон / промышленные центры</x:t>
        </x:is>
      </x:c>
      <x:c r="F53" s="3" t="inlineStr">
        <x:is>
          <x:t xml:space="preserve">Производители фотоматериалов</x:t>
        </x:is>
      </x:c>
      <x:c r="G53" s="3" t="inlineStr">
        <x:is>
      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      </x:is>
      </x:c>
      <x:c r="H53" s="3" t="inlineStr">
        <x:is>
          <x:t xml:space="preserve">Негатив-позитив</x:t>
        </x:is>
      </x:c>
      <x:c r="I53" s="3" t="inlineStr">
        <x:is>
          <x:t xml:space="preserve">Manufactured gelatin dry plates</x:t>
        </x:is>
      </x:c>
      <x:c r="J53" s="3" t="inlineStr">
        <x:is>
          <x:t xml:space="preserve">Фотографу больше не нужна переносная тёмная комната на каждую съёмку; процесс становится удобнее, чище и предсказуемее.</x:t>
        </x:is>
      </x:c>
      <x:c r="K53" s="3" t="inlineStr">
        <x:is>
          <x:t xml:space="preserve">Улучшение чувствительности эмульсии Беннеттом</x:t>
        </x:is>
      </x:c>
      <x:c r="L53" s="3" t="inlineStr">
        <x:is>
          <x:t xml:space="preserve">Фабричное производство пластин и рост любительской фотографии</x:t>
        </x:is>
      </x:c>
      <x:c r="M53" s="3" t="inlineStr">
        <x:is>
          <x:t xml:space="preserve">Главная линия / временная доминирующая линия</x:t>
        </x:is>
      </x:c>
      <x:c r="N53" s="3" t="n">
        <x:v>5</x:v>
      </x:c>
      <x:c r="O53" s="3" t="inlineStr">
        <x:is>
          <x:t xml:space="preserve">PL-006</x:t>
        </x:is>
      </x:c>
      <x:c r="P53" s="3" t="inlineStr">
        <x:is>
          <x:t xml:space="preserve">SRC-028</x:t>
        </x:is>
      </x:c>
      <x:c r="Q53" s="3" t="inlineStr">
        <x:is>
          <x:t xml:space="preserve">National Science and Media Museum — A brief guide to photographs on glass</x:t>
        </x:is>
      </x:c>
      <x:c r="R53" s="3" t="inlineStr">
        <x:is>
          <x:t xml:space="preserve">https://blog.scienceandmediamuseum.org.uk/a-brief-guide-to-photographs-on-glass/</x:t>
        </x:is>
      </x:c>
      <x:c r="S53" s="3" t="n">
        <x:v>5</x:v>
      </x:c>
      <x:c r="T53" s="3" t="inlineStr">
        <x:is>
          <x:t xml:space="preserve">Это ключевой смысл PL-006: фотография освобождается от немедленной химической гонки мокрого коллодия.</x:t>
        </x:is>
      </x:c>
      <x:c r="U53" s="3" t="inlineStr">
        <x:is>
          <x:t xml:space="preserve">Линия: палатка-лаборатория исчезает, остаётся камера + коробка готовых пластин.</x:t>
        </x:is>
      </x:c>
      <x:c r="V53" s="3" t="inlineStr">
        <x:is>
          <x:t xml:space="preserve">#PL006 #manufacture #dry-plate #wet-collodion</x:t>
        </x:is>
      </x:c>
      <x:c r="W53" s="3" t="n"/>
      <x:c r="X53" s="3" t="inlineStr">
        <x:is>
          <x:t xml:space="preserve">51.5074, -0.1278</x:t>
        </x:is>
      </x:c>
      <x:c r="Y53" s="3" t="inlineStr">
        <x:is>
          <x:t xml:space="preserve">Сухие желатиновые пластины / переход от мокрого коллодия</x:t>
        </x:is>
      </x:c>
      <x:c r="Z53" s="3" t="inlineStr">
        <x:is>
          <x:t xml:space="preserve">Связь / переход</x:t>
        </x:is>
      </x:c>
    </x:row>
    <x:row r="54" s="46" customFormat="1" ht="61" customHeight="1">
      <x:c r="A54" s="3" t="inlineStr">
        <x:is>
          <x:t xml:space="preserve">PL-HIST-0053</x:t>
        </x:is>
      </x:c>
      <x:c r="B54" s="3" t="inlineStr">
        <x:is>
          <x:t xml:space="preserve">конец 1870-х – 1880-е</x:t>
        </x:is>
      </x:c>
      <x:c r="C54" s="3" t="inlineStr">
        <x:is>
          <x:t xml:space="preserve">диапазон</x:t>
        </x:is>
      </x:c>
      <x:c r="D54" s="3" t="inlineStr">
        <x:is>
          <x:t xml:space="preserve">Европа / США</x:t>
        </x:is>
      </x:c>
      <x:c r="E54" s="3" t="inlineStr">
        <x:is>
          <x:t xml:space="preserve">распределённый процесс</x:t>
        </x:is>
      </x:c>
      <x:c r="F54" s="3" t="inlineStr">
        <x:is>
          <x:t xml:space="preserve">Фотографы и производители сухих пластин</x:t>
        </x:is>
      </x:c>
      <x:c r="G54" s="3" t="inlineStr">
        <x:is>
      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      </x:is>
      </x:c>
      <x:c r="H54" s="3" t="inlineStr">
        <x:is>
          <x:t xml:space="preserve">Негатив-позитив</x:t>
        </x:is>
      </x:c>
      <x:c r="I54" s="3" t="inlineStr">
        <x:is>
          <x:t xml:space="preserve">Fast dry plate / instantaneous photography</x:t>
        </x:is>
      </x:c>
      <x:c r="J54" s="3" t="inlineStr">
        <x:is>
          <x:t xml:space="preserve">Сокращение выдержки меняет не только технику, но и визуальный язык: фотография становится ближе к «моменту».</x:t>
        </x:is>
      </x:c>
      <x:c r="K54" s="3" t="inlineStr">
        <x:is>
          <x:t xml:space="preserve">Беннетт повышает чувствительность эмульсии</x:t>
        </x:is>
      </x:c>
      <x:c r="L54" s="3" t="inlineStr">
        <x:is>
          <x:t xml:space="preserve">Распространение портативных камер, любительской съёмки и последующий переход к плёнке</x:t>
        </x:is>
      </x:c>
      <x:c r="M54" s="3" t="inlineStr">
        <x:is>
          <x:t xml:space="preserve">Главная линия</x:t>
        </x:is>
      </x:c>
      <x:c r="N54" s="3" t="n">
        <x:v>4</x:v>
      </x:c>
      <x:c r="O54" s="3" t="inlineStr">
        <x:is>
          <x:t xml:space="preserve">PL-006</x:t>
        </x:is>
      </x:c>
      <x:c r="P54" s="3" t="inlineStr">
        <x:is>
          <x:t xml:space="preserve">SRC-030</x:t>
        </x:is>
      </x:c>
      <x:c r="Q54" s="3" t="inlineStr">
        <x:is>
          <x:t xml:space="preserve">Cornell Library — Dawn's Early Light: Towards Modern Photography</x:t>
        </x:is>
      </x:c>
      <x:c r="R54" s="3" t="inlineStr">
        <x:is>
          <x:t xml:space="preserve">https://rmc.library.cornell.edu/DawnsEarlyLight/exhibition/modernphotography/index.html</x:t>
        </x:is>
      </x:c>
      <x:c r="S54" s="3" t="n">
        <x:v>4</x:v>
      </x:c>
      <x:c r="T54" s="3" t="inlineStr">
        <x:is>
          <x:t xml:space="preserve">Для лекции: сухая пластина — это не просто удобство хранения, а новая скорость взгляда.</x:t>
        </x:is>
      </x:c>
      <x:c r="U54" s="3" t="inlineStr">
        <x:is>
          <x:t xml:space="preserve">На карте: рядом с пластиной появляется значок бегущего человека/движения.</x:t>
        </x:is>
      </x:c>
      <x:c r="V54" s="3" t="inlineStr">
        <x:is>
          <x:t xml:space="preserve">#PL006 #instantaneous #motion #dry-plate</x:t>
        </x:is>
      </x:c>
      <x:c r="W54" s="3" t="n"/>
      <x:c r="X54" s="3" t="n"/>
      <x:c r="Y54" s="3" t="inlineStr">
        <x:is>
          <x:t xml:space="preserve">Сухие желатиновые пластины / скорость и движение</x:t>
        </x:is>
      </x:c>
      <x:c r="Z54" s="3" t="inlineStr">
        <x:is>
          <x:t xml:space="preserve">Применение / жанр</x:t>
        </x:is>
      </x:c>
    </x:row>
    <x:row r="55" s="46" customFormat="1" ht="46" customHeight="1">
      <x:c r="A55" s="3" t="inlineStr">
        <x:is>
          <x:t xml:space="preserve">PL-HIST-0054</x:t>
        </x:is>
      </x:c>
      <x:c r="B55" s="3" t="inlineStr">
        <x:is>
          <x:t xml:space="preserve">1880</x:t>
        </x:is>
      </x:c>
      <x:c r="C55" s="3" t="inlineStr">
        <x:is>
          <x:t xml:space="preserve">год</x:t>
        </x:is>
      </x:c>
      <x:c r="D55" s="3" t="inlineStr">
        <x:is>
          <x:t xml:space="preserve">США</x:t>
        </x:is>
      </x:c>
      <x:c r="E55" s="3" t="inlineStr">
        <x:is>
          <x:t xml:space="preserve">Рочестер, Нью-Йорк</x:t>
        </x:is>
      </x:c>
      <x:c r="F55" s="3" t="inlineStr">
        <x:is>
          <x:t xml:space="preserve">Джордж Истмен</x:t>
        </x:is>
      </x:c>
      <x:c r="G55" s="3" t="inlineStr">
        <x:is>
          <x:t xml:space="preserve">Начинает коммерчески производить сухие пластины в США и масштабировать их изготовление.</x:t>
        </x:is>
      </x:c>
      <x:c r="H55" s="3" t="inlineStr">
        <x:is>
          <x:t xml:space="preserve">Негатив-позитив</x:t>
        </x:is>
      </x:c>
      <x:c r="I55" s="3" t="inlineStr">
        <x:is>
          <x:t xml:space="preserve">Eastman dry plates</x:t>
        </x:is>
      </x:c>
      <x:c r="J55" s="3" t="inlineStr">
        <x:is>
          <x:t xml:space="preserve">Сухая пластина становится не только европейским техническим процессом, но и основой американской фотоиндустрии.</x:t>
        </x:is>
      </x:c>
      <x:c r="K55" s="3" t="inlineStr">
        <x:is>
          <x:t xml:space="preserve">Коммерческие сухие пластины в Великобритании и улучшения Беннетта</x:t>
        </x:is>
      </x:c>
      <x:c r="L55" s="3" t="inlineStr">
        <x:is>
          <x:t xml:space="preserve">Eastman Dry Plate Company; дальнейший поиск замены стекла гибким носителем</x:t>
        </x:is>
      </x:c>
      <x:c r="M55" s="3" t="inlineStr">
        <x:is>
          <x:t xml:space="preserve">Распространение / коммерциализация</x:t>
        </x:is>
      </x:c>
      <x:c r="N55" s="3" t="n">
        <x:v>4</x:v>
      </x:c>
      <x:c r="O55" s="3" t="inlineStr">
        <x:is>
          <x:t xml:space="preserve">PL-006</x:t>
        </x:is>
      </x:c>
      <x:c r="P55" s="3" t="inlineStr">
        <x:is>
          <x:t xml:space="preserve">SRC-031</x:t>
        </x:is>
      </x:c>
      <x:c r="Q55" s="3" t="inlineStr">
        <x:is>
          <x:t xml:space="preserve">Kodak — History</x:t>
        </x:is>
      </x:c>
      <x:c r="R55" s="3" t="inlineStr">
        <x:is>
          <x:t xml:space="preserve">https://www.kodak.com/en/company/page/history/</x:t>
        </x:is>
      </x:c>
      <x:c r="S55" s="3" t="n">
        <x:v>5</x:v>
      </x:c>
      <x:c r="T55" s="3" t="inlineStr">
        <x:is>
          <x:t xml:space="preserve">Здесь появляется мост к Kodak: сначала Истмен работает не с плёнкой, а именно с сухими пластинами.</x:t>
        </x:is>
      </x:c>
      <x:c r="U55" s="3" t="inlineStr">
        <x:is>
          <x:t xml:space="preserve">Иконка Рочестера/фабрики + коробка Eastman dry plates.</x:t>
        </x:is>
      </x:c>
      <x:c r="V55" s="3" t="inlineStr">
        <x:is>
          <x:t xml:space="preserve">#PL006 #Eastman #Rochester #dry-plate #Kodak</x:t>
        </x:is>
      </x:c>
      <x:c r="W55" s="3" t="n"/>
      <x:c r="X55" s="3" t="inlineStr">
        <x:is>
          <x:t xml:space="preserve">43.1566, -77.6088</x:t>
        </x:is>
      </x:c>
      <x:c r="Y55" s="3" t="inlineStr">
        <x:is>
          <x:t xml:space="preserve">Сухие желатиновые пластины / американская индустрия</x:t>
        </x:is>
      </x:c>
      <x:c r="Z55" s="3" t="inlineStr">
        <x:is>
          <x:t xml:space="preserve">Распространение / коммерциализация</x:t>
        </x:is>
      </x:c>
    </x:row>
    <x:row r="56" s="46" customFormat="1" ht="46" customHeight="1">
      <x:c r="A56" s="3" t="inlineStr">
        <x:is>
          <x:t xml:space="preserve">PL-HIST-0055</x:t>
        </x:is>
      </x:c>
      <x:c r="B56" s="3" t="inlineStr">
        <x:is>
          <x:t xml:space="preserve">1881</x:t>
        </x:is>
      </x:c>
      <x:c r="C56" s="3" t="inlineStr">
        <x:is>
          <x:t xml:space="preserve">точная дата</x:t>
        </x:is>
      </x:c>
      <x:c r="D56" s="3" t="inlineStr">
        <x:is>
          <x:t xml:space="preserve">США</x:t>
        </x:is>
      </x:c>
      <x:c r="E56" s="3" t="inlineStr">
        <x:is>
          <x:t xml:space="preserve">Рочестер, Нью-Йорк</x:t>
        </x:is>
      </x:c>
      <x:c r="F56" s="3" t="inlineStr">
        <x:is>
          <x:t xml:space="preserve">Джордж Истмен / Генри Стронг</x:t>
        </x:is>
      </x:c>
      <x:c r="G56" s="3" t="inlineStr">
        <x:is>
          <x:t xml:space="preserve">1 января 1881 года создаётся Eastman Dry Plate Company.</x:t>
        </x:is>
      </x:c>
      <x:c r="H56" s="3" t="inlineStr">
        <x:is>
          <x:t xml:space="preserve">Негатив-позитив</x:t>
        </x:is>
      </x:c>
      <x:c r="I56" s="3" t="inlineStr">
        <x:is>
          <x:t xml:space="preserve">Eastman Dry Plate Company</x:t>
        </x:is>
      </x:c>
      <x:c r="J56" s="3" t="inlineStr">
        <x:is>
          <x:t xml:space="preserve">Промышленная логика фотографии усиливается: производство чувствительного материала становится самостоятельным бизнесом.</x:t>
        </x:is>
      </x:c>
      <x:c r="K56" s="3" t="inlineStr">
        <x:is>
          <x:t xml:space="preserve">Истмен начинает коммерческое производство сухих пластин в 1880</x:t>
        </x:is>
      </x:c>
      <x:c r="L56" s="3" t="inlineStr">
        <x:is>
          <x:t xml:space="preserve">Eastman Dry Plate and Film Company; рулонные носители и Kodak</x:t>
        </x:is>
      </x:c>
      <x:c r="M56" s="3" t="inlineStr">
        <x:is>
          <x:t xml:space="preserve">Распространение / коммерциализация</x:t>
        </x:is>
      </x:c>
      <x:c r="N56" s="3" t="n">
        <x:v>4</x:v>
      </x:c>
      <x:c r="O56" s="3" t="inlineStr">
        <x:is>
          <x:t xml:space="preserve">PL-006</x:t>
        </x:is>
      </x:c>
      <x:c r="P56" s="3" t="inlineStr">
        <x:is>
          <x:t xml:space="preserve">SRC-032</x:t>
        </x:is>
      </x:c>
      <x:c r="Q56" s="3" t="inlineStr">
        <x:is>
          <x:t xml:space="preserve">Kodak — George Eastman History</x:t>
        </x:is>
      </x:c>
      <x:c r="R56" s="3" t="inlineStr">
        <x:is>
          <x:t xml:space="preserve">https://www.kodak.com/en/company/page/george-eastman-history/</x:t>
        </x:is>
      </x:c>
      <x:c r="S56" s="3" t="n">
        <x:v>5</x:v>
      </x:c>
      <x:c r="T56" s="3" t="inlineStr">
        <x:is>
          <x:t xml:space="preserve">Это важный узел для перехода: Kodak родился не сразу как камера для всех, а из бизнеса сухих пластин.</x:t>
        </x:is>
      </x:c>
      <x:c r="U56" s="3" t="inlineStr">
        <x:is>
          <x:t xml:space="preserve">На карте: фабрика/брендовый узел между сухими пластинами и будущей плёнкой.</x:t>
        </x:is>
      </x:c>
      <x:c r="V56" s="3" t="inlineStr">
        <x:is>
          <x:t xml:space="preserve">#PL006 #EastmanDryPlateCompany #Rochester #Kodak</x:t>
        </x:is>
      </x:c>
      <x:c r="W56" s="3" t="n"/>
      <x:c r="X56" s="3" t="inlineStr">
        <x:is>
          <x:t xml:space="preserve">43.1566, -77.6088</x:t>
        </x:is>
      </x:c>
      <x:c r="Y56" s="3" t="inlineStr">
        <x:is>
          <x:t xml:space="preserve">Сухие желатиновые пластины / бизнес и масштабирование</x:t>
        </x:is>
      </x:c>
      <x:c r="Z56" s="3" t="inlineStr">
        <x:is>
          <x:t xml:space="preserve">Распространение / коммерциализация</x:t>
        </x:is>
      </x:c>
    </x:row>
    <x:row r="57" s="46" customFormat="1" ht="46" customHeight="1">
      <x:c r="A57" s="3" t="inlineStr">
        <x:is>
          <x:t xml:space="preserve">PL-HIST-0056</x:t>
        </x:is>
      </x:c>
      <x:c r="B57" s="3" t="inlineStr">
        <x:is>
          <x:t xml:space="preserve">1880–1900</x:t>
        </x:is>
      </x:c>
      <x:c r="C57" s="3" t="inlineStr">
        <x:is>
          <x:t xml:space="preserve">диапазон</x:t>
        </x:is>
      </x:c>
      <x:c r="D57" s="3" t="inlineStr">
        <x:is>
          <x:t xml:space="preserve">Европа / США</x:t>
        </x:is>
      </x:c>
      <x:c r="E57" s="3" t="inlineStr">
        <x:is>
          <x:t xml:space="preserve">распределённый процесс</x:t>
        </x:is>
      </x:c>
      <x:c r="F57" s="3" t="inlineStr">
        <x:is>
          <x:t xml:space="preserve">Фотографы конца XIX века</x:t>
        </x:is>
      </x:c>
      <x:c r="G57" s="3" t="inlineStr">
        <x:is>
          <x:t xml:space="preserve">Желатиновые сухие пластинные негативы становятся наиболее распространённой формой негативов примерно с 1880 по 1900 год.</x:t>
        </x:is>
      </x:c>
      <x:c r="H57" s="3" t="inlineStr">
        <x:is>
          <x:t xml:space="preserve">Негатив-позитив</x:t>
        </x:is>
      </x:c>
      <x:c r="I57" s="3" t="inlineStr">
        <x:is>
          <x:t xml:space="preserve">Gelatin dry plate negative</x:t>
        </x:is>
      </x:c>
      <x:c r="J57" s="3" t="inlineStr">
        <x:is>
          <x:t xml:space="preserve">На два десятилетия сухая пластина становится нормой профессиональной и серьёзной любительской фотографии.</x:t>
        </x:is>
      </x:c>
      <x:c r="K57" s="3" t="inlineStr">
        <x:is>
          <x:t xml:space="preserve">Производство сухих пластин и рост чувствительности эмульсий</x:t>
        </x:is>
      </x:c>
      <x:c r="L57" s="3" t="inlineStr">
        <x:is>
          <x:t xml:space="preserve">Гибкая плёнка постепенно заменяет стеклянную пластину в массовой фотографии</x:t>
        </x:is>
      </x:c>
      <x:c r="M57" s="3" t="inlineStr">
        <x:is>
          <x:t xml:space="preserve">Главная линия / временная доминирующая линия</x:t>
        </x:is>
      </x:c>
      <x:c r="N57" s="3" t="n">
        <x:v>4</x:v>
      </x:c>
      <x:c r="O57" s="3" t="inlineStr">
        <x:is>
          <x:t xml:space="preserve">PL-006</x:t>
        </x:is>
      </x:c>
      <x:c r="P57" s="3" t="inlineStr">
        <x:is>
          <x:t xml:space="preserve">SRC-033</x:t>
        </x:is>
      </x:c>
      <x:c r="Q57" s="3" t="inlineStr">
        <x:is>
          <x:t xml:space="preserve">Smithsonian Institution Archives — Gelatin Dry Plate Negatives</x:t>
        </x:is>
      </x:c>
      <x:c r="R57" s="3" t="inlineStr">
        <x:is>
          <x:t xml:space="preserve">https://siarchives.si.edu/blog/highlight-photo-cold-vault-gelatin-dry-plate-negatives</x:t>
        </x:is>
      </x:c>
      <x:c r="S57" s="3" t="n">
        <x:v>5</x:v>
      </x:c>
      <x:c r="T57" s="3" t="inlineStr">
        <x:is>
          <x:t xml:space="preserve">Формула для урока: мокрый коллодий был революцией середины века, сухая пластина — нормой конца века.</x:t>
        </x:is>
      </x:c>
      <x:c r="U57" s="3" t="inlineStr">
        <x:is>
          <x:t xml:space="preserve">Широкая полоса на таймлайне 1880–1900: «эпоха сухих пластин».</x:t>
        </x:is>
      </x:c>
      <x:c r="V57" s="3" t="inlineStr">
        <x:is>
          <x:t xml:space="preserve">#PL006 #1880s #dry-plate-negative #glass-negative</x:t>
        </x:is>
      </x:c>
      <x:c r="W57" s="3" t="n"/>
      <x:c r="X57" s="3" t="n"/>
      <x:c r="Y57" s="3" t="inlineStr">
        <x:is>
          <x:t xml:space="preserve">Сухие желатиновые пластины / доминирующая практика</x:t>
        </x:is>
      </x:c>
      <x:c r="Z57" s="3" t="inlineStr">
        <x:is>
          <x:t xml:space="preserve">Ключевой исторический узел</x:t>
        </x:is>
      </x:c>
    </x:row>
    <x:row r="58" s="46" customFormat="1" ht="61" customHeight="1">
      <x:c r="A58" s="3" t="inlineStr">
        <x:is>
          <x:t xml:space="preserve">PL-HIST-0057</x:t>
        </x:is>
      </x:c>
      <x:c r="B58" s="3" t="inlineStr">
        <x:is>
          <x:t xml:space="preserve">1880-е</x:t>
        </x:is>
      </x:c>
      <x:c r="C58" s="3" t="inlineStr">
        <x:is>
          <x:t xml:space="preserve">диапазон</x:t>
        </x:is>
      </x:c>
      <x:c r="D58" s="3" t="inlineStr">
        <x:is>
          <x:t xml:space="preserve">Европа / США</x:t>
        </x:is>
      </x:c>
      <x:c r="E58" s="3" t="inlineStr">
        <x:is>
          <x:t xml:space="preserve">распределённый процесс</x:t>
        </x:is>
      </x:c>
      <x:c r="F58" s="3" t="inlineStr">
        <x:is>
          <x:t xml:space="preserve">Профессиональные и любительские фотографы</x:t>
        </x:is>
      </x:c>
      <x:c r="G58" s="3" t="inlineStr">
        <x:is>
      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      </x:is>
      </x:c>
      <x:c r="H58" s="3" t="inlineStr">
        <x:is>
          <x:t xml:space="preserve">Негатив-позитив</x:t>
        </x:is>
      </x:c>
      <x:c r="I58" s="3" t="inlineStr">
        <x:is>
          <x:t xml:space="preserve">Prepared dry plates / delayed development</x:t>
        </x:is>
      </x:c>
      <x:c r="J58" s="3" t="inlineStr">
        <x:is>
          <x:t xml:space="preserve">Фотограф получает свободу маршрута: съёмка и проявка впервые заметно расходятся во времени и пространстве.</x:t>
        </x:is>
      </x:c>
      <x:c r="K58" s="3" t="inlineStr">
        <x:is>
          <x:t xml:space="preserve">Wet collodion field darkroom</x:t>
        </x:is>
      </x:c>
      <x:c r="L58" s="3" t="inlineStr">
        <x:is>
          <x:t xml:space="preserve">Portable cameras, amateur photography and roll film systems</x:t>
        </x:is>
      </x:c>
      <x:c r="M58" s="3" t="inlineStr">
        <x:is>
          <x:t xml:space="preserve">Главная линия</x:t>
        </x:is>
      </x:c>
      <x:c r="N58" s="3" t="n">
        <x:v>5</x:v>
      </x:c>
      <x:c r="O58" s="3" t="inlineStr">
        <x:is>
          <x:t xml:space="preserve">PL-006</x:t>
        </x:is>
      </x:c>
      <x:c r="P58" s="3" t="inlineStr">
        <x:is>
          <x:t xml:space="preserve">SRC-034</x:t>
        </x:is>
      </x:c>
      <x:c r="Q58" s="3" t="inlineStr">
        <x:is>
          <x:t xml:space="preserve">George Eastman Museum — Dry Plates in the Woods</x:t>
        </x:is>
      </x:c>
      <x:c r="R58" s="3" t="inlineStr">
        <x:is>
          <x:t xml:space="preserve">https://www.eastman.org/blog/dry-plates-woods-using-19th-century-photographic-processes-capture-letchworth-state-park</x:t>
        </x:is>
      </x:c>
      <x:c r="S58" s="3" t="n">
        <x:v>5</x:v>
      </x:c>
      <x:c r="T58" s="3" t="inlineStr">
        <x:is>
          <x:t xml:space="preserve">Очень понятная фраза для новичка: теперь не нужно тащить лабораторию за каждым кадром.</x:t>
        </x:is>
      </x:c>
      <x:c r="U58" s="3" t="inlineStr">
        <x:is>
          <x:t xml:space="preserve">Маршрутная линия: фотограф уходит из лаборатории на улицу/в лес, а проявляет позже.</x:t>
        </x:is>
      </x:c>
      <x:c r="V58" s="3" t="inlineStr">
        <x:is>
          <x:t xml:space="preserve">#PL006 #mobility #delayed-development #dry-plate</x:t>
        </x:is>
      </x:c>
      <x:c r="W58" s="3" t="n"/>
      <x:c r="X58" s="3" t="n"/>
      <x:c r="Y58" s="3" t="inlineStr">
        <x:is>
          <x:t xml:space="preserve">Сухие желатиновые пластины / мобильность</x:t>
        </x:is>
      </x:c>
      <x:c r="Z58" s="3" t="inlineStr">
        <x:is>
          <x:t xml:space="preserve">Связь / переход</x:t>
        </x:is>
      </x:c>
    </x:row>
    <x:row r="59" s="46" customFormat="1" ht="61" customHeight="1">
      <x:c r="A59" s="3" t="inlineStr">
        <x:is>
          <x:t xml:space="preserve">PL-HIST-0058</x:t>
        </x:is>
      </x:c>
      <x:c r="B59" s="3" t="inlineStr">
        <x:is>
          <x:t xml:space="preserve">1880-е</x:t>
        </x:is>
      </x:c>
      <x:c r="C59" s="3" t="inlineStr">
        <x:is>
          <x:t xml:space="preserve">диапазон</x:t>
        </x:is>
      </x:c>
      <x:c r="D59" s="3" t="inlineStr">
        <x:is>
          <x:t xml:space="preserve">США / Великобритания</x:t>
        </x:is>
      </x:c>
      <x:c r="E59" s="3" t="inlineStr">
        <x:is>
          <x:t xml:space="preserve">Рочестер / промышленные центры</x:t>
        </x:is>
      </x:c>
      <x:c r="F59" s="3" t="inlineStr">
        <x:is>
          <x:t xml:space="preserve">Джордж Истмен и производители фотоматериалов</x:t>
        </x:is>
      </x:c>
      <x:c r="G59" s="3" t="inlineStr">
        <x:is>
      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      </x:is>
      </x:c>
      <x:c r="H59" s="3" t="inlineStr">
        <x:is>
          <x:t xml:space="preserve">Негатив-позитив</x:t>
        </x:is>
      </x:c>
      <x:c r="I59" s="3" t="inlineStr">
        <x:is>
          <x:t xml:space="preserve">Bridge from glass plates to roll film</x:t>
        </x:is>
      </x:c>
      <x:c r="J59" s="3" t="inlineStr">
        <x:is>
          <x:t xml:space="preserve">PL-006 логически открывает PL-007: после свободы от мокрой химии фотография начинает освобождаться от стеклянной пластины.</x:t>
        </x:is>
      </x:c>
      <x:c r="K59" s="3" t="inlineStr">
        <x:is>
          <x:t xml:space="preserve">Сухие желатиновые пластины как удобный готовый негативный материал</x:t>
        </x:is>
      </x:c>
      <x:c r="L59" s="3" t="inlineStr">
        <x:is>
          <x:t xml:space="preserve">Рулонная плёнка, Kodak camera 1888, массовая любительская фотография</x:t>
        </x:is>
      </x:c>
      <x:c r="M59" s="3" t="inlineStr">
        <x:is>
          <x:t xml:space="preserve">Связь / переход</x:t>
        </x:is>
      </x:c>
      <x:c r="N59" s="3" t="n">
        <x:v>5</x:v>
      </x:c>
      <x:c r="O59" s="3" t="inlineStr">
        <x:is>
          <x:t xml:space="preserve">PL-006</x:t>
        </x:is>
      </x:c>
      <x:c r="P59" s="3" t="inlineStr">
        <x:is>
          <x:t xml:space="preserve">SRC-031</x:t>
        </x:is>
      </x:c>
      <x:c r="Q59" s="3" t="inlineStr">
        <x:is>
          <x:t xml:space="preserve">Kodak — History</x:t>
        </x:is>
      </x:c>
      <x:c r="R59" s="3" t="inlineStr">
        <x:is>
          <x:t xml:space="preserve">https://www.kodak.com/en/company/page/history/</x:t>
        </x:is>
      </x:c>
      <x:c r="S59" s="3" t="n">
        <x:v>4</x:v>
      </x:c>
      <x:c r="T59" s="3" t="inlineStr">
        <x:is>
          <x:t xml:space="preserve">Это интрига на следующий урок: фотография стала сухой, но пока ещё стеклянной.</x:t>
        </x:is>
      </x:c>
      <x:c r="U59" s="3" t="inlineStr">
        <x:is>
          <x:t xml:space="preserve">Стеклянная пластина превращается в гибкую ленту/рулон — стрелка к будущему PL-007.</x:t>
        </x:is>
      </x:c>
      <x:c r="V59" s="3" t="inlineStr">
        <x:is>
          <x:t xml:space="preserve">#PL006 #bridge #roll-film #Kodak #future-PL</x:t>
        </x:is>
      </x:c>
      <x:c r="W59" s="3" t="inlineStr">
        <x:is>
          <x:t xml:space="preserve">При планировании PL-007 уточнить отдельными источниками Eastman-Walker roll holder и даты ранней рулонной плёнки.</x:t>
        </x:is>
      </x:c>
      <x:c r="X59" s="3" t="inlineStr">
        <x:is>
          <x:t xml:space="preserve">43.1566, -77.6088</x:t>
        </x:is>
      </x:c>
      <x:c r="Y59" s="3" t="inlineStr">
        <x:is>
          <x:t xml:space="preserve">Сухие желатиновые пластины / мост к плёнке</x:t>
        </x:is>
      </x:c>
      <x:c r="Z59" s="3" t="inlineStr">
        <x:is>
          <x:t xml:space="preserve">Связь / переход</x:t>
        </x:is>
      </x:c>
    </x:row>
    <x:row r="60" s="46" customFormat="1" ht="17" customHeight="1">
      <x:c r="A60" s="8" t="inlineStr">
        <x:is>
          <x:t xml:space="preserve">PL-HIST-0059</x:t>
        </x:is>
      </x:c>
      <x:c r="B60" s="8" t="inlineStr">
        <x:is>
          <x:t xml:space="preserve">1884</x:t>
        </x:is>
      </x:c>
      <x:c r="C60" s="8" t="inlineStr">
        <x:is>
          <x:t xml:space="preserve">год</x:t>
        </x:is>
      </x:c>
      <x:c r="D60" s="8" t="inlineStr">
        <x:is>
          <x:t xml:space="preserve">США</x:t>
        </x:is>
      </x:c>
      <x:c r="E60" s="8" t="inlineStr">
        <x:is>
          <x:t xml:space="preserve">Рочестер, Нью-Йорк</x:t>
        </x:is>
      </x:c>
      <x:c r="F60" s="8" t="inlineStr">
        <x:is>
          <x:t xml:space="preserve">Джордж Истмен / Eastman Dry Plate and Film Company</x:t>
        </x:is>
      </x:c>
      <x:c r="G60" s="8" t="inlineStr">
        <x:is>
          <x:t xml:space="preserve">Компания Истмена меняет акцент с одних сухих пластин на поиск более удобного рулонного носителя для фотографии.</x:t>
        </x:is>
      </x:c>
      <x:c r="H60" s="8" t="inlineStr">
        <x:is>
          <x:t xml:space="preserve">Негатив-позитив</x:t>
        </x:is>
      </x:c>
      <x:c r="I60" s="8" t="inlineStr">
        <x:is>
          <x:t xml:space="preserve">Eastman Dry Plate and Film Company / roll-film direction</x:t>
        </x:is>
      </x:c>
      <x:c r="J60" s="8" t="inlineStr">
        <x:is>
          <x:t xml:space="preserve">После сухих пластин следующей проблемой становится не химия, а носитель: стекло нужно заменить чем-то гибким и лёгким.</x:t>
        </x:is>
      </x:c>
      <x:c r="K60" s="8" t="inlineStr">
        <x:is>
          <x:t xml:space="preserve">Сухие желатиновые пластины освободили фотографа от мокрой лаборатории, но не от тяжёлого стекла.</x:t>
        </x:is>
      </x:c>
      <x:c r="L60" s="8" t="inlineStr">
        <x:is>
          <x:t xml:space="preserve">Eastman-Walker roll holder и бумажная рулонная плёнка</x:t>
        </x:is>
      </x:c>
      <x:c r="M60" s="8" t="inlineStr">
        <x:is>
          <x:t xml:space="preserve">Связь / переход</x:t>
        </x:is>
      </x:c>
      <x:c r="N60" s="8" t="n">
        <x:v>4</x:v>
      </x:c>
      <x:c r="O60" s="8" t="inlineStr">
        <x:is>
          <x:t xml:space="preserve">PL-007</x:t>
        </x:is>
      </x:c>
      <x:c r="P60" s="8" t="inlineStr">
        <x:is>
          <x:t xml:space="preserve">SRC-031</x:t>
        </x:is>
      </x:c>
      <x:c r="Q60" s="8" t="inlineStr">
        <x:is>
          <x:t xml:space="preserve">Kodak — History</x:t>
        </x:is>
      </x:c>
      <x:c r="R60" s="8" t="inlineStr">
        <x:is>
          <x:t xml:space="preserve">https://www.kodak.com/en/company/page/history/</x:t>
        </x:is>
      </x:c>
      <x:c r="S60" s="8" t="n">
        <x:v>4</x:v>
      </x:c>
      <x:c r="T60" s="8" t="inlineStr">
        <x:is>
          <x:t xml:space="preserve">В уроке это мост: фотография уже стала сухой, но ещё остаётся стеклянной. Истмен ищет следующий уровень удобства.</x:t>
        </x:is>
      </x:c>
      <x:c r="U60" s="8" t="inlineStr">
        <x:is>
          <x:t xml:space="preserve">Стеклянная пластина на карте превращается в намотанную ленту.</x:t>
        </x:is>
      </x:c>
      <x:c r="V60" s="8" t="inlineStr">
        <x:is>
          <x:t xml:space="preserve">#PL007 #Eastman #roll-film #Rochester #bridge</x:t>
        </x:is>
      </x:c>
      <x:c r="W60" s="8" t="inlineStr">
        <x:is>
          <x:t xml:space="preserve">Уточнить, нужна ли отдельная строка по юридическому переименованию компании 1884 или достаточно оставить как контекст.</x:t>
        </x:is>
      </x:c>
      <x:c r="X60" s="8" t="inlineStr">
        <x:is>
          <x:t xml:space="preserve">43.1566, -77.6088</x:t>
        </x:is>
      </x:c>
      <x:c r="Y60" s="8" t="inlineStr">
        <x:is>
          <x:t xml:space="preserve">Рулонная плёнка / бизнес-переход</x:t>
        </x:is>
      </x:c>
      <x:c r="Z60" s="8" t="inlineStr">
        <x:is>
          <x:t xml:space="preserve">Связь / переход</x:t>
        </x:is>
      </x:c>
      <x:c r="AA60" s="8" t="n"/>
    </x:row>
    <x:row r="61" s="46" customFormat="1" ht="17" customHeight="1">
      <x:c r="A61" s="8" t="inlineStr">
        <x:is>
          <x:t xml:space="preserve">PL-HIST-0060</x:t>
        </x:is>
      </x:c>
      <x:c r="B61" s="8" t="inlineStr">
        <x:is>
          <x:t xml:space="preserve">1885</x:t>
        </x:is>
      </x:c>
      <x:c r="C61" s="8" t="inlineStr">
        <x:is>
          <x:t xml:space="preserve">год</x:t>
        </x:is>
      </x:c>
      <x:c r="D61" s="8" t="inlineStr">
        <x:is>
          <x:t xml:space="preserve">США</x:t>
        </x:is>
      </x:c>
      <x:c r="E61" s="8" t="inlineStr">
        <x:is>
          <x:t xml:space="preserve">Рочестер, Нью-Йорк</x:t>
        </x:is>
      </x:c>
      <x:c r="F61" s="8" t="inlineStr">
        <x:is>
          <x:t xml:space="preserve">Джордж Истмен / Уильям Холл Уокер</x:t>
        </x:is>
      </x:c>
      <x:c r="G61" s="8" t="inlineStr">
        <x:is>
          <x:t xml:space="preserve">Появляется Eastman-Walker roll holder — держатель, позволявший использовать рулонный носитель в камерах, рассчитанных на пластины.</x:t>
        </x:is>
      </x:c>
      <x:c r="H61" s="8" t="inlineStr">
        <x:is>
          <x:t xml:space="preserve">Негатив-позитив</x:t>
        </x:is>
      </x:c>
      <x:c r="I61" s="8" t="inlineStr">
        <x:is>
          <x:t xml:space="preserve">Eastman-Walker roll holder</x:t>
        </x:is>
      </x:c>
      <x:c r="J61" s="8" t="inlineStr">
        <x:is>
          <x:t xml:space="preserve">Камера начинает работать не с одиночными стеклянными пластинами, а с последовательностью кадров на рулоне.</x:t>
        </x:is>
      </x:c>
      <x:c r="K61" s="8" t="inlineStr">
        <x:is>
          <x:t xml:space="preserve">Сухая пластина как готовый негативный материал</x:t>
        </x:is>
      </x:c>
      <x:c r="L61" s="8" t="inlineStr">
        <x:is>
          <x:t xml:space="preserve">American Film и первые попытки коммерческого рулонного процесса</x:t>
        </x:is>
      </x:c>
      <x:c r="M61" s="8" t="inlineStr">
        <x:is>
          <x:t xml:space="preserve">Главная линия</x:t>
        </x:is>
      </x:c>
      <x:c r="N61" s="8" t="n">
        <x:v>5</x:v>
      </x:c>
      <x:c r="O61" s="8" t="inlineStr">
        <x:is>
          <x:t xml:space="preserve">PL-007</x:t>
        </x:is>
      </x:c>
      <x:c r="P61" s="8" t="inlineStr">
        <x:is>
          <x:t xml:space="preserve">SRC-035</x:t>
        </x:is>
      </x:c>
      <x:c r="Q61" s="8" t="inlineStr">
        <x:is>
          <x:t xml:space="preserve">Science Museum Group — Eastman-Walker roll holder</x:t>
        </x:is>
      </x:c>
      <x:c r="R61" s="8" t="inlineStr">
        <x:is>
          <x:t xml:space="preserve">https://collection.sciencemuseumgroup.org.uk/objects/co15879/eastman-walker-roll-holder</x:t>
        </x:is>
      </x:c>
      <x:c r="S61" s="8" t="n">
        <x:v>5</x:v>
      </x:c>
      <x:c r="T61" s="8" t="inlineStr">
        <x:is>
          <x:t xml:space="preserve">Для новичка: рулонная плёнка сначала вошла не как маленькая камера Kodak, а как приставка/держатель для уже существующих камер.</x:t>
        </x:is>
      </x:c>
      <x:c r="U61" s="8" t="inlineStr">
        <x:is>
          <x:t xml:space="preserve">На карте: рядом с камерой появляется рулонный модуль вместо стопки стеклянных пластин.</x:t>
        </x:is>
      </x:c>
      <x:c r="V61" s="8" t="inlineStr">
        <x:is>
          <x:t xml:space="preserve">#PL007 #EastmanWalker #roll-holder #Rochester</x:t>
        </x:is>
      </x:c>
      <x:c r="W61" s="8" t="n"/>
      <x:c r="X61" s="8" t="inlineStr">
        <x:is>
          <x:t xml:space="preserve">43.1566, -77.6088</x:t>
        </x:is>
      </x:c>
      <x:c r="Y61" s="8" t="inlineStr">
        <x:is>
          <x:t xml:space="preserve">Рулонная плёнка / держатель</x:t>
        </x:is>
      </x:c>
      <x:c r="Z61" s="8" t="inlineStr">
        <x:is>
          <x:t xml:space="preserve">Инструмент / устройство</x:t>
        </x:is>
      </x:c>
      <x:c r="AA61" s="8" t="n"/>
    </x:row>
    <x:row r="62" s="46" customFormat="1" ht="17" customHeight="1">
      <x:c r="A62" s="8" t="inlineStr">
        <x:is>
          <x:t xml:space="preserve">PL-HIST-0061</x:t>
        </x:is>
      </x:c>
      <x:c r="B62" s="8" t="inlineStr">
        <x:is>
          <x:t xml:space="preserve">1885</x:t>
        </x:is>
      </x:c>
      <x:c r="C62" s="8" t="inlineStr">
        <x:is>
          <x:t xml:space="preserve">год</x:t>
        </x:is>
      </x:c>
      <x:c r="D62" s="8" t="inlineStr">
        <x:is>
          <x:t xml:space="preserve">США</x:t>
        </x:is>
      </x:c>
      <x:c r="E62" s="8" t="inlineStr">
        <x:is>
          <x:t xml:space="preserve">Рочестер, Нью-Йорк</x:t>
        </x:is>
      </x:c>
      <x:c r="F62" s="8" t="inlineStr">
        <x:is>
          <x:t xml:space="preserve">Джордж Истмен / Eastman Dry Plate and Film Company</x:t>
        </x:is>
      </x:c>
      <x:c r="G62" s="8" t="inlineStr">
        <x:is>
          <x:t xml:space="preserve">Eastman American Film с бумажной основой вводится вместе с Eastman-Walker roll holder и предлагается профессиональным фотографам.</x:t>
        </x:is>
      </x:c>
      <x:c r="H62" s="8" t="inlineStr">
        <x:is>
          <x:t xml:space="preserve">Негатив-позитив</x:t>
        </x:is>
      </x:c>
      <x:c r="I62" s="8" t="inlineStr">
        <x:is>
          <x:t xml:space="preserve">American Film / paper-based roll film</x:t>
        </x:is>
      </x:c>
      <x:c r="J62" s="8" t="inlineStr">
        <x:is>
          <x:t xml:space="preserve">Рулонный носитель становится реальным коммерческим продуктом, но бумажная основа ещё даёт ограничения по качеству.</x:t>
        </x:is>
      </x:c>
      <x:c r="K62" s="8" t="inlineStr">
        <x:is>
          <x:t xml:space="preserve">Eastman-Walker roll holder</x:t>
        </x:is>
      </x:c>
      <x:c r="L62" s="8" t="inlineStr">
        <x:is>
          <x:t xml:space="preserve">Kodak camera 1888 и прозрачная рулонная плёнка 1889</x:t>
        </x:is>
      </x:c>
      <x:c r="M62" s="8" t="inlineStr">
        <x:is>
          <x:t xml:space="preserve">Переходная технология</x:t>
        </x:is>
      </x:c>
      <x:c r="N62" s="8" t="n">
        <x:v>4</x:v>
      </x:c>
      <x:c r="O62" s="8" t="inlineStr">
        <x:is>
          <x:t xml:space="preserve">PL-007</x:t>
        </x:is>
      </x:c>
      <x:c r="P62" s="8" t="inlineStr">
        <x:is>
          <x:t xml:space="preserve">SRC-036</x:t>
        </x:is>
      </x:c>
      <x:c r="Q62" s="8" t="inlineStr">
        <x:is>
          <x:t xml:space="preserve">George Eastman Museum — Two rare rolls of early Kodak film</x:t>
        </x:is>
      </x:c>
      <x:c r="R62" s="8" t="inlineStr">
        <x:is>
          <x:t xml:space="preserve">https://www.eastman.org/two-rare-rolls-early-kodak-film-acquired-george-eastman-museum</x:t>
        </x:is>
      </x:c>
      <x:c r="S62" s="8" t="n">
        <x:v>5</x:v>
      </x:c>
      <x:c r="T62" s="8" t="inlineStr">
        <x:is>
          <x:t xml:space="preserve">Важно показать честно: первая рулонная плёнка была удобнее стекла, но ещё не идеальна по изображению.</x:t>
        </x:is>
      </x:c>
      <x:c r="U62" s="8" t="inlineStr">
        <x:is>
          <x:t xml:space="preserve">Пунктирная лента: рулон уже появился, но ещё требует улучшения.</x:t>
        </x:is>
      </x:c>
      <x:c r="V62" s="8" t="inlineStr">
        <x:is>
          <x:t xml:space="preserve">#PL007 #AmericanFilm #paper-roll-film #Eastman</x:t>
        </x:is>
      </x:c>
      <x:c r="W62" s="8" t="n"/>
      <x:c r="X62" s="8" t="inlineStr">
        <x:is>
          <x:t xml:space="preserve">43.1566, -77.6088</x:t>
        </x:is>
      </x:c>
      <x:c r="Y62" s="8" t="inlineStr">
        <x:is>
          <x:t xml:space="preserve">Рулонная плёнка / бумажная основа</x:t>
        </x:is>
      </x:c>
      <x:c r="Z62" s="8" t="inlineStr">
        <x:is>
          <x:t xml:space="preserve">Технология / процесс</x:t>
        </x:is>
      </x:c>
      <x:c r="AA62" s="8" t="n"/>
    </x:row>
    <x:row r="63" s="46" customFormat="1" ht="17" customHeight="1">
      <x:c r="A63" s="8" t="inlineStr">
        <x:is>
          <x:t xml:space="preserve">PL-HIST-0062</x:t>
        </x:is>
      </x:c>
      <x:c r="B63" s="8" t="inlineStr">
        <x:is>
          <x:t xml:space="preserve">1887</x:t>
        </x:is>
      </x:c>
      <x:c r="C63" s="8" t="inlineStr">
        <x:is>
          <x:t xml:space="preserve">год</x:t>
        </x:is>
      </x:c>
      <x:c r="D63" s="8" t="inlineStr">
        <x:is>
          <x:t xml:space="preserve">США</x:t>
        </x:is>
      </x:c>
      <x:c r="E63" s="8" t="inlineStr">
        <x:is>
          <x:t xml:space="preserve">Ньюарк, Нью-Джерси</x:t>
        </x:is>
      </x:c>
      <x:c r="F63" s="8" t="inlineStr">
        <x:is>
          <x:t xml:space="preserve">Ганнибал Гудвин</x:t>
        </x:is>
      </x:c>
      <x:c r="G63" s="8" t="inlineStr">
        <x:is>
          <x:t xml:space="preserve">Гудвин подаёт патентную заявку на прозрачную гибкую фотографическую плёнку на нитроцеллюлозной основе.</x:t>
        </x:is>
      </x:c>
      <x:c r="H63" s="8" t="inlineStr">
        <x:is>
          <x:t xml:space="preserve">Негатив-позитив</x:t>
        </x:is>
      </x:c>
      <x:c r="I63" s="8" t="inlineStr">
        <x:is>
          <x:t xml:space="preserve">Flexible transparent nitrocellulose film</x:t>
        </x:is>
      </x:c>
      <x:c r="J63" s="8" t="inlineStr">
        <x:is>
      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      </x:is>
      </x:c>
      <x:c r="K63" s="8" t="inlineStr">
        <x:is>
          <x:t xml:space="preserve">Ограничения бумажной рулонной плёнки</x:t>
        </x:is>
      </x:c>
      <x:c r="L63" s="8" t="inlineStr">
        <x:is>
          <x:t xml:space="preserve">Прозрачная плёнка Eastman/Reichenbach и патентные споры вокруг целлулоидной основы</x:t>
        </x:is>
      </x:c>
      <x:c r="M63" s="8" t="inlineStr">
        <x:is>
          <x:t xml:space="preserve">Исторически важная ограниченная ветка</x:t>
        </x:is>
      </x:c>
      <x:c r="N63" s="8" t="n">
        <x:v>4</x:v>
      </x:c>
      <x:c r="O63" s="8" t="inlineStr">
        <x:is>
          <x:t xml:space="preserve">PL-007</x:t>
        </x:is>
      </x:c>
      <x:c r="P63" s="8" t="inlineStr">
        <x:is>
          <x:t xml:space="preserve">SRC-037</x:t>
        </x:is>
      </x:c>
      <x:c r="Q63" s="8" t="inlineStr">
        <x:is>
          <x:t xml:space="preserve">National Inventors Hall of Fame — Hannibal Goodwin</x:t>
        </x:is>
      </x:c>
      <x:c r="R63" s="8" t="inlineStr">
        <x:is>
          <x:t xml:space="preserve">https://www.invent.org/inductees/hannibal-goodwin</x:t>
        </x:is>
      </x:c>
      <x:c r="S63" s="8" t="n">
        <x:v>4</x:v>
      </x:c>
      <x:c r="T63" s="8" t="inlineStr">
        <x:is>
          <x:t xml:space="preserve">Этот узел нужен как параллельная ветка: история плёнки — не только Истмен, но и спорная линия Гудвина.</x:t>
        </x:is>
      </x:c>
      <x:c r="U63" s="8" t="inlineStr">
        <x:is>
          <x:t xml:space="preserve">От основной линии Kodak отходит пунктирная ветка к Ньюарку: изобретатель вне большой фабрики.</x:t>
        </x:is>
      </x:c>
      <x:c r="V63" s="8" t="inlineStr">
        <x:is>
          <x:t xml:space="preserve">#PL007 #Goodwin #celluloid #transparent-film #patent</x:t>
        </x:is>
      </x:c>
      <x:c r="W63" s="8" t="inlineStr">
        <x:is>
          <x:t xml:space="preserve">Проверить формулировку: заявка 1887, патент выдан позже; не писать как мгновенно утверждённый патент.</x:t>
        </x:is>
      </x:c>
      <x:c r="X63" s="8" t="inlineStr">
        <x:is>
          <x:t xml:space="preserve">40.7357, -74.1724</x:t>
        </x:is>
      </x:c>
      <x:c r="Y63" s="8" t="inlineStr">
        <x:is>
          <x:t xml:space="preserve">Рулонная плёнка / целлулоидная основа</x:t>
        </x:is>
      </x:c>
      <x:c r="Z63" s="8" t="inlineStr">
        <x:is>
          <x:t xml:space="preserve">Технология / процесс</x:t>
        </x:is>
      </x:c>
      <x:c r="AA63" s="8" t="n"/>
    </x:row>
    <x:row r="64" s="46" customFormat="1" ht="17" customHeight="1">
      <x:c r="A64" s="8" t="inlineStr">
        <x:is>
          <x:t xml:space="preserve">PL-HIST-0063</x:t>
        </x:is>
      </x:c>
      <x:c r="B64" s="8" t="inlineStr">
        <x:is>
          <x:t xml:space="preserve">1888</x:t>
        </x:is>
      </x:c>
      <x:c r="C64" s="8" t="inlineStr">
        <x:is>
          <x:t xml:space="preserve">год</x:t>
        </x:is>
      </x:c>
      <x:c r="D64" s="8" t="inlineStr">
        <x:is>
          <x:t xml:space="preserve">США</x:t>
        </x:is>
      </x:c>
      <x:c r="E64" s="8" t="inlineStr">
        <x:is>
          <x:t xml:space="preserve">Рочестер, Нью-Йорк</x:t>
        </x:is>
      </x:c>
      <x:c r="F64" s="8" t="inlineStr">
        <x:is>
          <x:t xml:space="preserve">Джордж Истмен / Kodak</x:t>
        </x:is>
      </x:c>
      <x:c r="G64" s="8" t="inlineStr">
        <x:is>
          <x:t xml:space="preserve">Появляется первая камера Kodak: простая box-camera, заранее заряженная рулоном на 100 снимков.</x:t>
        </x:is>
      </x:c>
      <x:c r="H64" s="8" t="inlineStr">
        <x:is>
          <x:t xml:space="preserve">Негатив-позитив</x:t>
        </x:is>
      </x:c>
      <x:c r="I64" s="8" t="inlineStr">
        <x:is>
          <x:t xml:space="preserve">Original Kodak camera / roll-film camera</x:t>
        </x:is>
      </x:c>
      <x:c r="J64" s="8" t="inlineStr">
        <x:is>
      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      </x:is>
      </x:c>
      <x:c r="K64" s="8" t="inlineStr">
        <x:is>
          <x:t xml:space="preserve">American Film и попытки заменить стеклянную пластину рулонным носителем</x:t>
        </x:is>
      </x:c>
      <x:c r="L64" s="8" t="inlineStr">
        <x:is>
          <x:t xml:space="preserve">Сервисная модель Kodak и массовая любительская фотография</x:t>
        </x:is>
      </x:c>
      <x:c r="M64" s="8" t="inlineStr">
        <x:is>
          <x:t xml:space="preserve">Главная линия</x:t>
        </x:is>
      </x:c>
      <x:c r="N64" s="8" t="n">
        <x:v>5</x:v>
      </x:c>
      <x:c r="O64" s="8" t="inlineStr">
        <x:is>
          <x:t xml:space="preserve">PL-007</x:t>
        </x:is>
      </x:c>
      <x:c r="P64" s="8" t="inlineStr">
        <x:is>
          <x:t xml:space="preserve">SRC-038</x:t>
        </x:is>
      </x:c>
      <x:c r="Q64" s="8" t="inlineStr">
        <x:is>
          <x:t xml:space="preserve">Smithsonian NMAH — Original Kodak Camera, Serial No. 540</x:t>
        </x:is>
      </x:c>
      <x:c r="R64" s="8" t="inlineStr">
        <x:is>
          <x:t xml:space="preserve">https://americanhistory.si.edu/collections/object/nmah_760118</x:t>
        </x:is>
      </x:c>
      <x:c r="S64" s="8" t="n">
        <x:v>5</x:v>
      </x:c>
      <x:c r="T64" s="8" t="inlineStr">
        <x:is>
          <x:t xml:space="preserve">Это флагман PL-007: камера Kodak изменила не только материал, но и саму роль фотографа.</x:t>
        </x:is>
      </x:c>
      <x:c r="U64" s="8" t="inlineStr">
        <x:is>
          <x:t xml:space="preserve">Главный узел: маленькая box-camera с рулоном внутри, от неё расходится линия к массовой фотографии.</x:t>
        </x:is>
      </x:c>
      <x:c r="V64" s="8" t="inlineStr">
        <x:is>
          <x:t xml:space="preserve">#PL007 #Kodak #roll-film-camera #Eastman #Rochester</x:t>
        </x:is>
      </x:c>
      <x:c r="W64" s="8" t="n"/>
      <x:c r="X64" s="8" t="inlineStr">
        <x:is>
          <x:t xml:space="preserve">43.1566, -77.6088</x:t>
        </x:is>
      </x:c>
      <x:c r="Y64" s="8" t="inlineStr">
        <x:is>
          <x:t xml:space="preserve">Рулонная плёнка / Kodak camera</x:t>
        </x:is>
      </x:c>
      <x:c r="Z64" s="8" t="inlineStr">
        <x:is>
          <x:t xml:space="preserve">Ключевой исторический узел</x:t>
        </x:is>
      </x:c>
      <x:c r="AA64" s="8" t="inlineStr">
        <x:is>
          <x:t xml:space="preserve">да</x:t>
        </x:is>
      </x:c>
    </x:row>
    <x:row r="65" s="46" customFormat="1" ht="17" customHeight="1">
      <x:c r="A65" s="8" t="inlineStr">
        <x:is>
          <x:t xml:space="preserve">PL-HIST-0064</x:t>
        </x:is>
      </x:c>
      <x:c r="B65" s="8" t="inlineStr">
        <x:is>
          <x:t xml:space="preserve">1888</x:t>
        </x:is>
      </x:c>
      <x:c r="C65" s="8" t="inlineStr">
        <x:is>
          <x:t xml:space="preserve">год</x:t>
        </x:is>
      </x:c>
      <x:c r="D65" s="8" t="inlineStr">
        <x:is>
          <x:t xml:space="preserve">США</x:t>
        </x:is>
      </x:c>
      <x:c r="E65" s="8" t="inlineStr">
        <x:is>
          <x:t xml:space="preserve">Рочестер, Нью-Йорк</x:t>
        </x:is>
      </x:c>
      <x:c r="F65" s="8" t="inlineStr">
        <x:is>
          <x:t xml:space="preserve">Джордж Истмен / Kodak</x:t>
        </x:is>
      </x:c>
      <x:c r="G65" s="8" t="inlineStr">
        <x:is>
          <x:t xml:space="preserve">Kodak продаёт камеру уже заряженной плёнкой; после съёмки всю камеру отправляют в Рочестер для проявки, печати и перезарядки.</x:t>
        </x:is>
      </x:c>
      <x:c r="H65" s="8" t="inlineStr">
        <x:is>
          <x:t xml:space="preserve">Негатив-позитив</x:t>
        </x:is>
      </x:c>
      <x:c r="I65" s="8" t="inlineStr">
        <x:is>
          <x:t xml:space="preserve">Kodak processing service model</x:t>
        </x:is>
      </x:c>
      <x:c r="J65" s="8" t="inlineStr">
        <x:is>
          <x:t xml:space="preserve">Фотограф больше не обязан быть химиком и печатником: процесс съёмки отделяется от лабораторной обработки.</x:t>
        </x:is>
      </x:c>
      <x:c r="K65" s="8" t="inlineStr">
        <x:is>
          <x:t xml:space="preserve">Original Kodak camera 1888</x:t>
        </x:is>
      </x:c>
      <x:c r="L65" s="8" t="inlineStr">
        <x:is>
          <x:t xml:space="preserve">Слоган «You press the button, we do the rest» и рост любительской фотографии</x:t>
        </x:is>
      </x:c>
      <x:c r="M65" s="8" t="inlineStr">
        <x:is>
          <x:t xml:space="preserve">Распространение / коммерциализация</x:t>
        </x:is>
      </x:c>
      <x:c r="N65" s="8" t="n">
        <x:v>5</x:v>
      </x:c>
      <x:c r="O65" s="8" t="inlineStr">
        <x:is>
          <x:t xml:space="preserve">PL-007</x:t>
        </x:is>
      </x:c>
      <x:c r="P65" s="8" t="inlineStr">
        <x:is>
          <x:t xml:space="preserve">SRC-039</x:t>
        </x:is>
      </x:c>
      <x:c r="Q65" s="8" t="inlineStr">
        <x:is>
          <x:t xml:space="preserve">The Met — Kodak and the Rise of Amateur Photography</x:t>
        </x:is>
      </x:c>
      <x:c r="R65" s="8" t="inlineStr">
        <x:is>
          <x:t xml:space="preserve">https://www.metmuseum.org/essays/kodak-and-the-rise-of-amateur-photography</x:t>
        </x:is>
      </x:c>
      <x:c r="S65" s="8" t="n">
        <x:v>5</x:v>
      </x:c>
      <x:c r="T65" s="8" t="inlineStr">
        <x:is>
          <x:t xml:space="preserve">Главная мысль для лекции: Kodak продавал не просто камеру, а целую систему — камера + плёнка + обработка.</x:t>
        </x:is>
      </x:c>
      <x:c r="U65" s="8" t="inlineStr">
        <x:is>
          <x:t xml:space="preserve">Маршрут: камера у пользователя → фабрика в Рочестере → готовые отпечатки возвращаются обратно.</x:t>
        </x:is>
      </x:c>
      <x:c r="V65" s="8" t="inlineStr">
        <x:is>
          <x:t xml:space="preserve">#PL007 #Kodak #service-model #amateur-photography</x:t>
        </x:is>
      </x:c>
      <x:c r="W65" s="8" t="n"/>
      <x:c r="X65" s="8" t="inlineStr">
        <x:is>
          <x:t xml:space="preserve">43.1566, -77.6088</x:t>
        </x:is>
      </x:c>
      <x:c r="Y65" s="8" t="inlineStr">
        <x:is>
          <x:t xml:space="preserve">Рулонная плёнка / сервисная модель</x:t>
        </x:is>
      </x:c>
      <x:c r="Z65" s="8" t="inlineStr">
        <x:is>
          <x:t xml:space="preserve">Распространение / коммерциализация</x:t>
        </x:is>
      </x:c>
      <x:c r="AA65" s="8" t="n"/>
    </x:row>
    <x:row r="66" s="46" customFormat="1" ht="17" customHeight="1">
      <x:c r="A66" s="8" t="inlineStr">
        <x:is>
          <x:t xml:space="preserve">PL-HIST-0065</x:t>
        </x:is>
      </x:c>
      <x:c r="B66" s="8" t="inlineStr">
        <x:is>
          <x:t xml:space="preserve">4 сентября 1888</x:t>
        </x:is>
      </x:c>
      <x:c r="C66" s="8" t="inlineStr">
        <x:is>
          <x:t xml:space="preserve">точная дата</x:t>
        </x:is>
      </x:c>
      <x:c r="D66" s="8" t="inlineStr">
        <x:is>
          <x:t xml:space="preserve">США</x:t>
        </x:is>
      </x:c>
      <x:c r="E66" s="8" t="inlineStr">
        <x:is>
          <x:t xml:space="preserve">Рочестер, Нью-Йорк</x:t>
        </x:is>
      </x:c>
      <x:c r="F66" s="8" t="inlineStr">
        <x:is>
          <x:t xml:space="preserve">Джордж Истмен / Kodak</x:t>
        </x:is>
      </x:c>
      <x:c r="G66" s="8" t="inlineStr">
        <x:is>
          <x:t xml:space="preserve">Истмен получает патент на камеру Kodak и регистрирует товарный знак Kodak.</x:t>
        </x:is>
      </x:c>
      <x:c r="H66" s="8" t="inlineStr">
        <x:is>
          <x:t xml:space="preserve">Негатив-позитив</x:t>
        </x:is>
      </x:c>
      <x:c r="I66" s="8" t="inlineStr">
        <x:is>
          <x:t xml:space="preserve">Kodak patent and trademark</x:t>
        </x:is>
      </x:c>
      <x:c r="J66" s="8" t="inlineStr">
        <x:is>
          <x:t xml:space="preserve">Рулонная камера становится не только техническим устройством, но и брендом, который легко запомнить и продвигать.</x:t>
        </x:is>
      </x:c>
      <x:c r="K66" s="8" t="inlineStr">
        <x:is>
          <x:t xml:space="preserve">Original Kodak camera 1888</x:t>
        </x:is>
      </x:c>
      <x:c r="L66" s="8" t="inlineStr">
        <x:is>
          <x:t xml:space="preserve">Переименование компании и формирование Kodak как массового фотобренда</x:t>
        </x:is>
      </x:c>
      <x:c r="M66" s="8" t="inlineStr">
        <x:is>
          <x:t xml:space="preserve">Распространение / коммерциализация</x:t>
        </x:is>
      </x:c>
      <x:c r="N66" s="8" t="n">
        <x:v>4</x:v>
      </x:c>
      <x:c r="O66" s="8" t="inlineStr">
        <x:is>
          <x:t xml:space="preserve">PL-007</x:t>
        </x:is>
      </x:c>
      <x:c r="P66" s="8" t="inlineStr">
        <x:is>
          <x:t xml:space="preserve">SRC-040</x:t>
        </x:is>
      </x:c>
      <x:c r="Q66" s="8" t="inlineStr">
        <x:is>
          <x:t xml:space="preserve">George Eastman Museum — From the Camera Obscura to the Revolutionary Kodak</x:t>
        </x:is>
      </x:c>
      <x:c r="R66" s="8" t="inlineStr">
        <x:is>
          <x:t xml:space="preserve">https://www.eastman.org/camera-obscura-revolutionary-kodak</x:t>
        </x:is>
      </x:c>
      <x:c r="S66" s="8" t="n">
        <x:v>5</x:v>
      </x:c>
      <x:c r="T66" s="8" t="inlineStr">
        <x:is>
          <x:t xml:space="preserve">Этот узел можно использовать коротко: фотография входит в эпоху бренда, рекламы и простого обещания пользователю.</x:t>
        </x:is>
      </x:c>
      <x:c r="U66" s="8" t="inlineStr">
        <x:is>
          <x:t xml:space="preserve">На карте: рядом с Рочестером появляется знак KODAK как брендовый маяк.</x:t>
        </x:is>
      </x:c>
      <x:c r="V66" s="8" t="inlineStr">
        <x:is>
          <x:t xml:space="preserve">#PL007 #Kodak #patent #trademark #brand</x:t>
        </x:is>
      </x:c>
      <x:c r="W66" s="8" t="n"/>
      <x:c r="X66" s="8" t="inlineStr">
        <x:is>
          <x:t xml:space="preserve">43.1566, -77.6088</x:t>
        </x:is>
      </x:c>
      <x:c r="Y66" s="8" t="inlineStr">
        <x:is>
          <x:t xml:space="preserve">Рулонная плёнка / патент и бренд</x:t>
        </x:is>
      </x:c>
      <x:c r="Z66" s="8" t="inlineStr">
        <x:is>
          <x:t xml:space="preserve">Публикация / объявление</x:t>
        </x:is>
      </x:c>
      <x:c r="AA66" s="8" t="n"/>
    </x:row>
    <x:row r="67" s="46" customFormat="1" ht="17" customHeight="1">
      <x:c r="A67" s="8" t="inlineStr">
        <x:is>
          <x:t xml:space="preserve">PL-HIST-0066</x:t>
        </x:is>
      </x:c>
      <x:c r="B67" s="8" t="inlineStr">
        <x:is>
          <x:t xml:space="preserve">1889</x:t>
        </x:is>
      </x:c>
      <x:c r="C67" s="8" t="inlineStr">
        <x:is>
          <x:t xml:space="preserve">год</x:t>
        </x:is>
      </x:c>
      <x:c r="D67" s="8" t="inlineStr">
        <x:is>
          <x:t xml:space="preserve">США</x:t>
        </x:is>
      </x:c>
      <x:c r="E67" s="8" t="inlineStr">
        <x:is>
          <x:t xml:space="preserve">Рочестер, Нью-Йорк</x:t>
        </x:is>
      </x:c>
      <x:c r="F67" s="8" t="inlineStr">
        <x:is>
          <x:t xml:space="preserve">Джордж Истмен / Генри Райхенбах</x:t>
        </x:is>
      </x:c>
      <x:c r="G67" s="8" t="inlineStr">
        <x:is>
          <x:t xml:space="preserve">На рынок выходит первая коммерческая прозрачная рулонная плёнка, усовершенствованная Истменом и его химиком.</x:t>
        </x:is>
      </x:c>
      <x:c r="H67" s="8" t="inlineStr">
        <x:is>
          <x:t xml:space="preserve">Негатив-позитив</x:t>
        </x:is>
      </x:c>
      <x:c r="I67" s="8" t="inlineStr">
        <x:is>
          <x:t xml:space="preserve">Commercial transparent roll film</x:t>
        </x:is>
      </x:c>
      <x:c r="J67" s="8" t="inlineStr">
        <x:is>
          <x:t xml:space="preserve">Плёнка становится более удобной для качественного негатива и открывает путь не только фотографии, но и движущемуся изображению.</x:t>
        </x:is>
      </x:c>
      <x:c r="K67" s="8" t="inlineStr">
        <x:is>
          <x:t xml:space="preserve">Бумажная American Film и поиски прозрачной гибкой основы</x:t>
        </x:is>
      </x:c>
      <x:c r="L67" s="8" t="inlineStr">
        <x:is>
          <x:t xml:space="preserve">Развитие кинематографа и дальнейшая массовая плёночная фотография</x:t>
        </x:is>
      </x:c>
      <x:c r="M67" s="8" t="inlineStr">
        <x:is>
          <x:t xml:space="preserve">Главная линия</x:t>
        </x:is>
      </x:c>
      <x:c r="N67" s="8" t="n">
        <x:v>5</x:v>
      </x:c>
      <x:c r="O67" s="8" t="inlineStr">
        <x:is>
          <x:t xml:space="preserve">PL-007</x:t>
        </x:is>
      </x:c>
      <x:c r="P67" s="8" t="inlineStr">
        <x:is>
          <x:t xml:space="preserve">SRC-041</x:t>
        </x:is>
      </x:c>
      <x:c r="Q67" s="8" t="inlineStr">
        <x:is>
          <x:t xml:space="preserve">Kodak — Chronology of Film</x:t>
        </x:is>
      </x:c>
      <x:c r="R67" s="8" t="inlineStr">
        <x:is>
          <x:t xml:space="preserve">https://www.kodak.com/en/motion/page/chronology-of-film/</x:t>
        </x:is>
      </x:c>
      <x:c r="S67" s="8" t="n">
        <x:v>5</x:v>
      </x:c>
      <x:c r="T67" s="8" t="inlineStr">
        <x:is>
      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      </x:is>
      </x:c>
      <x:c r="U67" s="8" t="inlineStr">
        <x:is>
          <x:t xml:space="preserve">Рулон из полупрозрачной ленты, уходящий от фотографии к кино.</x:t>
        </x:is>
      </x:c>
      <x:c r="V67" s="8" t="inlineStr">
        <x:is>
          <x:t xml:space="preserve">#PL007 #transparent-roll-film #Reichenbach #Eastman #motion-picture</x:t>
        </x:is>
      </x:c>
      <x:c r="W67" s="8" t="n"/>
      <x:c r="X67" s="8" t="inlineStr">
        <x:is>
          <x:t xml:space="preserve">43.1566, -77.6088</x:t>
        </x:is>
      </x:c>
      <x:c r="Y67" s="8" t="inlineStr">
        <x:is>
          <x:t xml:space="preserve">Рулонная плёнка / прозрачная плёнка</x:t>
        </x:is>
      </x:c>
      <x:c r="Z67" s="8" t="inlineStr">
        <x:is>
          <x:t xml:space="preserve">Технология / процесс</x:t>
        </x:is>
      </x:c>
      <x:c r="AA67" s="8" t="n"/>
    </x:row>
    <x:row r="68" s="46" customFormat="1" ht="17" customHeight="1">
      <x:c r="A68" s="8" t="inlineStr">
        <x:is>
          <x:t xml:space="preserve">PL-HIST-0067</x:t>
        </x:is>
      </x:c>
      <x:c r="B68" s="8" t="inlineStr">
        <x:is>
          <x:t xml:space="preserve">1891</x:t>
        </x:is>
      </x:c>
      <x:c r="C68" s="8" t="inlineStr">
        <x:is>
          <x:t xml:space="preserve">год</x:t>
        </x:is>
      </x:c>
      <x:c r="D68" s="8" t="inlineStr">
        <x:is>
          <x:t xml:space="preserve">США</x:t>
        </x:is>
      </x:c>
      <x:c r="E68" s="8" t="inlineStr">
        <x:is>
          <x:t xml:space="preserve">Рочестер, Нью-Йорк</x:t>
        </x:is>
      </x:c>
      <x:c r="F68" s="8" t="inlineStr">
        <x:is>
          <x:t xml:space="preserve">Kodak / Eastman Company</x:t>
        </x:is>
      </x:c>
      <x:c r="G68" s="8" t="inlineStr">
        <x:is>
          <x:t xml:space="preserve">Kodak выводит первую daylight-loading camera: фотограф может перезаряжать плёнку без тёмной комнаты.</x:t>
        </x:is>
      </x:c>
      <x:c r="H68" s="8" t="inlineStr">
        <x:is>
          <x:t xml:space="preserve">Негатив-позитив</x:t>
        </x:is>
      </x:c>
      <x:c r="I68" s="8" t="inlineStr">
        <x:is>
          <x:t xml:space="preserve">Daylight-loading roll-film camera</x:t>
        </x:is>
      </x:c>
      <x:c r="J68" s="8" t="inlineStr">
        <x:is>
          <x:t xml:space="preserve">Рулонная фотография становится ещё удобнее: перезарядка перестаёт требовать полной темноты.</x:t>
        </x:is>
      </x:c>
      <x:c r="K68" s="8" t="inlineStr">
        <x:is>
          <x:t xml:space="preserve">Kodak camera 1888 and factory service model</x:t>
        </x:is>
      </x:c>
      <x:c r="L68" s="8" t="inlineStr">
        <x:is>
          <x:t xml:space="preserve">Pocket Kodak, Folding Pocket Kodak, Brownie and standard roll-film formats</x:t>
        </x:is>
      </x:c>
      <x:c r="M68" s="8" t="inlineStr">
        <x:is>
          <x:t xml:space="preserve">Главная линия</x:t>
        </x:is>
      </x:c>
      <x:c r="N68" s="8" t="n">
        <x:v>4</x:v>
      </x:c>
      <x:c r="O68" s="8" t="inlineStr">
        <x:is>
          <x:t xml:space="preserve">PL-007</x:t>
        </x:is>
      </x:c>
      <x:c r="P68" s="8" t="inlineStr">
        <x:is>
          <x:t xml:space="preserve">SRC-042</x:t>
        </x:is>
      </x:c>
      <x:c r="Q68" s="8" t="inlineStr">
        <x:is>
          <x:t xml:space="preserve">Kodak — Milestones</x:t>
        </x:is>
      </x:c>
      <x:c r="R68" s="8" t="inlineStr">
        <x:is>
          <x:t xml:space="preserve">https://www.kodak.com/en/company/page/milestones/</x:t>
        </x:is>
      </x:c>
      <x:c r="S68" s="8" t="n">
        <x:v>5</x:v>
      </x:c>
      <x:c r="T68" s="8" t="inlineStr">
        <x:is>
          <x:t xml:space="preserve">Это не главный герой урока, но важный шаг удобства: фотограф получает больше самостоятельности.</x:t>
        </x:is>
      </x:c>
      <x:c r="U68" s="8" t="inlineStr">
        <x:is>
          <x:t xml:space="preserve">На карте: маленькая камера открывается на свету без тёмной комнаты.</x:t>
        </x:is>
      </x:c>
      <x:c r="V68" s="8" t="inlineStr">
        <x:is>
          <x:t xml:space="preserve">#PL007 #daylight-loading #roll-film #Kodak</x:t>
        </x:is>
      </x:c>
      <x:c r="W68" s="8" t="n"/>
      <x:c r="X68" s="8" t="inlineStr">
        <x:is>
          <x:t xml:space="preserve">43.1566, -77.6088</x:t>
        </x:is>
      </x:c>
      <x:c r="Y68" s="8" t="inlineStr">
        <x:is>
          <x:t xml:space="preserve">Рулонная плёнка / дневная перезарядка</x:t>
        </x:is>
      </x:c>
      <x:c r="Z68" s="8" t="inlineStr">
        <x:is>
          <x:t xml:space="preserve">Технология / процесс</x:t>
        </x:is>
      </x:c>
      <x:c r="AA68" s="8" t="n"/>
    </x:row>
    <x:row r="69" s="46" customFormat="1" ht="17" customHeight="1">
      <x:c r="A69" s="8" t="inlineStr">
        <x:is>
          <x:t xml:space="preserve">PL-HIST-0068</x:t>
        </x:is>
      </x:c>
      <x:c r="B69" s="8" t="inlineStr">
        <x:is>
          <x:t xml:space="preserve">1900</x:t>
        </x:is>
      </x:c>
      <x:c r="C69" s="8" t="inlineStr">
        <x:is>
          <x:t xml:space="preserve">год</x:t>
        </x:is>
      </x:c>
      <x:c r="D69" s="8" t="inlineStr">
        <x:is>
          <x:t xml:space="preserve">США</x:t>
        </x:is>
      </x:c>
      <x:c r="E69" s="8" t="inlineStr">
        <x:is>
          <x:t xml:space="preserve">Рочестер, Нью-Йорк</x:t>
        </x:is>
      </x:c>
      <x:c r="F69" s="8" t="inlineStr">
        <x:is>
          <x:t xml:space="preserve">Eastman Kodak / Brownie</x:t>
        </x:is>
      </x:c>
      <x:c r="G69" s="8" t="inlineStr">
        <x:is>
          <x:t xml:space="preserve">Камера Brownie делает рулонную фотографию ещё более дешёвой и доступной для массового пользователя.</x:t>
        </x:is>
      </x:c>
      <x:c r="H69" s="8" t="inlineStr">
        <x:is>
          <x:t xml:space="preserve">Негатив-позитив</x:t>
        </x:is>
      </x:c>
      <x:c r="I69" s="8" t="inlineStr">
        <x:is>
          <x:t xml:space="preserve">Kodak Brownie / mass snapshot photography</x:t>
        </x:is>
      </x:c>
      <x:c r="J69" s="8" t="inlineStr">
        <x:is>
          <x:t xml:space="preserve">Идея Kodak доводится до массового уровня: фотография становится повседневным занятием и семейной практикой.</x:t>
        </x:is>
      </x:c>
      <x:c r="K69" s="8" t="inlineStr">
        <x:is>
          <x:t xml:space="preserve">Kodak camera 1888 and roll-film service model</x:t>
        </x:is>
      </x:c>
      <x:c r="L69" s="8" t="inlineStr">
        <x:is>
          <x:t xml:space="preserve">PL-008: массовая любительская фотография, snapshot-культура и Brownie как социальный перелом</x:t>
        </x:is>
      </x:c>
      <x:c r="M69" s="8" t="inlineStr">
        <x:is>
          <x:t xml:space="preserve">Связь / переход</x:t>
        </x:is>
      </x:c>
      <x:c r="N69" s="8" t="n">
        <x:v>4</x:v>
      </x:c>
      <x:c r="O69" s="8" t="inlineStr">
        <x:is>
          <x:t xml:space="preserve">PL-007</x:t>
        </x:is>
      </x:c>
      <x:c r="P69" s="8" t="inlineStr">
        <x:is>
          <x:t xml:space="preserve">SRC-043</x:t>
        </x:is>
      </x:c>
      <x:c r="Q69" s="8" t="inlineStr">
        <x:is>
          <x:t xml:space="preserve">National Science and Media Museum — Kodak Gallery</x:t>
        </x:is>
      </x:c>
      <x:c r="R69" s="8" t="inlineStr">
        <x:is>
          <x:t xml:space="preserve">https://www.scienceandmediamuseum.org.uk/whats-on/kodak-gallery</x:t>
        </x:is>
      </x:c>
      <x:c r="S69" s="8" t="n">
        <x:v>5</x:v>
      </x:c>
      <x:c r="T69" s="8" t="inlineStr">
        <x:is>
          <x:t xml:space="preserve">Это мост к следующему уроку: Kodak сделал фотографию проще, Brownie сделает её по-настоящему массовой.</x:t>
        </x:is>
      </x:c>
      <x:c r="U69" s="8" t="inlineStr">
        <x:is>
          <x:t xml:space="preserve">От Kodak 1888 линия идёт к дешёвой коробочной камере Brownie и семейным снимкам.</x:t>
        </x:is>
      </x:c>
      <x:c r="V69" s="8" t="inlineStr">
        <x:is>
          <x:t xml:space="preserve">#PL007 #Brownie #snapshot #mass-photography #future-PL</x:t>
        </x:is>
      </x:c>
      <x:c r="W69" s="8" t="n"/>
      <x:c r="X69" s="8" t="inlineStr">
        <x:is>
          <x:t xml:space="preserve">43.1566, -77.6088</x:t>
        </x:is>
      </x:c>
      <x:c r="Y69" s="8" t="inlineStr">
        <x:is>
          <x:t xml:space="preserve">Рулонная плёнка / массовая фотография</x:t>
        </x:is>
      </x:c>
      <x:c r="Z69" s="8" t="inlineStr">
        <x:is>
          <x:t xml:space="preserve">Связь / переход</x:t>
        </x:is>
      </x:c>
      <x:c r="AA69" s="8" t="n"/>
    </x:row>
    <x:row r="70" s="46" customFormat="1" ht="17" customHeight="1">
      <x:c r="A70" s="8" t="inlineStr">
        <x:is>
          <x:t xml:space="preserve">PL-HIST-0069</x:t>
        </x:is>
      </x:c>
      <x:c r="B70" s="8" t="inlineStr">
        <x:is>
          <x:t xml:space="preserve">1900</x:t>
        </x:is>
      </x:c>
      <x:c r="C70" s="8" t="inlineStr">
        <x:is>
          <x:t xml:space="preserve">год</x:t>
        </x:is>
      </x:c>
      <x:c r="D70" s="8" t="inlineStr">
        <x:is>
          <x:t xml:space="preserve">США</x:t>
        </x:is>
      </x:c>
      <x:c r="E70" s="8" t="inlineStr">
        <x:is>
          <x:t xml:space="preserve">Рочестер, Нью-Йорк</x:t>
        </x:is>
      </x:c>
      <x:c r="F70" s="8" t="inlineStr">
        <x:is>
          <x:t xml:space="preserve">Eastman Kodak / Brownie</x:t>
        </x:is>
      </x:c>
      <x:c r="G70" s="8" t="inlineStr">
        <x:is>
          <x:t xml:space="preserve">Появляется первая камера Kodak Brownie — простая и недорогая коробочная roll-film камера для массового пользователя.</x:t>
        </x:is>
      </x:c>
      <x:c r="H70" s="8" t="inlineStr">
        <x:is>
          <x:t xml:space="preserve">Негатив-позитив</x:t>
        </x:is>
      </x:c>
      <x:c r="I70" s="8" t="inlineStr">
        <x:is>
          <x:t xml:space="preserve">Kodak Brownie / box roll-film camera</x:t>
        </x:is>
      </x:c>
      <x:c r="J70" s="8" t="inlineStr">
        <x:is>
      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      </x:is>
      </x:c>
      <x:c r="K70" s="8" t="inlineStr">
        <x:is>
          <x:t xml:space="preserve">Kodak camera 1888 и сервисная модель обработки плёнки</x:t>
        </x:is>
      </x:c>
      <x:c r="L70" s="8" t="inlineStr">
        <x:is>
          <x:t xml:space="preserve">Snapshot-культура, семейные альбомы и массовая любительская фотография</x:t>
        </x:is>
      </x:c>
      <x:c r="M70" s="8" t="inlineStr">
        <x:is>
          <x:t xml:space="preserve">Главная линия</x:t>
        </x:is>
      </x:c>
      <x:c r="N70" s="8" t="n">
        <x:v>5</x:v>
      </x:c>
      <x:c r="O70" s="8" t="inlineStr">
        <x:is>
          <x:t xml:space="preserve">PL-008</x:t>
        </x:is>
      </x:c>
      <x:c r="P70" s="8" t="inlineStr">
        <x:is>
          <x:t xml:space="preserve">SRC-044</x:t>
        </x:is>
      </x:c>
      <x:c r="Q70" s="8" t="inlineStr">
        <x:is>
          <x:t xml:space="preserve">Science Museum Group — No. 1 Brownie Box Camera</x:t>
        </x:is>
      </x:c>
      <x:c r="R70" s="8" t="inlineStr">
        <x:is>
          <x:t xml:space="preserve">https://collection.sciencemuseumgroup.org.uk/objects/co8406729/no-1-brownie-box-camera</x:t>
        </x:is>
      </x:c>
      <x:c r="S70" s="8" t="n">
        <x:v>5</x:v>
      </x:c>
      <x:c r="T70" s="8" t="inlineStr">
        <x:is>
          <x:t xml:space="preserve">Флагман PL-008: Brownie — момент, когда фотография становится по-настоящему массовой бытовой практикой.</x:t>
        </x:is>
      </x:c>
      <x:c r="U70" s="8" t="inlineStr">
        <x:is>
          <x:t xml:space="preserve">На карте: из Рочестера расходятся линии к домам, семьям и любительским снимкам.</x:t>
        </x:is>
      </x:c>
      <x:c r="V70" s="8" t="inlineStr">
        <x:is>
          <x:t xml:space="preserve">#PL008 #Brownie #Kodak #snapshot #mass-photography</x:t>
        </x:is>
      </x:c>
      <x:c r="W70" s="8" t="n"/>
      <x:c r="X70" s="8" t="inlineStr">
        <x:is>
          <x:t xml:space="preserve">43.1566, -77.6088</x:t>
        </x:is>
      </x:c>
      <x:c r="Y70" s="8" t="inlineStr">
        <x:is>
          <x:t xml:space="preserve">Brownie / доступная камера</x:t>
        </x:is>
      </x:c>
      <x:c r="Z70" s="8" t="inlineStr">
        <x:is>
          <x:t xml:space="preserve">Ключевой исторический узел</x:t>
        </x:is>
      </x:c>
      <x:c r="AA70" s="8" t="inlineStr">
        <x:is>
          <x:t xml:space="preserve">да</x:t>
        </x:is>
      </x:c>
    </x:row>
    <x:row r="71" s="46" customFormat="1" ht="17" customHeight="1">
      <x:c r="A71" s="8" t="inlineStr">
        <x:is>
          <x:t xml:space="preserve">PL-HIST-0070</x:t>
        </x:is>
      </x:c>
      <x:c r="B71" s="8" t="inlineStr">
        <x:is>
          <x:t xml:space="preserve">1900</x:t>
        </x:is>
      </x:c>
      <x:c r="C71" s="8" t="inlineStr">
        <x:is>
          <x:t xml:space="preserve">год</x:t>
        </x:is>
      </x:c>
      <x:c r="D71" s="8" t="inlineStr">
        <x:is>
          <x:t xml:space="preserve">США</x:t>
        </x:is>
      </x:c>
      <x:c r="E71" s="8" t="inlineStr">
        <x:is>
          <x:t xml:space="preserve">Рочестер, Нью-Йорк</x:t>
        </x:is>
      </x:c>
      <x:c r="F71" s="8" t="inlineStr">
        <x:is>
          <x:t xml:space="preserve">Eastman Kodak</x:t>
        </x:is>
      </x:c>
      <x:c r="G71" s="8" t="inlineStr">
        <x:is>
          <x:t xml:space="preserve">Brownie продаётся по низкой цене и продвигается как камера, которой может пользоваться человек без фотографического опыта.</x:t>
        </x:is>
      </x:c>
      <x:c r="H71" s="8" t="inlineStr">
        <x:is>
          <x:t xml:space="preserve">Негатив-позитив</x:t>
        </x:is>
      </x:c>
      <x:c r="I71" s="8" t="inlineStr">
        <x:is>
          <x:t xml:space="preserve">Low-cost consumer camera</x:t>
        </x:is>
      </x:c>
      <x:c r="J71" s="8" t="inlineStr">
        <x:is>
          <x:t xml:space="preserve">Порог входа резко падает: фотография становится не только техникой, но и доступным хобби.</x:t>
        </x:is>
      </x:c>
      <x:c r="K71" s="8" t="inlineStr">
        <x:is>
          <x:t xml:space="preserve">Kodak 1888 упростил процесс, но оставался сравнительно дорогим</x:t>
        </x:is>
      </x:c>
      <x:c r="L71" s="8" t="inlineStr">
        <x:is>
          <x:t xml:space="preserve">Brownie расширяет аудиторию до детей, семей и среднего класса</x:t>
        </x:is>
      </x:c>
      <x:c r="M71" s="8" t="inlineStr">
        <x:is>
          <x:t xml:space="preserve">Распространение / коммерциализация</x:t>
        </x:is>
      </x:c>
      <x:c r="N71" s="8" t="n">
        <x:v>5</x:v>
      </x:c>
      <x:c r="O71" s="8" t="inlineStr">
        <x:is>
          <x:t xml:space="preserve">PL-008</x:t>
        </x:is>
      </x:c>
      <x:c r="P71" s="8" t="inlineStr">
        <x:is>
          <x:t xml:space="preserve">SRC-046</x:t>
        </x:is>
      </x:c>
      <x:c r="Q71" s="8" t="inlineStr">
        <x:is>
          <x:t xml:space="preserve">ACS — George Eastman, Kodak, and the Birth of Consumer Photography</x:t>
        </x:is>
      </x:c>
      <x:c r="R71" s="8" t="inlineStr">
        <x:is>
          <x:t xml:space="preserve">https://www.acs.org/education/whatischemistry/landmarks/eastman-kodak.html</x:t>
        </x:is>
      </x:c>
      <x:c r="S71" s="8" t="n">
        <x:v>5</x:v>
      </x:c>
      <x:c r="T71" s="8" t="inlineStr">
        <x:is>
          <x:t xml:space="preserve">Объяснить просто: Kodak сделал фотографию удобной, а Brownie сделал её дешёвой.</x:t>
        </x:is>
      </x:c>
      <x:c r="U71" s="8" t="inlineStr">
        <x:is>
          <x:t xml:space="preserve">Ценник рядом с маленькой коробочной камерой: фотография становится покупкой для обычной семьи.</x:t>
        </x:is>
      </x:c>
      <x:c r="V71" s="8" t="inlineStr">
        <x:is>
          <x:t xml:space="preserve">#PL008 #Brownie #affordable-camera #consumer-photography</x:t>
        </x:is>
      </x:c>
      <x:c r="W71" s="8" t="n"/>
      <x:c r="X71" s="8" t="inlineStr">
        <x:is>
          <x:t xml:space="preserve">43.1566, -77.6088</x:t>
        </x:is>
      </x:c>
      <x:c r="Y71" s="8" t="inlineStr">
        <x:is>
          <x:t xml:space="preserve">Brownie / цена и массовый рынок</x:t>
        </x:is>
      </x:c>
      <x:c r="Z71" s="8" t="inlineStr">
        <x:is>
          <x:t xml:space="preserve">Распространение / коммерциализация</x:t>
        </x:is>
      </x:c>
      <x:c r="AA71" s="8" t="n"/>
    </x:row>
    <x:row r="72" s="46" customFormat="1" ht="17" customHeight="1">
      <x:c r="A72" s="8" t="inlineStr">
        <x:is>
          <x:t xml:space="preserve">PL-HIST-0071</x:t>
        </x:is>
      </x:c>
      <x:c r="B72" s="8" t="inlineStr">
        <x:is>
          <x:t xml:space="preserve">1900–1901</x:t>
        </x:is>
      </x:c>
      <x:c r="C72" s="8" t="inlineStr">
        <x:is>
          <x:t xml:space="preserve">диапазон</x:t>
        </x:is>
      </x:c>
      <x:c r="D72" s="8" t="inlineStr">
        <x:is>
          <x:t xml:space="preserve">США / Великобритания</x:t>
        </x:is>
      </x:c>
      <x:c r="E72" s="8" t="inlineStr">
        <x:is>
          <x:t xml:space="preserve">Рочестер / массовая пресса</x:t>
        </x:is>
      </x:c>
      <x:c r="F72" s="8" t="inlineStr">
        <x:is>
          <x:t xml:space="preserve">Eastman Kodak / рекламные кампании Brownie</x:t>
        </x:is>
      </x:c>
      <x:c r="G72" s="8" t="inlineStr">
        <x:is>
          <x:t xml:space="preserve">Brownie продвигается через популярную прессу и визуальный образ персонажей Brownie, обращаясь к новой молодой и семейной аудитории.</x:t>
        </x:is>
      </x:c>
      <x:c r="H72" s="8" t="inlineStr">
        <x:is>
          <x:t xml:space="preserve">Негатив-позитив</x:t>
        </x:is>
      </x:c>
      <x:c r="I72" s="8" t="inlineStr">
        <x:is>
          <x:t xml:space="preserve">Brownie marketing / popular press</x:t>
        </x:is>
      </x:c>
      <x:c r="J72" s="8" t="inlineStr">
        <x:is>
          <x:t xml:space="preserve">Фотокамера становится не только устройством, но и массовым культурным продуктом с понятным образом и обещанием простоты.</x:t>
        </x:is>
      </x:c>
      <x:c r="K72" s="8" t="inlineStr">
        <x:is>
          <x:t xml:space="preserve">Kodak как бренд и сервис съёмки</x:t>
        </x:is>
      </x:c>
      <x:c r="L72" s="8" t="inlineStr">
        <x:is>
          <x:t xml:space="preserve">Brownie становится узнаваемой народной камерой</x:t>
        </x:is>
      </x:c>
      <x:c r="M72" s="8" t="inlineStr">
        <x:is>
          <x:t xml:space="preserve">Распространение / коммерциализация</x:t>
        </x:is>
      </x:c>
      <x:c r="N72" s="8" t="n">
        <x:v>4</x:v>
      </x:c>
      <x:c r="O72" s="8" t="inlineStr">
        <x:is>
          <x:t xml:space="preserve">PL-008</x:t>
        </x:is>
      </x:c>
      <x:c r="P72" s="8" t="inlineStr">
        <x:is>
          <x:t xml:space="preserve">SRC-047</x:t>
        </x:is>
      </x:c>
      <x:c r="Q72" s="8" t="inlineStr">
        <x:is>
          <x:t xml:space="preserve">National Science and Media Museum — B is for Brownie</x:t>
        </x:is>
      </x:c>
      <x:c r="R72" s="8" t="inlineStr">
        <x:is>
          <x:t xml:space="preserve">https://blog.scienceandmediamuseum.org.uk/a-z-photography-collection-b-is-for-brownie/</x:t>
        </x:is>
      </x:c>
      <x:c r="S72" s="8" t="n">
        <x:v>5</x:v>
      </x:c>
      <x:c r="T72" s="8" t="inlineStr">
        <x:is>
          <x:t xml:space="preserve">Хороший сюжет для урока: массовая фотография победила не только химией и камерой, но и рекламой.</x:t>
        </x:is>
      </x:c>
      <x:c r="U72" s="8" t="inlineStr">
        <x:is>
          <x:t xml:space="preserve">Визуально: рекламный плакат Brownie, персонажи и маленькая камера как игрушка для всех.</x:t>
        </x:is>
      </x:c>
      <x:c r="V72" s="8" t="inlineStr">
        <x:is>
          <x:t xml:space="preserve">#PL008 #Brownie #advertising #popular-press #children</x:t>
        </x:is>
      </x:c>
      <x:c r="W72" s="8" t="n"/>
      <x:c r="X72" s="8" t="inlineStr">
        <x:is>
          <x:t xml:space="preserve">43.1566, -77.6088</x:t>
        </x:is>
      </x:c>
      <x:c r="Y72" s="8" t="inlineStr">
        <x:is>
          <x:t xml:space="preserve">Brownie / детская аудитория и реклама</x:t>
        </x:is>
      </x:c>
      <x:c r="Z72" s="8" t="inlineStr">
        <x:is>
          <x:t xml:space="preserve">Распространение / коммерциализация</x:t>
        </x:is>
      </x:c>
      <x:c r="AA72" s="8" t="n"/>
    </x:row>
    <x:row r="73" s="46" customFormat="1" ht="17" customHeight="1">
      <x:c r="A73" s="8" t="inlineStr">
        <x:is>
          <x:t xml:space="preserve">PL-HIST-0072</x:t>
        </x:is>
      </x:c>
      <x:c r="B73" s="8" t="inlineStr">
        <x:is>
          <x:t xml:space="preserve">1901</x:t>
        </x:is>
      </x:c>
      <x:c r="C73" s="8" t="inlineStr">
        <x:is>
          <x:t xml:space="preserve">год</x:t>
        </x:is>
      </x:c>
      <x:c r="D73" s="8" t="inlineStr">
        <x:is>
          <x:t xml:space="preserve">Великобритания</x:t>
        </x:is>
      </x:c>
      <x:c r="E73" s="8" t="inlineStr">
        <x:is>
          <x:t xml:space="preserve">Лондон</x:t>
        </x:is>
      </x:c>
      <x:c r="F73" s="8" t="inlineStr">
        <x:is>
          <x:t xml:space="preserve">Kodak Limited / No. 2 Brownie</x:t>
        </x:is>
      </x:c>
      <x:c r="G73" s="8" t="inlineStr">
        <x:is>
          <x:t xml:space="preserve">No. 2 Brownie использует 120 roll film — формат, который позже станет важным стандартом среднего формата.</x:t>
        </x:is>
      </x:c>
      <x:c r="H73" s="8" t="inlineStr">
        <x:is>
          <x:t xml:space="preserve">Негатив-позитив</x:t>
        </x:is>
      </x:c>
      <x:c r="I73" s="8" t="inlineStr">
        <x:is>
          <x:t xml:space="preserve">No. 2 Brownie / 120 roll film</x:t>
        </x:is>
      </x:c>
      <x:c r="J73" s="8" t="inlineStr">
        <x:is>
      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      </x:is>
      </x:c>
      <x:c r="K73" s="8" t="inlineStr">
        <x:is>
          <x:t xml:space="preserve">Brownie No. 1 и массовая roll-film камера</x:t>
        </x:is>
      </x:c>
      <x:c r="L73" s="8" t="inlineStr">
        <x:is>
          <x:t xml:space="preserve">120 film и среднеформатная фотография XX века</x:t>
        </x:is>
      </x:c>
      <x:c r="M73" s="8" t="inlineStr">
        <x:is>
          <x:t xml:space="preserve">Главная линия</x:t>
        </x:is>
      </x:c>
      <x:c r="N73" s="8" t="n">
        <x:v>4</x:v>
      </x:c>
      <x:c r="O73" s="8" t="inlineStr">
        <x:is>
          <x:t xml:space="preserve">PL-008</x:t>
        </x:is>
      </x:c>
      <x:c r="P73" s="8" t="inlineStr">
        <x:is>
          <x:t xml:space="preserve">SRC-050</x:t>
        </x:is>
      </x:c>
      <x:c r="Q73" s="8" t="inlineStr">
        <x:is>
          <x:t xml:space="preserve">Science Museum Group — No 2 Brownie Camera</x:t>
        </x:is>
      </x:c>
      <x:c r="R73" s="8" t="inlineStr">
        <x:is>
          <x:t xml:space="preserve">https://collection.sciencemuseumgroup.org.uk/objects/co8207799/no-2-brownie-camera</x:t>
        </x:is>
      </x:c>
      <x:c r="S73" s="8" t="n">
        <x:v>4</x:v>
      </x:c>
      <x:c r="T73" s="8" t="inlineStr">
        <x:is>
      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      </x:is>
      </x:c>
      <x:c r="U73" s="8" t="inlineStr">
        <x:is>
          <x:t xml:space="preserve">Рядом с камерой — катушка 120 film, мост к среднему формату.</x:t>
        </x:is>
      </x:c>
      <x:c r="V73" s="8" t="inlineStr">
        <x:is>
          <x:t xml:space="preserve">#PL008 #No2Brownie #120film #medium-format</x:t>
        </x:is>
      </x:c>
      <x:c r="W73" s="8" t="inlineStr">
        <x:is>
      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      </x:is>
      </x:c>
      <x:c r="X73" s="8" t="inlineStr">
        <x:is>
          <x:t xml:space="preserve">51.5074, -0.1278</x:t>
        </x:is>
      </x:c>
      <x:c r="Y73" s="8" t="inlineStr">
        <x:is>
          <x:t xml:space="preserve">Brownie / 120 roll film</x:t>
        </x:is>
      </x:c>
      <x:c r="Z73" s="8" t="inlineStr">
        <x:is>
          <x:t xml:space="preserve">Технология / процесс</x:t>
        </x:is>
      </x:c>
      <x:c r="AA73" s="8" t="n"/>
    </x:row>
    <x:row r="74" s="46" customFormat="1" ht="17" customHeight="1">
      <x:c r="A74" s="8" t="inlineStr">
        <x:is>
          <x:t xml:space="preserve">PL-HIST-0073</x:t>
        </x:is>
      </x:c>
      <x:c r="B74" s="8" t="inlineStr">
        <x:is>
          <x:t xml:space="preserve">1900-е</x:t>
        </x:is>
      </x:c>
      <x:c r="C74" s="8" t="inlineStr">
        <x:is>
          <x:t xml:space="preserve">диапазон</x:t>
        </x:is>
      </x:c>
      <x:c r="D74" s="8" t="inlineStr">
        <x:is>
          <x:t xml:space="preserve">США / Великобритания</x:t>
        </x:is>
      </x:c>
      <x:c r="E74" s="8" t="inlineStr">
        <x:is>
          <x:t xml:space="preserve">распределённый процесс</x:t>
        </x:is>
      </x:c>
      <x:c r="F74" s="8" t="inlineStr">
        <x:is>
          <x:t xml:space="preserve">Любители фотографии / семьи</x:t>
        </x:is>
      </x:c>
      <x:c r="G74" s="8" t="inlineStr">
        <x:is>
          <x:t xml:space="preserve">Snapshot становится повседневной практикой: люди снимают прогулки, детей, поездки, праздники и частную жизнь.</x:t>
        </x:is>
      </x:c>
      <x:c r="H74" s="8" t="inlineStr">
        <x:is>
          <x:t xml:space="preserve">Печать / тиражирование</x:t>
        </x:is>
      </x:c>
      <x:c r="I74" s="8" t="inlineStr">
        <x:is>
          <x:t xml:space="preserve">Snapshot culture / family photography</x:t>
        </x:is>
      </x:c>
      <x:c r="J74" s="8" t="inlineStr">
        <x:is>
      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      </x:is>
      </x:c>
      <x:c r="K74" s="8" t="inlineStr">
        <x:is>
          <x:t xml:space="preserve">Brownie делает камеру доступной широкому кругу людей</x:t>
        </x:is>
      </x:c>
      <x:c r="L74" s="8" t="inlineStr">
        <x:is>
          <x:t xml:space="preserve">Семейные альбомы и бытовая визуальная культура XX века</x:t>
        </x:is>
      </x:c>
      <x:c r="M74" s="8" t="inlineStr">
        <x:is>
          <x:t xml:space="preserve">Главная линия</x:t>
        </x:is>
      </x:c>
      <x:c r="N74" s="8" t="n">
        <x:v>5</x:v>
      </x:c>
      <x:c r="O74" s="8" t="inlineStr">
        <x:is>
          <x:t xml:space="preserve">PL-008</x:t>
        </x:is>
      </x:c>
      <x:c r="P74" s="8" t="inlineStr">
        <x:is>
          <x:t xml:space="preserve">SRC-049</x:t>
        </x:is>
      </x:c>
      <x:c r="Q74" s="8" t="inlineStr">
        <x:is>
          <x:t xml:space="preserve">National Gallery of Art — The Art of the American Snapshot, 1888–1978</x:t>
        </x:is>
      </x:c>
      <x:c r="R74" s="8" t="inlineStr">
        <x:is>
          <x:t xml:space="preserve">https://www.nga.gov/exhibitions/art-american-snapshot-1888-1978-collection-robert-e-jackson</x:t>
        </x:is>
      </x:c>
      <x:c r="S74" s="8" t="n">
        <x:v>5</x:v>
      </x:c>
      <x:c r="T74" s="8" t="inlineStr">
        <x:is>
          <x:t xml:space="preserve">Ключевой смысл: фотография входит в дом и начинает фиксировать обычную жизнь, а не только важные события.</x:t>
        </x:is>
      </x:c>
      <x:c r="U74" s="8" t="inlineStr">
        <x:is>
          <x:t xml:space="preserve">На карте: от камеры появляются маленькие карточки-снимки семьи, поездки, дома.</x:t>
        </x:is>
      </x:c>
      <x:c r="V74" s="8" t="inlineStr">
        <x:is>
          <x:t xml:space="preserve">#PL008 #snapshot #family-album #vernacular-photography</x:t>
        </x:is>
      </x:c>
      <x:c r="W74" s="8" t="n"/>
      <x:c r="X74" s="8" t="n"/>
      <x:c r="Y74" s="8" t="inlineStr">
        <x:is>
          <x:t xml:space="preserve">Snapshot-культура / семейный альбом</x:t>
        </x:is>
      </x:c>
      <x:c r="Z74" s="8" t="inlineStr">
        <x:is>
          <x:t xml:space="preserve">Применение / жанр</x:t>
        </x:is>
      </x:c>
      <x:c r="AA74" s="8" t="n"/>
    </x:row>
    <x:row r="75" s="46" customFormat="1" ht="17" customHeight="1">
      <x:c r="A75" s="8" t="inlineStr">
        <x:is>
          <x:t xml:space="preserve">PL-HIST-0074</x:t>
        </x:is>
      </x:c>
      <x:c r="B75" s="8" t="inlineStr">
        <x:is>
          <x:t xml:space="preserve">1900-е</x:t>
        </x:is>
      </x:c>
      <x:c r="C75" s="8" t="inlineStr">
        <x:is>
          <x:t xml:space="preserve">диапазон</x:t>
        </x:is>
      </x:c>
      <x:c r="D75" s="8" t="inlineStr">
        <x:is>
          <x:t xml:space="preserve">США</x:t>
        </x:is>
      </x:c>
      <x:c r="E75" s="8" t="inlineStr">
        <x:is>
          <x:t xml:space="preserve">распределённый процесс</x:t>
        </x:is>
      </x:c>
      <x:c r="F75" s="8" t="inlineStr">
        <x:is>
          <x:t xml:space="preserve">Массовые любители фотографии</x:t>
        </x:is>
      </x:c>
      <x:c r="G75" s="8" t="inlineStr">
        <x:is>
      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      </x:is>
      </x:c>
      <x:c r="H75" s="8" t="inlineStr">
        <x:is>
          <x:t xml:space="preserve">Печать / тиражирование</x:t>
        </x:is>
      </x:c>
      <x:c r="I75" s="8" t="inlineStr">
        <x:is>
          <x:t xml:space="preserve">Amateur snapshot photography</x:t>
        </x:is>
      </x:c>
      <x:c r="J75" s="8" t="inlineStr">
        <x:is>
          <x:t xml:space="preserve">В центр выходит не фотограф-профессионал, а обычный человек с камерой; рождается культура бытового снимка.</x:t>
        </x:is>
      </x:c>
      <x:c r="K75" s="8" t="inlineStr">
        <x:is>
          <x:t xml:space="preserve">Kodak/Brownie снижает технический барьер</x:t>
        </x:is>
      </x:c>
      <x:c r="L75" s="8" t="inlineStr">
        <x:is>
          <x:t xml:space="preserve">Фотография как личный дневник, семейная память и визуальный архив</x:t>
        </x:is>
      </x:c>
      <x:c r="M75" s="8" t="inlineStr">
        <x:is>
          <x:t xml:space="preserve">Главная линия</x:t>
        </x:is>
      </x:c>
      <x:c r="N75" s="8" t="n">
        <x:v>5</x:v>
      </x:c>
      <x:c r="O75" s="8" t="inlineStr">
        <x:is>
          <x:t xml:space="preserve">PL-008</x:t>
        </x:is>
      </x:c>
      <x:c r="P75" s="8" t="inlineStr">
        <x:is>
          <x:t xml:space="preserve">SRC-039</x:t>
        </x:is>
      </x:c>
      <x:c r="Q75" s="8" t="inlineStr">
        <x:is>
          <x:t xml:space="preserve">The Met — Kodak and the Rise of Amateur Photography</x:t>
        </x:is>
      </x:c>
      <x:c r="R75" s="8" t="inlineStr">
        <x:is>
          <x:t xml:space="preserve">https://www.metmuseum.org/essays/kodak-and-the-rise-of-amateur-photography</x:t>
        </x:is>
      </x:c>
      <x:c r="S75" s="8" t="n">
        <x:v>5</x:v>
      </x:c>
      <x:c r="T75" s="8" t="inlineStr">
        <x:is>
      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      </x:is>
      </x:c>
      <x:c r="U75" s="8" t="inlineStr">
        <x:is>
          <x:t xml:space="preserve">Иконка: человек без студии и лаборатории снимает повседневный момент.</x:t>
        </x:is>
      </x:c>
      <x:c r="V75" s="8" t="inlineStr">
        <x:is>
          <x:t xml:space="preserve">#PL008 #amateur-photography #snapshot #everyday-life</x:t>
        </x:is>
      </x:c>
      <x:c r="W75" s="8" t="n"/>
      <x:c r="X75" s="8" t="n"/>
      <x:c r="Y75" s="8" t="inlineStr">
        <x:is>
          <x:t xml:space="preserve">Snapshot-культура / любительская практика</x:t>
        </x:is>
      </x:c>
      <x:c r="Z75" s="8" t="inlineStr">
        <x:is>
          <x:t xml:space="preserve">Применение / жанр</x:t>
        </x:is>
      </x:c>
      <x:c r="AA75" s="8" t="n"/>
    </x:row>
    <x:row r="76" s="46" customFormat="1" ht="17" customHeight="1">
      <x:c r="A76" s="8" t="inlineStr">
        <x:is>
          <x:t xml:space="preserve">PL-HIST-0075</x:t>
        </x:is>
      </x:c>
      <x:c r="B76" s="8" t="inlineStr">
        <x:is>
          <x:t xml:space="preserve">1900-е</x:t>
        </x:is>
      </x:c>
      <x:c r="C76" s="8" t="inlineStr">
        <x:is>
          <x:t xml:space="preserve">диапазон</x:t>
        </x:is>
      </x:c>
      <x:c r="D76" s="8" t="inlineStr">
        <x:is>
          <x:t xml:space="preserve">США</x:t>
        </x:is>
      </x:c>
      <x:c r="E76" s="8" t="inlineStr">
        <x:is>
          <x:t xml:space="preserve">Рочестер, Нью-Йорк / потребительский рынок</x:t>
        </x:is>
      </x:c>
      <x:c r="F76" s="8" t="inlineStr">
        <x:is>
          <x:t xml:space="preserve">Eastman Kodak / фотолаборатории</x:t>
        </x:is>
      </x:c>
      <x:c r="G76" s="8" t="inlineStr">
        <x:is>
      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      </x:is>
      </x:c>
      <x:c r="H76" s="8" t="inlineStr">
        <x:is>
          <x:t xml:space="preserve">Печать / тиражирование</x:t>
        </x:is>
      </x:c>
      <x:c r="I76" s="8" t="inlineStr">
        <x:is>
          <x:t xml:space="preserve">Consumer processing service</x:t>
        </x:is>
      </x:c>
      <x:c r="J76" s="8" t="inlineStr">
        <x:is>
      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      </x:is>
      </x:c>
      <x:c r="K76" s="8" t="inlineStr">
        <x:is>
          <x:t xml:space="preserve">Kodak service model 1888</x:t>
        </x:is>
      </x:c>
      <x:c r="L76" s="8" t="inlineStr">
        <x:is>
          <x:t xml:space="preserve">Фотолаборатории, минилабы и массовая печать XX века</x:t>
        </x:is>
      </x:c>
      <x:c r="M76" s="8" t="inlineStr">
        <x:is>
          <x:t xml:space="preserve">Распространение / коммерциализация</x:t>
        </x:is>
      </x:c>
      <x:c r="N76" s="8" t="n">
        <x:v>4</x:v>
      </x:c>
      <x:c r="O76" s="8" t="inlineStr">
        <x:is>
          <x:t xml:space="preserve">PL-008</x:t>
        </x:is>
      </x:c>
      <x:c r="P76" s="8" t="inlineStr">
        <x:is>
          <x:t xml:space="preserve">SRC-039</x:t>
        </x:is>
      </x:c>
      <x:c r="Q76" s="8" t="inlineStr">
        <x:is>
          <x:t xml:space="preserve">The Met — Kodak and the Rise of Amateur Photography</x:t>
        </x:is>
      </x:c>
      <x:c r="R76" s="8" t="inlineStr">
        <x:is>
          <x:t xml:space="preserve">https://www.metmuseum.org/essays/kodak-and-the-rise-of-amateur-photography</x:t>
        </x:is>
      </x:c>
      <x:c r="S76" s="8" t="n">
        <x:v>5</x:v>
      </x:c>
      <x:c r="T76" s="8" t="inlineStr">
        <x:is>
          <x:t xml:space="preserve">Для PHOTO LAB это важный мост: массовая фотография сразу связана с лабораторией и печатью.</x:t>
        </x:is>
      </x:c>
      <x:c r="U76" s="8" t="inlineStr">
        <x:is>
          <x:t xml:space="preserve">Маршрут: пользователь снимает → лаборатория проявляет → отпечатки возвращаются.</x:t>
        </x:is>
      </x:c>
      <x:c r="V76" s="8" t="inlineStr">
        <x:is>
          <x:t xml:space="preserve">#PL008 #processing #photo-lab #Kodak-service #prints</x:t>
        </x:is>
      </x:c>
      <x:c r="W76" s="8" t="n"/>
      <x:c r="X76" s="8" t="inlineStr">
        <x:is>
          <x:t xml:space="preserve">43.1566, -77.6088</x:t>
        </x:is>
      </x:c>
      <x:c r="Y76" s="8" t="inlineStr">
        <x:is>
          <x:t xml:space="preserve">Snapshot-культура / сервисная обработка</x:t>
        </x:is>
      </x:c>
      <x:c r="Z76" s="8" t="inlineStr">
        <x:is>
          <x:t xml:space="preserve">Распространение / коммерциализация</x:t>
        </x:is>
      </x:c>
      <x:c r="AA76" s="8" t="n"/>
    </x:row>
    <x:row r="77" s="46" customFormat="1" ht="17" customHeight="1">
      <x:c r="A77" s="8" t="inlineStr">
        <x:is>
          <x:t xml:space="preserve">PL-HIST-0076</x:t>
        </x:is>
      </x:c>
      <x:c r="B77" s="8" t="inlineStr">
        <x:is>
          <x:t xml:space="preserve">1900–1980-е</x:t>
        </x:is>
      </x:c>
      <x:c r="C77" s="8" t="inlineStr">
        <x:is>
          <x:t xml:space="preserve">диапазон</x:t>
        </x:is>
      </x:c>
      <x:c r="D77" s="8" t="inlineStr">
        <x:is>
          <x:t xml:space="preserve">США / Великобритания / глобально</x:t>
        </x:is>
      </x:c>
      <x:c r="E77" s="8" t="inlineStr">
        <x:is>
          <x:t xml:space="preserve">распределённый процесс</x:t>
        </x:is>
      </x:c>
      <x:c r="F77" s="8" t="inlineStr">
        <x:is>
          <x:t xml:space="preserve">Eastman Kodak / пользователи Brownie</x:t>
        </x:is>
      </x:c>
      <x:c r="G77" s="8" t="inlineStr">
        <x:is>
          <x:t xml:space="preserve">Линейка Brownie живёт десятилетиями и закрепляет образ простой камеры для всех.</x:t>
        </x:is>
      </x:c>
      <x:c r="H77" s="8" t="inlineStr">
        <x:is>
          <x:t xml:space="preserve">Негатив-позитив</x:t>
        </x:is>
      </x:c>
      <x:c r="I77" s="8" t="inlineStr">
        <x:is>
          <x:t xml:space="preserve">Brownie camera line</x:t>
        </x:is>
      </x:c>
      <x:c r="J77" s="8" t="inlineStr">
        <x:is>
          <x:t xml:space="preserve">Brownie становится не одиночной моделью, а длительной культурной идеей: простая камера, доступная широкой аудитории.</x:t>
        </x:is>
      </x:c>
      <x:c r="K77" s="8" t="inlineStr">
        <x:is>
          <x:t xml:space="preserve">Brownie No. 1 и ранняя массовая фотография</x:t>
        </x:is>
      </x:c>
      <x:c r="L77" s="8" t="inlineStr">
        <x:is>
          <x:t xml:space="preserve">Долгая традиция простых потребительских камер XX века</x:t>
        </x:is>
      </x:c>
      <x:c r="M77" s="8" t="inlineStr">
        <x:is>
          <x:t xml:space="preserve">Временная доминирующая линия</x:t>
        </x:is>
      </x:c>
      <x:c r="N77" s="8" t="n">
        <x:v>4</x:v>
      </x:c>
      <x:c r="O77" s="8" t="inlineStr">
        <x:is>
          <x:t xml:space="preserve">PL-008</x:t>
        </x:is>
      </x:c>
      <x:c r="P77" s="8" t="inlineStr">
        <x:is>
          <x:t xml:space="preserve">SRC-047</x:t>
        </x:is>
      </x:c>
      <x:c r="Q77" s="8" t="inlineStr">
        <x:is>
          <x:t xml:space="preserve">National Science and Media Museum — B is for Brownie</x:t>
        </x:is>
      </x:c>
      <x:c r="R77" s="8" t="inlineStr">
        <x:is>
          <x:t xml:space="preserve">https://blog.scienceandmediamuseum.org.uk/a-z-photography-collection-b-is-for-brownie/</x:t>
        </x:is>
      </x:c>
      <x:c r="S77" s="8" t="n">
        <x:v>4</x:v>
      </x:c>
      <x:c r="T77" s="8" t="inlineStr">
        <x:is>
          <x:t xml:space="preserve">Важно: Brownie — это не только камера 1900 года, а символ народной фотографии на десятилетия.</x:t>
        </x:is>
      </x:c>
      <x:c r="U77" s="8" t="inlineStr">
        <x:is>
          <x:t xml:space="preserve">Таймлайн с разными поколениями Brownie как одной длинной народной линии.</x:t>
        </x:is>
      </x:c>
      <x:c r="V77" s="8" t="inlineStr">
        <x:is>
          <x:t xml:space="preserve">#PL008 #Brownie #camera-line #consumer-cameras</x:t>
        </x:is>
      </x:c>
      <x:c r="W77" s="8" t="inlineStr">
        <x:is>
          <x:t xml:space="preserve">Уточнить конкретные годы производства отдельных моделей Brownie при расширении темы.</x:t>
        </x:is>
      </x:c>
      <x:c r="X77" s="8" t="n"/>
      <x:c r="Y77" s="8" t="inlineStr">
        <x:is>
          <x:t xml:space="preserve">Brownie / долгий жизненный цикл</x:t>
        </x:is>
      </x:c>
      <x:c r="Z77" s="8" t="inlineStr">
        <x:is>
          <x:t xml:space="preserve">Распространение / коммерциализация</x:t>
        </x:is>
      </x:c>
      <x:c r="AA77" s="8" t="n"/>
    </x:row>
    <x:row r="78" s="46" customFormat="1" ht="17" customHeight="1">
      <x:c r="A78" s="8" t="inlineStr">
        <x:is>
          <x:t xml:space="preserve">PL-HIST-0077</x:t>
        </x:is>
      </x:c>
      <x:c r="B78" s="8" t="inlineStr">
        <x:is>
          <x:t xml:space="preserve">1888–1978</x:t>
        </x:is>
      </x:c>
      <x:c r="C78" s="8" t="inlineStr">
        <x:is>
          <x:t xml:space="preserve">диапазон</x:t>
        </x:is>
      </x:c>
      <x:c r="D78" s="8" t="inlineStr">
        <x:is>
          <x:t xml:space="preserve">США</x:t>
        </x:is>
      </x:c>
      <x:c r="E78" s="8" t="inlineStr">
        <x:is>
          <x:t xml:space="preserve">США / музейные коллекции</x:t>
        </x:is>
      </x:c>
      <x:c r="F78" s="8" t="inlineStr">
        <x:is>
          <x:t xml:space="preserve">Неизвестные фотографы / snapshot-архивы</x:t>
        </x:is>
      </x:c>
      <x:c r="G78" s="8" t="inlineStr">
        <x:is>
          <x:t xml:space="preserve">Массовые любительские снимки позже становятся историческим и культурным архивом повседневной жизни.</x:t>
        </x:is>
      </x:c>
      <x:c r="H78" s="8" t="inlineStr">
        <x:is>
          <x:t xml:space="preserve">Печать / тиражирование</x:t>
        </x:is>
      </x:c>
      <x:c r="I78" s="8" t="inlineStr">
        <x:is>
          <x:t xml:space="preserve">Vernacular photography / snapshot archive</x:t>
        </x:is>
      </x:c>
      <x:c r="J78" s="8" t="inlineStr">
        <x:is>
      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      </x:is>
      </x:c>
      <x:c r="K78" s="8" t="inlineStr">
        <x:is>
          <x:t xml:space="preserve">Kodak roll film и Brownie расширяют количество любительских снимков</x:t>
        </x:is>
      </x:c>
      <x:c r="L78" s="8" t="inlineStr">
        <x:is>
          <x:t xml:space="preserve">История vernacular photography и коллекционирование бытовых снимков</x:t>
        </x:is>
      </x:c>
      <x:c r="M78" s="8" t="inlineStr">
        <x:is>
          <x:t xml:space="preserve">Переходная технология</x:t>
        </x:is>
      </x:c>
      <x:c r="N78" s="8" t="n">
        <x:v>3</x:v>
      </x:c>
      <x:c r="O78" s="8" t="inlineStr">
        <x:is>
          <x:t xml:space="preserve">PL-008</x:t>
        </x:is>
      </x:c>
      <x:c r="P78" s="8" t="inlineStr">
        <x:is>
          <x:t xml:space="preserve">SRC-049</x:t>
        </x:is>
      </x:c>
      <x:c r="Q78" s="8" t="inlineStr">
        <x:is>
          <x:t xml:space="preserve">National Gallery of Art — The Art of the American Snapshot, 1888–1978</x:t>
        </x:is>
      </x:c>
      <x:c r="R78" s="8" t="inlineStr">
        <x:is>
          <x:t xml:space="preserve">https://www.nga.gov/exhibitions/art-american-snapshot-1888-1978-collection-robert-e-jackson</x:t>
        </x:is>
      </x:c>
      <x:c r="S78" s="8" t="n">
        <x:v>5</x:v>
      </x:c>
      <x:c r="T78" s="8" t="inlineStr">
        <x:is>
          <x:t xml:space="preserve">Смысл для начинающего: даже обычный семейный снимок со временем может стать историческим документом.</x:t>
        </x:is>
      </x:c>
      <x:c r="U78" s="8" t="inlineStr">
        <x:is>
          <x:t xml:space="preserve">Коробка старых снимков превращается в музейный архив.</x:t>
        </x:is>
      </x:c>
      <x:c r="V78" s="8" t="inlineStr">
        <x:is>
          <x:t xml:space="preserve">#PL008 #vernacular #snapshot-archive #museum #everyday-history</x:t>
        </x:is>
      </x:c>
      <x:c r="W78" s="8" t="n"/>
      <x:c r="X78" s="8" t="n"/>
      <x:c r="Y78" s="8" t="inlineStr">
        <x:is>
          <x:t xml:space="preserve">Snapshot-культура / культурный архив</x:t>
        </x:is>
      </x:c>
      <x:c r="Z78" s="8" t="inlineStr">
        <x:is>
          <x:t xml:space="preserve">Применение / жанр</x:t>
        </x:is>
      </x:c>
      <x:c r="AA78" s="8" t="n"/>
    </x:row>
    <x:row r="79" s="46" customFormat="1" ht="17" customHeight="1">
      <x:c r="A79" s="8" t="inlineStr">
        <x:is>
          <x:t xml:space="preserve">PL-HIST-0078</x:t>
        </x:is>
      </x:c>
      <x:c r="B79" s="8" t="inlineStr">
        <x:is>
          <x:t xml:space="preserve">1913 / 1925</x:t>
        </x:is>
      </x:c>
      <x:c r="C79" s="8" t="inlineStr">
        <x:is>
          <x:t xml:space="preserve">диапазон</x:t>
        </x:is>
      </x:c>
      <x:c r="D79" s="8" t="inlineStr">
        <x:is>
          <x:t xml:space="preserve">Германия</x:t>
        </x:is>
      </x:c>
      <x:c r="E79" s="8" t="inlineStr">
        <x:is>
          <x:t xml:space="preserve">Вецлар / Лейпциг</x:t>
        </x:is>
      </x:c>
      <x:c r="F79" s="8" t="inlineStr">
        <x:is>
          <x:t xml:space="preserve">Оскар Барнак / Leica</x:t>
        </x:is>
      </x:c>
      <x:c r="G79" s="8" t="inlineStr">
        <x:is>
      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      </x:is>
      </x:c>
      <x:c r="H79" s="8" t="inlineStr">
        <x:is>
          <x:t xml:space="preserve">Негатив-позитив</x:t>
        </x:is>
      </x:c>
      <x:c r="I79" s="8" t="inlineStr">
        <x:is>
          <x:t xml:space="preserve">Bridge to 35mm miniature photography</x:t>
        </x:is>
      </x:c>
      <x:c r="J79" s="8" t="inlineStr">
        <x:is>
          <x:t xml:space="preserve">Фотография уже стала массовой, но следующий этап — сделать маленькую камеру серьёзным инструментом для живой съёмки.</x:t>
        </x:is>
      </x:c>
      <x:c r="K79" s="8" t="inlineStr">
        <x:is>
          <x:t xml:space="preserve">Brownie и snapshot-культура показывают силу простой камеры</x:t>
        </x:is>
      </x:c>
      <x:c r="L79" s="8" t="inlineStr">
        <x:is>
          <x:t xml:space="preserve">PL-009: 35 мм, Leica и новая мобильность фотографа</x:t>
        </x:is>
      </x:c>
      <x:c r="M79" s="8" t="inlineStr">
        <x:is>
          <x:t xml:space="preserve">Связь / переход</x:t>
        </x:is>
      </x:c>
      <x:c r="N79" s="8" t="n">
        <x:v>5</x:v>
      </x:c>
      <x:c r="O79" s="8" t="inlineStr">
        <x:is>
          <x:t xml:space="preserve">PL-008</x:t>
        </x:is>
      </x:c>
      <x:c r="P79" s="8" t="inlineStr">
        <x:is>
          <x:t xml:space="preserve">SRC-051</x:t>
        </x:is>
      </x:c>
      <x:c r="Q79" s="8" t="inlineStr">
        <x:is>
          <x:t xml:space="preserve">Smithsonian NMAH — Leica 35 mm 1(A) Camera</x:t>
        </x:is>
      </x:c>
      <x:c r="R79" s="8" t="inlineStr">
        <x:is>
          <x:t xml:space="preserve">https://americanhistory.si.edu/collections/object/nmah_834692</x:t>
        </x:is>
      </x:c>
      <x:c r="S79" s="8" t="n">
        <x:v>5</x:v>
      </x:c>
      <x:c r="T79" s="8" t="inlineStr">
        <x:is>
          <x:t xml:space="preserve">Это мост к PL-009: после «камеры для всех» появится идея компактной камеры для быстрой и качественной фотографии.</x:t>
        </x:is>
      </x:c>
      <x:c r="U79" s="8" t="inlineStr">
        <x:is>
          <x:t xml:space="preserve">Линия от коробочной Brownie к маленькой 35-мм камере Leica.</x:t>
        </x:is>
      </x:c>
      <x:c r="V79" s="8" t="inlineStr">
        <x:is>
          <x:t xml:space="preserve">#PL008 #bridge #Leica #35mm #future-PL</x:t>
        </x:is>
      </x:c>
      <x:c r="W79" s="8" t="inlineStr">
        <x:is>
          <x:t xml:space="preserve">При заполнении PL-009 уточнить отдельно Ur-Leica 1913, Leica I 1925 и роль 35-мм кино-плёнки.</x:t>
        </x:is>
      </x:c>
      <x:c r="X79" s="8" t="inlineStr">
        <x:is>
          <x:t xml:space="preserve">50.5619, 8.5044</x:t>
        </x:is>
      </x:c>
      <x:c r="Y79" s="8" t="inlineStr">
        <x:is>
          <x:t xml:space="preserve">Brownie / мост к 35 мм</x:t>
        </x:is>
      </x:c>
      <x:c r="Z79" s="8" t="inlineStr">
        <x:is>
          <x:t xml:space="preserve">Связь / переход</x:t>
        </x:is>
      </x:c>
      <x:c r="AA79" s="8" t="n"/>
    </x:row>
    <x:row r="80" s="46" customFormat="1" ht="17" customHeight="1">
      <x:c r="A80" s="49" t="inlineStr">
        <x:is>
          <x:t xml:space="preserve">PL-HIST-0079</x:t>
        </x:is>
      </x:c>
      <x:c r="B80" s="49" t="inlineStr">
        <x:is>
          <x:t xml:space="preserve">1889</x:t>
        </x:is>
      </x:c>
      <x:c r="C80" s="49" t="inlineStr">
        <x:is>
          <x:t xml:space="preserve">год</x:t>
        </x:is>
      </x:c>
      <x:c r="D80" s="49" t="inlineStr">
        <x:is>
          <x:t xml:space="preserve">США</x:t>
        </x:is>
      </x:c>
      <x:c r="E80" s="49" t="inlineStr">
        <x:is>
          <x:t xml:space="preserve">Рочестер, Нью-Йорк</x:t>
        </x:is>
      </x:c>
      <x:c r="F80" s="49" t="inlineStr">
        <x:is>
          <x:t xml:space="preserve">Джордж Истмен / Eastman Kodak</x:t>
        </x:is>
      </x:c>
      <x:c r="G80" s="49" t="inlineStr">
        <x:is>
          <x:t xml:space="preserve">Промышленная прозрачная рулонная плёнка Eastman создаёт гибкий носитель, из которого вскоре вырастет киноформат 35 мм.</x:t>
        </x:is>
      </x:c>
      <x:c r="H80" s="49" t="inlineStr">
        <x:is>
          <x:t xml:space="preserve">Негатив-позитив</x:t>
        </x:is>
      </x:c>
      <x:c r="I80" s="49" t="inlineStr">
        <x:is>
          <x:t xml:space="preserve">Transparent roll film</x:t>
        </x:is>
      </x:c>
      <x:c r="J80" s="49" t="inlineStr">
        <x:is>
          <x:t xml:space="preserve">Плёнка становится не только альтернативой стеклянной пластине, но и материалом для длинной последовательности кадров.</x:t>
        </x:is>
      </x:c>
      <x:c r="K80" s="49" t="inlineStr">
        <x:is>
          <x:t xml:space="preserve">Рулонная плёнка Kodak 1888–1889</x:t>
        </x:is>
      </x:c>
      <x:c r="L80" s="49" t="inlineStr">
        <x:is>
          <x:t xml:space="preserve">Edison/Dickson use flexible film for motion-picture camera</x:t>
        </x:is>
      </x:c>
      <x:c r="M80" s="49" t="inlineStr">
        <x:is>
          <x:t xml:space="preserve">Связь / переход</x:t>
        </x:is>
      </x:c>
      <x:c r="N80" s="49" t="n">
        <x:v>5</x:v>
      </x:c>
      <x:c r="O80" s="49" t="inlineStr">
        <x:is>
          <x:t xml:space="preserve">PL-009</x:t>
        </x:is>
      </x:c>
      <x:c r="P80" s="49" t="inlineStr">
        <x:is>
          <x:t xml:space="preserve">SRC-052</x:t>
        </x:is>
      </x:c>
      <x:c r="Q80" s="49" t="inlineStr">
        <x:is>
          <x:t xml:space="preserve">Kodak — Motion Picture History</x:t>
        </x:is>
      </x:c>
      <x:c r="R80" s="49" t="inlineStr">
        <x:is>
          <x:t xml:space="preserve">https://www.kodak.com/en/company/page/motion-picture-history/</x:t>
        </x:is>
      </x:c>
      <x:c r="S80" s="49" t="n">
        <x:v>5</x:v>
      </x:c>
      <x:c r="T80" s="49" t="inlineStr">
        <x:is>
          <x:t xml:space="preserve">Для PL-009 важно показать: 35 мм родился не сразу как фотоплёнка для фотоаппарата, а через кинематографический носитель.</x:t>
        </x:is>
      </x:c>
      <x:c r="U80" s="49" t="inlineStr">
        <x:is>
          <x:t xml:space="preserve">Рулон прозрачной плёнки превращается в длинную дорожку кадров.</x:t>
        </x:is>
      </x:c>
      <x:c r="V80" s="49" t="inlineStr">
        <x:is>
          <x:t xml:space="preserve">#PL009 #35mm #transparent-film #Eastman #cinema-roots</x:t>
        </x:is>
      </x:c>
      <x:c r="W80" s="49" t="n"/>
      <x:c r="X80" s="49" t="inlineStr">
        <x:is>
          <x:t xml:space="preserve">43.1566, -77.6088</x:t>
        </x:is>
      </x:c>
      <x:c r="Y80" s="49" t="inlineStr">
        <x:is>
          <x:t xml:space="preserve">35 мм / прозрачная рулонная плёнка</x:t>
        </x:is>
      </x:c>
      <x:c r="Z80" s="49" t="inlineStr">
        <x:is>
          <x:t xml:space="preserve">Связь / переход</x:t>
        </x:is>
      </x:c>
      <x:c r="AA80" s="49" t="n"/>
    </x:row>
    <x:row r="81" s="46" customFormat="1" ht="17" customHeight="1">
      <x:c r="A81" s="49" t="inlineStr">
        <x:is>
          <x:t xml:space="preserve">PL-HIST-0080</x:t>
        </x:is>
      </x:c>
      <x:c r="B81" s="49" t="inlineStr">
        <x:is>
          <x:t xml:space="preserve">1891</x:t>
        </x:is>
      </x:c>
      <x:c r="C81" s="49" t="inlineStr">
        <x:is>
          <x:t xml:space="preserve">год</x:t>
        </x:is>
      </x:c>
      <x:c r="D81" s="49" t="inlineStr">
        <x:is>
          <x:t xml:space="preserve">США</x:t>
        </x:is>
      </x:c>
      <x:c r="E81" s="49" t="inlineStr">
        <x:is>
          <x:t xml:space="preserve">Вест-Ориндж, Нью-Джерси</x:t>
        </x:is>
      </x:c>
      <x:c r="F81" s="49" t="inlineStr">
        <x:is>
          <x:t xml:space="preserve">Томас Эдисон / Уильям К. Л. Диксон</x:t>
        </x:is>
      </x:c>
      <x:c r="G81" s="49" t="inlineStr">
        <x:is>
          <x:t xml:space="preserve">В лаборатории Эдисона разрабатываются Kinetograph и Kinetoscope; в патентной логике ширина плёнки фиксируется как 35 мм.</x:t>
        </x:is>
      </x:c>
      <x:c r="H81" s="49" t="inlineStr">
        <x:is>
          <x:t xml:space="preserve">Проекция / распространение</x:t>
        </x:is>
      </x:c>
      <x:c r="I81" s="49" t="inlineStr">
        <x:is>
          <x:t xml:space="preserve">Kinetograph / Kinetoscope 35 mm film</x:t>
        </x:is>
      </x:c>
      <x:c r="J81" s="49" t="inlineStr">
        <x:is>
          <x:t xml:space="preserve">35 мм начинает работать как практический формат для записи и показа движущегося изображения.</x:t>
        </x:is>
      </x:c>
      <x:c r="K81" s="49" t="inlineStr">
        <x:is>
          <x:t xml:space="preserve">Прозрачная рулонная плёнка Eastman</x:t>
        </x:is>
      </x:c>
      <x:c r="L81" s="49" t="inlineStr">
        <x:is>
          <x:t xml:space="preserve">35 мм закрепляется в кино как рабочий стандарт</x:t>
        </x:is>
      </x:c>
      <x:c r="M81" s="49" t="inlineStr">
        <x:is>
          <x:t xml:space="preserve">Главная линия</x:t>
        </x:is>
      </x:c>
      <x:c r="N81" s="49" t="n">
        <x:v>5</x:v>
      </x:c>
      <x:c r="O81" s="49" t="inlineStr">
        <x:is>
          <x:t xml:space="preserve">PL-009</x:t>
        </x:is>
      </x:c>
      <x:c r="P81" s="49" t="inlineStr">
        <x:is>
          <x:t xml:space="preserve">SRC-053</x:t>
        </x:is>
      </x:c>
      <x:c r="Q81" s="49" t="inlineStr">
        <x:is>
          <x:t xml:space="preserve">Library of Congress — Origins of Motion Pictures</x:t>
        </x:is>
      </x:c>
      <x:c r="R81" s="49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S81" s="49" t="n">
        <x:v>5</x:v>
      </x:c>
      <x:c r="T81" s="49" t="inlineStr">
        <x:is>
          <x:t xml:space="preserve">Объяснить аккуратно: это ещё не фотоаппарат Leica, а кинематографический стандарт, который позже будет переосмыслен фотографией.</x:t>
        </x:is>
      </x:c>
      <x:c r="U81" s="49" t="inlineStr">
        <x:is>
          <x:t xml:space="preserve">Лаборатория Эдисона: лента плёнки проходит через механизм с перфорацией.</x:t>
        </x:is>
      </x:c>
      <x:c r="V81" s="49" t="inlineStr">
        <x:is>
          <x:t xml:space="preserve">#PL009 #Edison #Dickson #Kinetograph #35mm</x:t>
        </x:is>
      </x:c>
      <x:c r="W81" s="49" t="n"/>
      <x:c r="X81" s="49" t="inlineStr">
        <x:is>
          <x:t xml:space="preserve">40.7987, -74.2390</x:t>
        </x:is>
      </x:c>
      <x:c r="Y81" s="49" t="inlineStr">
        <x:is>
          <x:t xml:space="preserve">35 мм / киноистоки</x:t>
        </x:is>
      </x:c>
      <x:c r="Z81" s="49" t="inlineStr">
        <x:is>
          <x:t xml:space="preserve">Технология / процесс</x:t>
        </x:is>
      </x:c>
      <x:c r="AA81" s="49" t="n"/>
    </x:row>
    <x:row r="82" s="46" customFormat="1" ht="17" customHeight="1">
      <x:c r="A82" s="49" t="inlineStr">
        <x:is>
          <x:t xml:space="preserve">PL-HIST-0081</x:t>
        </x:is>
      </x:c>
      <x:c r="B82" s="49" t="inlineStr">
        <x:is>
          <x:t xml:space="preserve">1890-е</x:t>
        </x:is>
      </x:c>
      <x:c r="C82" s="49" t="inlineStr">
        <x:is>
          <x:t xml:space="preserve">диапазон</x:t>
        </x:is>
      </x:c>
      <x:c r="D82" s="49" t="inlineStr">
        <x:is>
          <x:t xml:space="preserve">США</x:t>
        </x:is>
      </x:c>
      <x:c r="E82" s="49" t="inlineStr">
        <x:is>
          <x:t xml:space="preserve">Вест-Ориндж, Нью-Джерси</x:t>
        </x:is>
      </x:c>
      <x:c r="F82" s="49" t="inlineStr">
        <x:is>
          <x:t xml:space="preserve">Уильям К. Л. Диксон / Kodak</x:t>
        </x:is>
      </x:c>
      <x:c r="G82" s="49" t="inlineStr">
        <x:is>
          <x:t xml:space="preserve">Диксон использует прозрачную плёнку Kodak шириной 70 мм, разрезает её пополам до 35 мм и перфорирует для Edison Kinetoscope.</x:t>
        </x:is>
      </x:c>
      <x:c r="H82" s="49" t="inlineStr">
        <x:is>
          <x:t xml:space="preserve">Проекция / распространение</x:t>
        </x:is>
      </x:c>
      <x:c r="I82" s="49" t="inlineStr">
        <x:is>
          <x:t xml:space="preserve">35 mm perforated motion-picture film</x:t>
        </x:is>
      </x:c>
      <x:c r="J82" s="49" t="inlineStr">
        <x:is>
          <x:t xml:space="preserve">Появляется физическая логика формата: узкая гибкая лента, перфорация, кадры, механическая протяжка.</x:t>
        </x:is>
      </x:c>
      <x:c r="K82" s="49" t="inlineStr">
        <x:is>
          <x:t xml:space="preserve">Transparent Kodak film</x:t>
        </x:is>
      </x:c>
      <x:c r="L82" s="49" t="inlineStr">
        <x:is>
          <x:t xml:space="preserve">International 35 mm motion-picture practice</x:t>
        </x:is>
      </x:c>
      <x:c r="M82" s="49" t="inlineStr">
        <x:is>
          <x:t xml:space="preserve">Главная линия</x:t>
        </x:is>
      </x:c>
      <x:c r="N82" s="49" t="n">
        <x:v>5</x:v>
      </x:c>
      <x:c r="O82" s="49" t="inlineStr">
        <x:is>
          <x:t xml:space="preserve">PL-009</x:t>
        </x:is>
      </x:c>
      <x:c r="P82" s="49" t="inlineStr">
        <x:is>
          <x:t xml:space="preserve">SRC-054</x:t>
        </x:is>
      </x:c>
      <x:c r="Q82" s="49" t="inlineStr">
        <x:is>
          <x:t xml:space="preserve">George Eastman Museum — Early Kodak transparent film</x:t>
        </x:is>
      </x:c>
      <x:c r="R82" s="49" t="inlineStr">
        <x:is>
          <x:t xml:space="preserve">https://www.eastman.org/two-rare-rolls-early-kodak-film-acquired-george-eastman-museum</x:t>
        </x:is>
      </x:c>
      <x:c r="S82" s="49" t="n">
        <x:v>5</x:v>
      </x:c>
      <x:c r="T82" s="49" t="inlineStr">
        <x:is>
          <x:t xml:space="preserve">Это красивый узел для карты: 70 мм делится пополам — и рождается 35-мм дорожка.</x:t>
        </x:is>
      </x:c>
      <x:c r="U82" s="49" t="inlineStr">
        <x:is>
          <x:t xml:space="preserve">70-мм рулон плёнки разрезан на две 35-мм ленты с перфорацией.</x:t>
        </x:is>
      </x:c>
      <x:c r="V82" s="49" t="inlineStr">
        <x:is>
          <x:t xml:space="preserve">#PL009 #Dickson #Kodak #perforation #35mm-film</x:t>
        </x:is>
      </x:c>
      <x:c r="W82" s="49" t="inlineStr">
        <x:is>
          <x:t xml:space="preserve">Проверить формулировку периода: точный год разрезания 70 мм на 35 мм в разных источниках может отличаться.</x:t>
        </x:is>
      </x:c>
      <x:c r="X82" s="49" t="inlineStr">
        <x:is>
          <x:t xml:space="preserve">40.7987, -74.2390</x:t>
        </x:is>
      </x:c>
      <x:c r="Y82" s="49" t="inlineStr">
        <x:is>
          <x:t xml:space="preserve">35 мм / ширина и перфорация</x:t>
        </x:is>
      </x:c>
      <x:c r="Z82" s="49" t="inlineStr">
        <x:is>
          <x:t xml:space="preserve">Ключевой исторический узел</x:t>
        </x:is>
      </x:c>
      <x:c r="AA82" s="49" t="n"/>
    </x:row>
    <x:row r="83" s="46" customFormat="1" ht="17" customHeight="1">
      <x:c r="A83" s="49" t="inlineStr">
        <x:is>
          <x:t xml:space="preserve">PL-HIST-0082</x:t>
        </x:is>
      </x:c>
      <x:c r="B83" s="49" t="inlineStr">
        <x:is>
          <x:t xml:space="preserve">1893–1894</x:t>
        </x:is>
      </x:c>
      <x:c r="C83" s="49" t="inlineStr">
        <x:is>
          <x:t xml:space="preserve">диапазон</x:t>
        </x:is>
      </x:c>
      <x:c r="D83" s="49" t="inlineStr">
        <x:is>
          <x:t xml:space="preserve">США</x:t>
        </x:is>
      </x:c>
      <x:c r="E83" s="49" t="inlineStr">
        <x:is>
          <x:t xml:space="preserve">Вест-Ориндж / Нью-Йорк</x:t>
        </x:is>
      </x:c>
      <x:c r="F83" s="49" t="inlineStr">
        <x:is>
          <x:t xml:space="preserve">Edison Manufacturing Company / зрители Kinetoscope</x:t>
        </x:is>
      </x:c>
      <x:c r="G83" s="49" t="inlineStr">
        <x:is>
          <x:t xml:space="preserve">Kinetoscope показывает движущиеся изображения на 35-мм перфорированной плёнке и превращает формат в публичный медианоситель.</x:t>
        </x:is>
      </x:c>
      <x:c r="H83" s="49" t="inlineStr">
        <x:is>
          <x:t xml:space="preserve">Проекция / распространение</x:t>
        </x:is>
      </x:c>
      <x:c r="I83" s="49" t="inlineStr">
        <x:is>
          <x:t xml:space="preserve">35 mm Kinetoscope viewing</x:t>
        </x:is>
      </x:c>
      <x:c r="J83" s="49" t="inlineStr">
        <x:is>
          <x:t xml:space="preserve">35 мм становится не лабораторной пробой, а частью публичной визуальной культуры.</x:t>
        </x:is>
      </x:c>
      <x:c r="K83" s="49" t="inlineStr">
        <x:is>
          <x:t xml:space="preserve">Kinetograph and perforated 35 mm film</x:t>
        </x:is>
      </x:c>
      <x:c r="L83" s="49" t="inlineStr">
        <x:is>
          <x:t xml:space="preserve">Dominance of 35 mm motion-picture projection and production</x:t>
        </x:is>
      </x:c>
      <x:c r="M83" s="49" t="inlineStr">
        <x:is>
          <x:t xml:space="preserve">Главная линия / временная доминирующая линия</x:t>
        </x:is>
      </x:c>
      <x:c r="N83" s="49" t="n">
        <x:v>4</x:v>
      </x:c>
      <x:c r="O83" s="49" t="inlineStr">
        <x:is>
          <x:t xml:space="preserve">PL-009</x:t>
        </x:is>
      </x:c>
      <x:c r="P83" s="49" t="inlineStr">
        <x:is>
          <x:t xml:space="preserve">SRC-055</x:t>
        </x:is>
      </x:c>
      <x:c r="Q83" s="49" t="inlineStr">
        <x:is>
          <x:t xml:space="preserve">George Eastman Museum — Kinetoscope</x:t>
        </x:is>
      </x:c>
      <x:c r="R83" s="49" t="inlineStr">
        <x:is>
          <x:t xml:space="preserve">https://collections.eastman.org/objects/78087/kinetoscope</x:t>
        </x:is>
      </x:c>
      <x:c r="S83" s="49" t="n">
        <x:v>5</x:v>
      </x:c>
      <x:c r="T83" s="49" t="inlineStr">
        <x:is>
          <x:t xml:space="preserve">Новичку важно: до Leica 35 мм уже был массовым форматом движения и развлечения.</x:t>
        </x:is>
      </x:c>
      <x:c r="U83" s="49" t="inlineStr">
        <x:is>
          <x:t xml:space="preserve">Аппарат Kinetoscope с лентой 35 мм внутри и зрителем у окуляра.</x:t>
        </x:is>
      </x:c>
      <x:c r="V83" s="49" t="inlineStr">
        <x:is>
          <x:t xml:space="preserve">#PL009 #Kinetoscope #cinema #35mm #public-viewing</x:t>
        </x:is>
      </x:c>
      <x:c r="W83" s="49" t="n"/>
      <x:c r="X83" s="49" t="inlineStr">
        <x:is>
          <x:t xml:space="preserve">40.7128, -74.0060</x:t>
        </x:is>
      </x:c>
      <x:c r="Y83" s="49" t="inlineStr">
        <x:is>
          <x:t xml:space="preserve">35 мм / Kinetoscope</x:t>
        </x:is>
      </x:c>
      <x:c r="Z83" s="49" t="inlineStr">
        <x:is>
          <x:t xml:space="preserve">Распространение / коммерциализация</x:t>
        </x:is>
      </x:c>
      <x:c r="AA83" s="49" t="n"/>
    </x:row>
    <x:row r="84" s="46" customFormat="1" ht="17" customHeight="1">
      <x:c r="A84" s="49" t="inlineStr">
        <x:is>
          <x:t xml:space="preserve">PL-HIST-0083</x:t>
        </x:is>
      </x:c>
      <x:c r="B84" s="49" t="inlineStr">
        <x:is>
          <x:t xml:space="preserve">1908–1909</x:t>
        </x:is>
      </x:c>
      <x:c r="C84" s="49" t="inlineStr">
        <x:is>
          <x:t xml:space="preserve">диапазон</x:t>
        </x:is>
      </x:c>
      <x:c r="D84" s="49" t="inlineStr">
        <x:is>
          <x:t xml:space="preserve">международный процесс</x:t>
        </x:is>
      </x:c>
      <x:c r="E84" s="49" t="inlineStr">
        <x:is>
          <x:t xml:space="preserve">США / Европа</x:t>
        </x:is>
      </x:c>
      <x:c r="F84" s="49" t="inlineStr">
        <x:is>
          <x:t xml:space="preserve">Киноиндустрия / MPPC / производители оборудования</x:t>
        </x:is>
      </x:c>
      <x:c r="G84" s="49" t="inlineStr">
        <x:is>
          <x:t xml:space="preserve">35-мм киноплёнка с четырьмя перфорациями на кадр фактически закрепляется как международный производственный и прокатный стандарт.</x:t>
        </x:is>
      </x:c>
      <x:c r="H84" s="49" t="inlineStr">
        <x:is>
          <x:t xml:space="preserve">Проекция / распространение</x:t>
        </x:is>
      </x:c>
      <x:c r="I84" s="49" t="inlineStr">
        <x:is>
          <x:t xml:space="preserve">35 mm motion-picture standard</x:t>
        </x:is>
      </x:c>
      <x:c r="J84" s="49" t="inlineStr">
        <x:is>
          <x:t xml:space="preserve">Стандартизация делает формат удобным для индустрии: камеры, проекторы, лаборатории и прокат начинают говорить на одном техническом языке.</x:t>
        </x:is>
      </x:c>
      <x:c r="K84" s="49" t="inlineStr">
        <x:is>
          <x:t xml:space="preserve">Edison/Dickson 35 mm practice</x:t>
        </x:is>
      </x:c>
      <x:c r="L84" s="49" t="inlineStr">
        <x:is>
          <x:t xml:space="preserve">35 mm cine film becomes available for still-camera reinterpretation</x:t>
        </x:is>
      </x:c>
      <x:c r="M84" s="49" t="inlineStr">
        <x:is>
          <x:t xml:space="preserve">Главная линия / временная доминирующая линия</x:t>
        </x:is>
      </x:c>
      <x:c r="N84" s="49" t="n">
        <x:v>4</x:v>
      </x:c>
      <x:c r="O84" s="49" t="inlineStr">
        <x:is>
          <x:t xml:space="preserve">PL-009</x:t>
        </x:is>
      </x:c>
      <x:c r="P84" s="49" t="inlineStr">
        <x:is>
          <x:t xml:space="preserve">SRC-056</x:t>
        </x:is>
      </x:c>
      <x:c r="Q84" s="49" t="inlineStr">
        <x:is>
          <x:t xml:space="preserve">SMPTE Journal — The Origins of 35mm Film as a Standard</x:t>
        </x:is>
      </x:c>
      <x:c r="R84" s="49" t="inlineStr">
        <x:is>
          <x:t xml:space="preserve">https://journal.smpte.org/periodicals/SMPTE%20Journal/99/8/22/</x:t>
        </x:is>
      </x:c>
      <x:c r="S84" s="49" t="n">
        <x:v>4</x:v>
      </x:c>
      <x:c r="T84" s="49" t="inlineStr">
        <x:is>
          <x:t xml:space="preserve">Это узел про стандарт: когда формат становится общим языком, его легче взять и переосмыслить в фотографии.</x:t>
        </x:is>
      </x:c>
      <x:c r="U84" s="49" t="inlineStr">
        <x:is>
          <x:t xml:space="preserve">Схема: камера → плёнка 35 мм → проектор → общий стандарт.</x:t>
        </x:is>
      </x:c>
      <x:c r="V84" s="49" t="inlineStr">
        <x:is>
          <x:t xml:space="preserve">#PL009 #35mm-standard #cinema #SMPTE #MPPC</x:t>
        </x:is>
      </x:c>
      <x:c r="W84" s="49" t="inlineStr">
        <x:is>
          <x:t xml:space="preserve">Проверить детали 1908–1909 и роль MPPC при финальной редакции лекции.</x:t>
        </x:is>
      </x:c>
      <x:c r="X84" s="49" t="n"/>
      <x:c r="Y84" s="49" t="inlineStr">
        <x:is>
          <x:t xml:space="preserve">35 мм / международный стандарт</x:t>
        </x:is>
      </x:c>
      <x:c r="Z84" s="49" t="inlineStr">
        <x:is>
          <x:t xml:space="preserve">Ключевой исторический узел</x:t>
        </x:is>
      </x:c>
      <x:c r="AA84" s="49" t="n"/>
    </x:row>
    <x:row r="85" s="46" customFormat="1" ht="17" customHeight="1">
      <x:c r="A85" s="49" t="inlineStr">
        <x:is>
          <x:t xml:space="preserve">PL-HIST-0084</x:t>
        </x:is>
      </x:c>
      <x:c r="B85" s="49" t="inlineStr">
        <x:is>
          <x:t xml:space="preserve">1913–1914</x:t>
        </x:is>
      </x:c>
      <x:c r="C85" s="49" t="inlineStr">
        <x:is>
          <x:t xml:space="preserve">диапазон</x:t>
        </x:is>
      </x:c>
      <x:c r="D85" s="49" t="inlineStr">
        <x:is>
          <x:t xml:space="preserve">Германия</x:t>
        </x:is>
      </x:c>
      <x:c r="E85" s="49" t="inlineStr">
        <x:is>
          <x:t xml:space="preserve">Вецлар</x:t>
        </x:is>
      </x:c>
      <x:c r="F85" s="49" t="inlineStr">
        <x:is>
          <x:t xml:space="preserve">Оскар Барнак / Ernst Leitz</x:t>
        </x:is>
      </x:c>
      <x:c r="G85" s="49" t="inlineStr">
        <x:is>
          <x:t xml:space="preserve">Оскар Барнак создаёт прототип Ur-Leica: поворачивает 35-мм киноплёнку в горизонтальную ориентацию и получает кадр 24×36 мм.</x:t>
        </x:is>
      </x:c>
      <x:c r="H85" s="49" t="inlineStr">
        <x:is>
          <x:t xml:space="preserve">Негатив-позитив</x:t>
        </x:is>
      </x:c>
      <x:c r="I85" s="49" t="inlineStr">
        <x:is>
          <x:t xml:space="preserve">24×36 mm still frame on 35 mm film</x:t>
        </x:is>
      </x:c>
      <x:c r="J85" s="49" t="inlineStr">
        <x:is>
          <x:t xml:space="preserve">Киноноситель становится фотографическим форматом: маленький негатив можно увеличить до полноценного отпечатка.</x:t>
        </x:is>
      </x:c>
      <x:c r="K85" s="49" t="inlineStr">
        <x:is>
          <x:t xml:space="preserve">35 mm motion-picture standard</x:t>
        </x:is>
      </x:c>
      <x:c r="L85" s="49" t="inlineStr">
        <x:is>
          <x:t xml:space="preserve">Leica I and small-format photography</x:t>
        </x:is>
      </x:c>
      <x:c r="M85" s="49" t="inlineStr">
        <x:is>
          <x:t xml:space="preserve">Главная линия</x:t>
        </x:is>
      </x:c>
      <x:c r="N85" s="49" t="n">
        <x:v>5</x:v>
      </x:c>
      <x:c r="O85" s="49" t="inlineStr">
        <x:is>
          <x:t xml:space="preserve">PL-009</x:t>
        </x:is>
      </x:c>
      <x:c r="P85" s="49" t="inlineStr">
        <x:is>
          <x:t xml:space="preserve">SRC-057</x:t>
        </x:is>
      </x:c>
      <x:c r="Q85" s="49" t="inlineStr">
        <x:is>
          <x:t xml:space="preserve">Leica Timeline — 1914</x:t>
        </x:is>
      </x:c>
      <x:c r="R85" s="49" t="inlineStr">
        <x:is>
          <x:t xml:space="preserve">https://timeline.leica-camera.com/en-US/years/1914</x:t>
        </x:is>
      </x:c>
      <x:c r="S85" s="49" t="n">
        <x:v>5</x:v>
      </x:c>
      <x:c r="T85" s="49" t="inlineStr">
        <x:is>
          <x:t xml:space="preserve">Главная идея PL-009: не просто плёнка 35 мм, а поворот мышления — киноформат превращают в компактную фотографическую систему.</x:t>
        </x:is>
      </x:c>
      <x:c r="U85" s="49" t="inlineStr">
        <x:is>
          <x:t xml:space="preserve">35-мм кинолента поворачивается горизонтально; появляется прямоугольник 24×36.</x:t>
        </x:is>
      </x:c>
      <x:c r="V85" s="49" t="inlineStr">
        <x:is>
          <x:t xml:space="preserve">#PL009 #Ur-Leica #Oskar-Barnack #24x36 #35mm</x:t>
        </x:is>
      </x:c>
      <x:c r="W85" s="49" t="n"/>
      <x:c r="X85" s="49" t="inlineStr">
        <x:is>
          <x:t xml:space="preserve">50.5619, 8.5044</x:t>
        </x:is>
      </x:c>
      <x:c r="Y85" s="49" t="inlineStr">
        <x:is>
          <x:t xml:space="preserve">35 мм / 24×36</x:t>
        </x:is>
      </x:c>
      <x:c r="Z85" s="49" t="inlineStr">
        <x:is>
          <x:t xml:space="preserve">Ключевой исторический узел</x:t>
        </x:is>
      </x:c>
      <x:c r="AA85" s="49" t="inlineStr">
        <x:is>
          <x:t xml:space="preserve">да</x:t>
        </x:is>
      </x:c>
    </x:row>
    <x:row r="86" s="46" customFormat="1" ht="17" customHeight="1">
      <x:c r="A86" s="49" t="inlineStr">
        <x:is>
          <x:t xml:space="preserve">PL-HIST-0085</x:t>
        </x:is>
      </x:c>
      <x:c r="B86" s="49" t="inlineStr">
        <x:is>
          <x:t xml:space="preserve">1920</x:t>
        </x:is>
      </x:c>
      <x:c r="C86" s="49" t="inlineStr">
        <x:is>
          <x:t xml:space="preserve">год</x:t>
        </x:is>
      </x:c>
      <x:c r="D86" s="49" t="inlineStr">
        <x:is>
          <x:t xml:space="preserve">Германия</x:t>
        </x:is>
      </x:c>
      <x:c r="E86" s="49" t="inlineStr">
        <x:is>
          <x:t xml:space="preserve">Вецлар</x:t>
        </x:is>
      </x:c>
      <x:c r="F86" s="49" t="inlineStr">
        <x:is>
          <x:t xml:space="preserve">Оскар Барнак</x:t>
        </x:is>
      </x:c>
      <x:c r="G86" s="49" t="inlineStr">
        <x:is>
          <x:t xml:space="preserve">Барнак снимает на прототип Leica наводнение в Вецларе; серия часто рассматривается как ранний пример 35-мм репортажной фотографии.</x:t>
        </x:is>
      </x:c>
      <x:c r="H86" s="49" t="inlineStr">
        <x:is>
          <x:t xml:space="preserve">Негатив-позитив</x:t>
        </x:is>
      </x:c>
      <x:c r="I86" s="49" t="inlineStr">
        <x:is>
          <x:t xml:space="preserve">35 mm reportage series</x:t>
        </x:is>
      </x:c>
      <x:c r="J86" s="49" t="inlineStr">
        <x:is>
          <x:t xml:space="preserve">Компактная камера показывает свою силу: фотограф может быть ближе к событию и двигаться быстрее.</x:t>
        </x:is>
      </x:c>
      <x:c r="K86" s="49" t="inlineStr">
        <x:is>
          <x:t xml:space="preserve">Ur-Leica prototype and 24×36 format</x:t>
        </x:is>
      </x:c>
      <x:c r="L86" s="49" t="inlineStr">
        <x:is>
          <x:t xml:space="preserve">Small camera becomes tool for reportage and street photography</x:t>
        </x:is>
      </x:c>
      <x:c r="M86" s="49" t="inlineStr">
        <x:is>
          <x:t xml:space="preserve">Переходная технология</x:t>
        </x:is>
      </x:c>
      <x:c r="N86" s="49" t="n">
        <x:v>4</x:v>
      </x:c>
      <x:c r="O86" s="49" t="inlineStr">
        <x:is>
          <x:t xml:space="preserve">PL-009</x:t>
        </x:is>
      </x:c>
      <x:c r="P86" s="49" t="inlineStr">
        <x:is>
          <x:t xml:space="preserve">SRC-058</x:t>
        </x:is>
      </x:c>
      <x:c r="Q86" s="49" t="inlineStr">
        <x:is>
          <x:t xml:space="preserve">Leica Oskar Barnack Award — Oskar Barnack</x:t>
        </x:is>
      </x:c>
      <x:c r="R86" s="49" t="inlineStr">
        <x:is>
          <x:t xml:space="preserve">https://www.leica-oskar-barnack-award.com/en/information/oskar-barnack.html</x:t>
        </x:is>
      </x:c>
      <x:c r="S86" s="49" t="n">
        <x:v>5</x:v>
      </x:c>
      <x:c r="T86" s="49" t="inlineStr">
        <x:is>
          <x:t xml:space="preserve">Важно для storytelling: 35 мм меняет не только технику, но и поведение фотографа — он становится мобильным наблюдателем.</x:t>
        </x:is>
      </x:c>
      <x:c r="U86" s="49" t="inlineStr">
        <x:is>
          <x:t xml:space="preserve">Фотограф с маленькой камерой среди реального события, не в студии.</x:t>
        </x:is>
      </x:c>
      <x:c r="V86" s="49" t="inlineStr">
        <x:is>
          <x:t xml:space="preserve">#PL009 #reportage #Barnack #Wetzlar #35mm</x:t>
        </x:is>
      </x:c>
      <x:c r="W86" s="49" t="n"/>
      <x:c r="X86" s="49" t="inlineStr">
        <x:is>
          <x:t xml:space="preserve">50.5619, 8.5044</x:t>
        </x:is>
      </x:c>
      <x:c r="Y86" s="49" t="inlineStr">
        <x:is>
          <x:t xml:space="preserve">35 мм / репортажность</x:t>
        </x:is>
      </x:c>
      <x:c r="Z86" s="49" t="inlineStr">
        <x:is>
          <x:t xml:space="preserve">Применение / жанр</x:t>
        </x:is>
      </x:c>
      <x:c r="AA86" s="49" t="n"/>
    </x:row>
    <x:row r="87" s="46" customFormat="1" ht="17" customHeight="1">
      <x:c r="A87" s="49" t="inlineStr">
        <x:is>
          <x:t xml:space="preserve">PL-HIST-0086</x:t>
        </x:is>
      </x:c>
      <x:c r="B87" s="49" t="inlineStr">
        <x:is>
          <x:t xml:space="preserve">1924 / 1925</x:t>
        </x:is>
      </x:c>
      <x:c r="C87" s="49" t="inlineStr">
        <x:is>
          <x:t xml:space="preserve">диапазон</x:t>
        </x:is>
      </x:c>
      <x:c r="D87" s="49" t="inlineStr">
        <x:is>
          <x:t xml:space="preserve">Германия</x:t>
        </x:is>
      </x:c>
      <x:c r="E87" s="49" t="inlineStr">
        <x:is>
          <x:t xml:space="preserve">Вецлар / Лейпциг</x:t>
        </x:is>
      </x:c>
      <x:c r="F87" s="49" t="inlineStr">
        <x:is>
          <x:t xml:space="preserve">Oskar Barnack / Ernst Leitz</x:t>
        </x:is>
      </x:c>
      <x:c r="G87" s="49" t="inlineStr">
        <x:is>
          <x:t xml:space="preserve">Leica 1(A), разработанная Барнаком, объявлена в 1924 году и продаётся с 1925 года; она популяризирует 35-мм фотографию.</x:t>
        </x:is>
      </x:c>
      <x:c r="H87" s="49" t="inlineStr">
        <x:is>
          <x:t xml:space="preserve">Оптические инструменты</x:t>
        </x:is>
      </x:c>
      <x:c r="I87" s="49" t="inlineStr">
        <x:is>
          <x:t xml:space="preserve">Leica 1(A) 35 mm camera</x:t>
        </x:is>
      </x:c>
      <x:c r="J87" s="49" t="inlineStr">
        <x:is>
          <x:t xml:space="preserve">35 мм выходит из экспериментального прототипа в коммерческую фотографическую практику.</x:t>
        </x:is>
      </x:c>
      <x:c r="K87" s="49" t="inlineStr">
        <x:is>
          <x:t xml:space="preserve">Ur-Leica and 24×36 format</x:t>
        </x:is>
      </x:c>
      <x:c r="L87" s="49" t="inlineStr">
        <x:is>
          <x:t xml:space="preserve">Leica I as the next dedicated lesson PL-010</x:t>
        </x:is>
      </x:c>
      <x:c r="M87" s="49" t="inlineStr">
        <x:is>
          <x:t xml:space="preserve">Главная линия</x:t>
        </x:is>
      </x:c>
      <x:c r="N87" s="49" t="n">
        <x:v>5</x:v>
      </x:c>
      <x:c r="O87" s="49" t="inlineStr">
        <x:is>
          <x:t xml:space="preserve">PL-009</x:t>
        </x:is>
      </x:c>
      <x:c r="P87" s="49" t="inlineStr">
        <x:is>
          <x:t xml:space="preserve">SRC-059</x:t>
        </x:is>
      </x:c>
      <x:c r="Q87" s="49" t="inlineStr">
        <x:is>
          <x:t xml:space="preserve">Smithsonian NMAH — Leica 35 mm 1(A) Camera</x:t>
        </x:is>
      </x:c>
      <x:c r="R87" s="49" t="inlineStr">
        <x:is>
          <x:t xml:space="preserve">https://americanhistory.si.edu/collections/object/nmah_834692</x:t>
        </x:is>
      </x:c>
      <x:c r="S87" s="49" t="n">
        <x:v>5</x:v>
      </x:c>
      <x:c r="T87" s="49" t="inlineStr">
        <x:is>
          <x:t xml:space="preserve">Этот узел — мост к PL-010: в PL-009 объясняем формат, в PL-010 подробно разбираем Leica I.</x:t>
        </x:is>
      </x:c>
      <x:c r="U87" s="49" t="inlineStr">
        <x:is>
          <x:t xml:space="preserve">Маленькая Leica рядом с тяжёлой старой камерой: формат меняет масштаб фотографии.</x:t>
        </x:is>
      </x:c>
      <x:c r="V87" s="49" t="inlineStr">
        <x:is>
          <x:t xml:space="preserve">#PL009 #Leica #Leica1A #35mm #Barnack</x:t>
        </x:is>
      </x:c>
      <x:c r="W87" s="49" t="n"/>
      <x:c r="X87" s="49" t="inlineStr">
        <x:is>
          <x:t xml:space="preserve">51.3397, 12.3731</x:t>
        </x:is>
      </x:c>
      <x:c r="Y87" s="49" t="inlineStr">
        <x:is>
          <x:t xml:space="preserve">35 мм / коммерциализация Leica</x:t>
        </x:is>
      </x:c>
      <x:c r="Z87" s="49" t="inlineStr">
        <x:is>
          <x:t xml:space="preserve">Инструмент / устройство</x:t>
        </x:is>
      </x:c>
      <x:c r="AA87" s="49" t="n"/>
    </x:row>
    <x:row r="88" s="46" customFormat="1" ht="17" customHeight="1">
      <x:c r="A88" s="49" t="inlineStr">
        <x:is>
          <x:t xml:space="preserve">PL-HIST-0087</x:t>
        </x:is>
      </x:c>
      <x:c r="B88" s="49" t="inlineStr">
        <x:is>
          <x:t xml:space="preserve">1925</x:t>
        </x:is>
      </x:c>
      <x:c r="C88" s="49" t="inlineStr">
        <x:is>
          <x:t xml:space="preserve">год</x:t>
        </x:is>
      </x:c>
      <x:c r="D88" s="49" t="inlineStr">
        <x:is>
          <x:t xml:space="preserve">Германия</x:t>
        </x:is>
      </x:c>
      <x:c r="E88" s="49" t="inlineStr">
        <x:is>
          <x:t xml:space="preserve">Лейпциг</x:t>
        </x:is>
      </x:c>
      <x:c r="F88" s="49" t="inlineStr">
        <x:is>
          <x:t xml:space="preserve">Ernst Leitz / Leica</x:t>
        </x:is>
      </x:c>
      <x:c r="G88" s="49" t="inlineStr">
        <x:is>
          <x:t xml:space="preserve">Leica I дебютирует на Лейпцигской весенней ярмарке как первая серийная 35-мм камера Leitz.</x:t>
        </x:is>
      </x:c>
      <x:c r="H88" s="49" t="inlineStr">
        <x:is>
          <x:t xml:space="preserve">Оптические инструменты</x:t>
        </x:is>
      </x:c>
      <x:c r="I88" s="49" t="inlineStr">
        <x:is>
          <x:t xml:space="preserve">Leica I serial production</x:t>
        </x:is>
      </x:c>
      <x:c r="J88" s="49" t="inlineStr">
        <x:is>
          <x:t xml:space="preserve">Компактная камера становится серьёзным фотографическим инструментом, а не игрушкой или лабораторной пробой.</x:t>
        </x:is>
      </x:c>
      <x:c r="K88" s="49" t="inlineStr">
        <x:is>
          <x:t xml:space="preserve">Commercial Leica 1(A) launch</x:t>
        </x:is>
      </x:c>
      <x:c r="L88" s="49" t="inlineStr">
        <x:is>
          <x:t xml:space="preserve">PL-010: Leica I and the new language of photography</x:t>
        </x:is>
      </x:c>
      <x:c r="M88" s="49" t="inlineStr">
        <x:is>
          <x:t xml:space="preserve">Переходная технология</x:t>
        </x:is>
      </x:c>
      <x:c r="N88" s="49" t="n">
        <x:v>5</x:v>
      </x:c>
      <x:c r="O88" s="49" t="inlineStr">
        <x:is>
          <x:t xml:space="preserve">PL-009</x:t>
        </x:is>
      </x:c>
      <x:c r="P88" s="49" t="inlineStr">
        <x:is>
          <x:t xml:space="preserve">SRC-060</x:t>
        </x:is>
      </x:c>
      <x:c r="Q88" s="49" t="inlineStr">
        <x:is>
          <x:t xml:space="preserve">Leica Timeline — 1925</x:t>
        </x:is>
      </x:c>
      <x:c r="R88" s="49" t="inlineStr">
        <x:is>
          <x:t xml:space="preserve">https://timeline.leica-camera.com/en/years/1925</x:t>
        </x:is>
      </x:c>
      <x:c r="S88" s="49" t="n">
        <x:v>5</x:v>
      </x:c>
      <x:c r="T88" s="49" t="inlineStr">
        <x:is>
          <x:t xml:space="preserve">Оставить как переход: это событие нужно не раскрывать полностью, а открыть дверь в PL-010.</x:t>
        </x:is>
      </x:c>
      <x:c r="U88" s="49" t="inlineStr">
        <x:is>
          <x:t xml:space="preserve">Ярмарочная витрина Leica I как вход в следующий урок.</x:t>
        </x:is>
      </x:c>
      <x:c r="V88" s="49" t="inlineStr">
        <x:is>
          <x:t xml:space="preserve">#PL009 #LeicaI #Leipzig #small-format #future-PL010</x:t>
        </x:is>
      </x:c>
      <x:c r="W88" s="49" t="inlineStr">
        <x:is>
          <x:t xml:space="preserve">Не дублировать слишком подробно с PL-010: здесь только мост к следующему уроку.</x:t>
        </x:is>
      </x:c>
      <x:c r="X88" s="49" t="inlineStr">
        <x:is>
          <x:t xml:space="preserve">51.3397, 12.3731</x:t>
        </x:is>
      </x:c>
      <x:c r="Y88" s="49" t="inlineStr">
        <x:is>
          <x:t xml:space="preserve">35 мм / мост к Leica I</x:t>
        </x:is>
      </x:c>
      <x:c r="Z88" s="49" t="inlineStr">
        <x:is>
          <x:t xml:space="preserve">Связь / переход</x:t>
        </x:is>
      </x:c>
      <x:c r="AA88" s="49" t="n"/>
    </x:row>
    <x:row r="89" s="46" customFormat="1" ht="17" customHeight="1">
      <x:c r="A89" s="49" t="inlineStr">
        <x:is>
          <x:t xml:space="preserve">PL-HIST-0088</x:t>
        </x:is>
      </x:c>
      <x:c r="B89" s="49" t="inlineStr">
        <x:is>
          <x:t xml:space="preserve">1934</x:t>
        </x:is>
      </x:c>
      <x:c r="C89" s="49" t="inlineStr">
        <x:is>
          <x:t xml:space="preserve">год</x:t>
        </x:is>
      </x:c>
      <x:c r="D89" s="49" t="inlineStr">
        <x:is>
          <x:t xml:space="preserve">Германия</x:t>
        </x:is>
      </x:c>
      <x:c r="E89" s="49" t="inlineStr">
        <x:is>
          <x:t xml:space="preserve">Штутгарт</x:t>
        </x:is>
      </x:c>
      <x:c r="F89" s="49" t="inlineStr">
        <x:is>
          <x:t xml:space="preserve">Kodak AG / Kodak Retina</x:t>
        </x:is>
      </x:c>
      <x:c r="G89" s="49" t="inlineStr">
        <x:is>
          <x:t xml:space="preserve">Kodak Retina Type 117 становится первой камерой для дневной загрузки 135-картриджей, которые сделают 35 мм удобнее для широкой фотографии.</x:t>
        </x:is>
      </x:c>
      <x:c r="H89" s="49" t="inlineStr">
        <x:is>
          <x:t xml:space="preserve">Негатив-позитив</x:t>
        </x:is>
      </x:c>
      <x:c r="I89" s="49" t="inlineStr">
        <x:is>
          <x:t xml:space="preserve">135 daylight-loading cartridge</x:t>
        </x:is>
      </x:c>
      <x:c r="J89" s="49" t="inlineStr">
        <x:is>
          <x:t xml:space="preserve">35 мм получает бытовую форму: плёнку становится легче покупать, вставлять в камеру и использовать без тёмной комнаты.</x:t>
        </x:is>
      </x:c>
      <x:c r="K89" s="49" t="inlineStr">
        <x:is>
          <x:t xml:space="preserve">Leica and manually loaded 35 mm film</x:t>
        </x:is>
      </x:c>
      <x:c r="L89" s="49" t="inlineStr">
        <x:is>
          <x:t xml:space="preserve">135 cartridge becomes dominant consumer still-film format</x:t>
        </x:is>
      </x:c>
      <x:c r="M89" s="49" t="inlineStr">
        <x:is>
          <x:t xml:space="preserve">Переходная технология</x:t>
        </x:is>
      </x:c>
      <x:c r="N89" s="49" t="n">
        <x:v>4</x:v>
      </x:c>
      <x:c r="O89" s="49" t="inlineStr">
        <x:is>
          <x:t xml:space="preserve">PL-009</x:t>
        </x:is>
      </x:c>
      <x:c r="P89" s="49" t="inlineStr">
        <x:is>
          <x:t xml:space="preserve">SRC-061</x:t>
        </x:is>
      </x:c>
      <x:c r="Q89" s="49" t="inlineStr">
        <x:is>
          <x:t xml:space="preserve">Science Museum Group — Kodak Retina Type 117</x:t>
        </x:is>
      </x:c>
      <x:c r="R89" s="49" t="inlineStr">
        <x:is>
          <x:t xml:space="preserve">https://collection.sciencemuseumgroup.org.uk/objects/co8205056/kodak-retina-type-117-35mm-camera</x:t>
        </x:is>
      </x:c>
      <x:c r="S89" s="49" t="n">
        <x:v>5</x:v>
      </x:c>
      <x:c r="T89" s="49" t="inlineStr">
        <x:is>
          <x:t xml:space="preserve">Финальный смысл PL-009: формат победил не только из-за качества, но и из-за удобства системы.</x:t>
        </x:is>
      </x:c>
      <x:c r="U89" s="49" t="inlineStr">
        <x:is>
          <x:t xml:space="preserve">Открытый 135-картридж рядом с Kodak Retina и полоской 35-мм плёнки.</x:t>
        </x:is>
      </x:c>
      <x:c r="V89" s="49" t="inlineStr">
        <x:is>
          <x:t xml:space="preserve">#PL009 #135-film #Kodak-Retina #35mm #cartridge</x:t>
        </x:is>
      </x:c>
      <x:c r="W89" s="49" t="n"/>
      <x:c r="X89" s="49" t="inlineStr">
        <x:is>
          <x:t xml:space="preserve">48.7758, 9.1829</x:t>
        </x:is>
      </x:c>
      <x:c r="Y89" s="49" t="inlineStr">
        <x:is>
          <x:t xml:space="preserve">35 мм / 135 cartridge</x:t>
        </x:is>
      </x:c>
      <x:c r="Z89" s="49" t="inlineStr">
        <x:is>
          <x:t xml:space="preserve">Распространение / коммерциализация</x:t>
        </x:is>
      </x:c>
      <x:c r="AA89" s="49" t="n"/>
    </x:row>
    <x:row r="90" s="46" customFormat="1" ht="17" customHeight="1">
      <x:c r="A90" s="49" t="inlineStr">
        <x:is>
          <x:t xml:space="preserve">PL-HIST-0089</x:t>
        </x:is>
      </x:c>
      <x:c r="B90" s="49" t="inlineStr">
        <x:is>
          <x:t xml:space="preserve">1913–1914</x:t>
        </x:is>
      </x:c>
      <x:c r="C90" s="49" t="inlineStr">
        <x:is>
          <x:t xml:space="preserve">диапазон</x:t>
        </x:is>
      </x:c>
      <x:c r="D90" s="49" t="inlineStr">
        <x:is>
          <x:t xml:space="preserve">Германия</x:t>
        </x:is>
      </x:c>
      <x:c r="E90" s="49" t="inlineStr">
        <x:is>
          <x:t xml:space="preserve">Вецлар</x:t>
        </x:is>
      </x:c>
      <x:c r="F90" s="49" t="inlineStr">
        <x:is>
          <x:t xml:space="preserve">Оскар Барнак / Ernst Leitz</x:t>
        </x:is>
      </x:c>
      <x:c r="G90" s="49" t="inlineStr">
        <x:is>
          <x:t xml:space="preserve">Оскар Барнак создаёт прототип Ur-Leica: компактную камеру под 35-мм киноплёнку, которая станет основой будущей Leica I.</x:t>
        </x:is>
      </x:c>
      <x:c r="H90" s="49" t="inlineStr">
        <x:is>
          <x:t xml:space="preserve">Оптические инструменты</x:t>
        </x:is>
      </x:c>
      <x:c r="I90" s="49" t="inlineStr">
        <x:is>
          <x:t xml:space="preserve">Ur-Leica prototype</x:t>
        </x:is>
      </x:c>
      <x:c r="J90" s="49" t="inlineStr">
        <x:is>
          <x:t xml:space="preserve">Идея 35 мм перестаёт быть только кинематографической: появляется замысел маленькой фотокамеры для серьёзной съёмки.</x:t>
        </x:is>
      </x:c>
      <x:c r="K90" s="49" t="inlineStr">
        <x:is>
          <x:t xml:space="preserve">35-мм киноплёнка и кадр 24×36</x:t>
        </x:is>
      </x:c>
      <x:c r="L90" s="49" t="inlineStr">
        <x:is>
          <x:t xml:space="preserve">Leica 0-Series and Leica I</x:t>
        </x:is>
      </x:c>
      <x:c r="M90" s="49" t="inlineStr">
        <x:is>
          <x:t xml:space="preserve">Переходная технология</x:t>
        </x:is>
      </x:c>
      <x:c r="N90" s="49" t="n">
        <x:v>5</x:v>
      </x:c>
      <x:c r="O90" s="49" t="inlineStr">
        <x:is>
          <x:t xml:space="preserve">PL-010</x:t>
        </x:is>
      </x:c>
      <x:c r="P90" s="49" t="inlineStr">
        <x:is>
          <x:t xml:space="preserve">SRC-062</x:t>
        </x:is>
      </x:c>
      <x:c r="Q90" s="49" t="inlineStr">
        <x:is>
          <x:t xml:space="preserve">Leica Camera — The History of the Leica I</x:t>
        </x:is>
      </x:c>
      <x:c r="R90" s="49" t="inlineStr">
        <x:is>
          <x:t xml:space="preserve">https://leica-camera.com/en-int/photography/100-years/the-history-of-the-leica-I</x:t>
        </x:is>
      </x:c>
      <x:c r="S90" s="49" t="n">
        <x:v>5</x:v>
      </x:c>
      <x:c r="T90" s="49" t="inlineStr">
        <x:is>
          <x:t xml:space="preserve">Для урока важно показать: Leica I родилась не из желания сделать игрушку, а из идеи мобильной серьёзной камеры.</x:t>
        </x:is>
      </x:c>
      <x:c r="U90" s="49" t="inlineStr">
        <x:is>
          <x:t xml:space="preserve">Маленький прототип на рабочем столе Барнака рядом с полоской 35-мм киноплёнки.</x:t>
        </x:is>
      </x:c>
      <x:c r="V90" s="49" t="inlineStr">
        <x:is>
          <x:t xml:space="preserve">#PL010 #Ur-Leica #Barnack #Wetzlar #35mm</x:t>
        </x:is>
      </x:c>
      <x:c r="W90" s="49" t="n"/>
      <x:c r="X90" s="49" t="inlineStr">
        <x:is>
          <x:t xml:space="preserve">50.5619, 8.5044</x:t>
        </x:is>
      </x:c>
      <x:c r="Y90" s="49" t="inlineStr">
        <x:is>
          <x:t xml:space="preserve">Leica I / прототип</x:t>
        </x:is>
      </x:c>
      <x:c r="Z90" s="49" t="inlineStr">
        <x:is>
          <x:t xml:space="preserve">Инструмент / устройство</x:t>
        </x:is>
      </x:c>
      <x:c r="AA90" s="49" t="n"/>
    </x:row>
    <x:row r="91" s="46" customFormat="1" ht="17" customHeight="1">
      <x:c r="A91" s="49" t="inlineStr">
        <x:is>
          <x:t xml:space="preserve">PL-HIST-0090</x:t>
        </x:is>
      </x:c>
      <x:c r="B91" s="49" t="inlineStr">
        <x:is>
          <x:t xml:space="preserve">1923</x:t>
        </x:is>
      </x:c>
      <x:c r="C91" s="49" t="inlineStr">
        <x:is>
          <x:t xml:space="preserve">год</x:t>
        </x:is>
      </x:c>
      <x:c r="D91" s="49" t="inlineStr">
        <x:is>
          <x:t xml:space="preserve">Германия</x:t>
        </x:is>
      </x:c>
      <x:c r="E91" s="49" t="inlineStr">
        <x:is>
          <x:t xml:space="preserve">Вецлар</x:t>
        </x:is>
      </x:c>
      <x:c r="F91" s="49" t="inlineStr">
        <x:is>
          <x:t xml:space="preserve">Оскар Барнак / Ernst Leitz</x:t>
        </x:is>
      </x:c>
      <x:c r="G91" s="49" t="inlineStr">
        <x:is>
          <x:t xml:space="preserve">После прототипов появляется проверочная серия Leica 0-Series: небольшая партия камер для испытаний перед коммерческим запуском.</x:t>
        </x:is>
      </x:c>
      <x:c r="H91" s="49" t="inlineStr">
        <x:is>
          <x:t xml:space="preserve">Оптические инструменты</x:t>
        </x:is>
      </x:c>
      <x:c r="I91" s="49" t="inlineStr">
        <x:is>
          <x:t xml:space="preserve">Leica 0-Series</x:t>
        </x:is>
      </x:c>
      <x:c r="J91" s="49" t="inlineStr">
        <x:is>
          <x:t xml:space="preserve">Идея маленькой 35-мм камеры проходит практическую проверку: её нужно не просто изобрести, а сделать пригодной для реальных фотографов.</x:t>
        </x:is>
      </x:c>
      <x:c r="K91" s="49" t="inlineStr">
        <x:is>
          <x:t xml:space="preserve">Ur-Leica prototype</x:t>
        </x:is>
      </x:c>
      <x:c r="L91" s="49" t="inlineStr">
        <x:is>
          <x:t xml:space="preserve">Decision to enter serial production</x:t>
        </x:is>
      </x:c>
      <x:c r="M91" s="49" t="inlineStr">
        <x:is>
          <x:t xml:space="preserve">Переходная технология</x:t>
        </x:is>
      </x:c>
      <x:c r="N91" s="49" t="n">
        <x:v>4</x:v>
      </x:c>
      <x:c r="O91" s="49" t="inlineStr">
        <x:is>
          <x:t xml:space="preserve">PL-010</x:t>
        </x:is>
      </x:c>
      <x:c r="P91" s="49" t="inlineStr">
        <x:is>
          <x:t xml:space="preserve">SRC-062</x:t>
        </x:is>
      </x:c>
      <x:c r="Q91" s="49" t="inlineStr">
        <x:is>
          <x:t xml:space="preserve">Leica Camera — The History of the Leica I</x:t>
        </x:is>
      </x:c>
      <x:c r="R91" s="49" t="inlineStr">
        <x:is>
          <x:t xml:space="preserve">https://leica-camera.com/en-int/photography/100-years/the-history-of-the-leica-I</x:t>
        </x:is>
      </x:c>
      <x:c r="S91" s="49" t="n">
        <x:v>5</x:v>
      </x:c>
      <x:c r="T91" s="49" t="inlineStr">
        <x:is>
          <x:t xml:space="preserve">Хороший storytelling-узел: между прототипом и рынком всегда есть испытание, сомнение и проверка.</x:t>
        </x:is>
      </x:c>
      <x:c r="U91" s="49" t="inlineStr">
        <x:is>
          <x:t xml:space="preserve">Небольшая партия камер Leica 0-Series на столе в мастерской Leitz.</x:t>
        </x:is>
      </x:c>
      <x:c r="V91" s="49" t="inlineStr">
        <x:is>
          <x:t xml:space="preserve">#PL010 #Leica0 #preproduction #Leitz #Barnack</x:t>
        </x:is>
      </x:c>
      <x:c r="W91" s="49" t="inlineStr">
        <x:is>
          <x:t xml:space="preserve">Проверить точное количество камер 0-Series в финальной лекции: источники обычно указывают малую проверочную серию, но формулировки различаются.</x:t>
        </x:is>
      </x:c>
      <x:c r="X91" s="49" t="inlineStr">
        <x:is>
          <x:t xml:space="preserve">50.5619, 8.5044</x:t>
        </x:is>
      </x:c>
      <x:c r="Y91" s="49" t="inlineStr">
        <x:is>
          <x:t xml:space="preserve">Leica I / проверочная серия</x:t>
        </x:is>
      </x:c>
      <x:c r="Z91" s="49" t="inlineStr">
        <x:is>
          <x:t xml:space="preserve">Связь / переход</x:t>
        </x:is>
      </x:c>
      <x:c r="AA91" s="49" t="n"/>
    </x:row>
    <x:row r="92" s="46" customFormat="1" ht="17" customHeight="1">
      <x:c r="A92" s="49" t="inlineStr">
        <x:is>
          <x:t xml:space="preserve">PL-HIST-0091</x:t>
        </x:is>
      </x:c>
      <x:c r="B92" s="49" t="inlineStr">
        <x:is>
          <x:t xml:space="preserve">конец 1924</x:t>
        </x:is>
      </x:c>
      <x:c r="C92" s="49" t="inlineStr">
        <x:is>
          <x:t xml:space="preserve">точная дата</x:t>
        </x:is>
      </x:c>
      <x:c r="D92" s="49" t="inlineStr">
        <x:is>
          <x:t xml:space="preserve">Германия</x:t>
        </x:is>
      </x:c>
      <x:c r="E92" s="49" t="inlineStr">
        <x:is>
          <x:t xml:space="preserve">Вецлар</x:t>
        </x:is>
      </x:c>
      <x:c r="F92" s="49" t="inlineStr">
        <x:is>
          <x:t xml:space="preserve">Ernst Leitz II / Ernst Leitz Werke</x:t>
        </x:is>
      </x:c>
      <x:c r="G92" s="49" t="inlineStr">
        <x:is>
          <x:t xml:space="preserve">Первая серийная версия Leica I официально входит в производство в конце 1924 года, опираясь на опыт Leica 0-Series.</x:t>
        </x:is>
      </x:c>
      <x:c r="H92" s="49" t="inlineStr">
        <x:is>
          <x:t xml:space="preserve">Оптические инструменты</x:t>
        </x:is>
      </x:c>
      <x:c r="I92" s="49" t="inlineStr">
        <x:is>
          <x:t xml:space="preserve">Leica I serial production begins</x:t>
        </x:is>
      </x:c>
      <x:c r="J92" s="49" t="inlineStr">
        <x:is>
          <x:t xml:space="preserve">Leica перестаёт быть лабораторным экспериментом и становится промышленным изделием.</x:t>
        </x:is>
      </x:c>
      <x:c r="K92" s="49" t="inlineStr">
        <x:is>
          <x:t xml:space="preserve">Leica 0-Series tests</x:t>
        </x:is>
      </x:c>
      <x:c r="L92" s="49" t="inlineStr">
        <x:is>
          <x:t xml:space="preserve">Public presentation at Leipzig Spring Fair 1925</x:t>
        </x:is>
      </x:c>
      <x:c r="M92" s="49" t="inlineStr">
        <x:is>
          <x:t xml:space="preserve">Главная линия</x:t>
        </x:is>
      </x:c>
      <x:c r="N92" s="49" t="n">
        <x:v>5</x:v>
      </x:c>
      <x:c r="O92" s="49" t="inlineStr">
        <x:is>
          <x:t xml:space="preserve">PL-010</x:t>
        </x:is>
      </x:c>
      <x:c r="P92" s="49" t="inlineStr">
        <x:is>
          <x:t xml:space="preserve">SRC-062</x:t>
        </x:is>
      </x:c>
      <x:c r="Q92" s="49" t="inlineStr">
        <x:is>
          <x:t xml:space="preserve">Leica Camera — The History of the Leica I</x:t>
        </x:is>
      </x:c>
      <x:c r="R92" s="49" t="inlineStr">
        <x:is>
          <x:t xml:space="preserve">https://leica-camera.com/en-int/photography/100-years/the-history-of-the-leica-I</x:t>
        </x:is>
      </x:c>
      <x:c r="S92" s="49" t="n">
        <x:v>5</x:v>
      </x:c>
      <x:c r="T92" s="49" t="inlineStr">
        <x:is>
          <x:t xml:space="preserve">Объяснить просто: революция начинается не в момент идеи, а когда идею удалось произвести серийно.</x:t>
        </x:is>
      </x:c>
      <x:c r="U92" s="49" t="inlineStr">
        <x:is>
          <x:t xml:space="preserve">Фабричная сборка маленьких Leica I в Вецларе, рядом детали корпуса и объектив.</x:t>
        </x:is>
      </x:c>
      <x:c r="V92" s="49" t="inlineStr">
        <x:is>
          <x:t xml:space="preserve">#PL010 #LeicaI #serial-production #Leitz</x:t>
        </x:is>
      </x:c>
      <x:c r="W92" s="49" t="n"/>
      <x:c r="X92" s="49" t="inlineStr">
        <x:is>
          <x:t xml:space="preserve">50.5619, 8.5044</x:t>
        </x:is>
      </x:c>
      <x:c r="Y92" s="49" t="inlineStr">
        <x:is>
          <x:t xml:space="preserve">Leica I / начало производства</x:t>
        </x:is>
      </x:c>
      <x:c r="Z92" s="49" t="inlineStr">
        <x:is>
          <x:t xml:space="preserve">Распространение / коммерциализация</x:t>
        </x:is>
      </x:c>
      <x:c r="AA92" s="49" t="n"/>
    </x:row>
    <x:row r="93" s="46" customFormat="1" ht="17" customHeight="1">
      <x:c r="A93" s="49" t="inlineStr">
        <x:is>
          <x:t xml:space="preserve">PL-HIST-0092</x:t>
        </x:is>
      </x:c>
      <x:c r="B93" s="49" t="inlineStr">
        <x:is>
          <x:t xml:space="preserve">1925</x:t>
        </x:is>
      </x:c>
      <x:c r="C93" s="49" t="inlineStr">
        <x:is>
          <x:t xml:space="preserve">год</x:t>
        </x:is>
      </x:c>
      <x:c r="D93" s="49" t="inlineStr">
        <x:is>
          <x:t xml:space="preserve">Германия</x:t>
        </x:is>
      </x:c>
      <x:c r="E93" s="49" t="inlineStr">
        <x:is>
          <x:t xml:space="preserve">Лейпциг</x:t>
        </x:is>
      </x:c>
      <x:c r="F93" s="49" t="inlineStr">
        <x:is>
          <x:t xml:space="preserve">Ernst Leitz / Leica</x:t>
        </x:is>
      </x:c>
      <x:c r="G93" s="49" t="inlineStr">
        <x:is>
          <x:t xml:space="preserve">Leica I представлена публике на Лейпцигской весенней ярмарке как первая серийная 35-мм камера Leitz.</x:t>
        </x:is>
      </x:c>
      <x:c r="H93" s="49" t="inlineStr">
        <x:is>
          <x:t xml:space="preserve">Оптические инструменты</x:t>
        </x:is>
      </x:c>
      <x:c r="I93" s="49" t="inlineStr">
        <x:is>
          <x:t xml:space="preserve">Leica I at Leipzig Spring Fair</x:t>
        </x:is>
      </x:c>
      <x:c r="J93" s="49" t="inlineStr">
        <x:is>
          <x:t xml:space="preserve">35 мм получает публичный коммерческий вход в фотографию: маленькая камера становится реальным продуктом.</x:t>
        </x:is>
      </x:c>
      <x:c r="K93" s="49" t="inlineStr">
        <x:is>
          <x:t xml:space="preserve">Serial production begins at Leitz</x:t>
        </x:is>
      </x:c>
      <x:c r="L93" s="49" t="inlineStr">
        <x:is>
          <x:t xml:space="preserve">Compact 35 mm photography spreads</x:t>
        </x:is>
      </x:c>
      <x:c r="M93" s="49" t="inlineStr">
        <x:is>
          <x:t xml:space="preserve">Главная линия</x:t>
        </x:is>
      </x:c>
      <x:c r="N93" s="49" t="n">
        <x:v>5</x:v>
      </x:c>
      <x:c r="O93" s="49" t="inlineStr">
        <x:is>
          <x:t xml:space="preserve">PL-010</x:t>
        </x:is>
      </x:c>
      <x:c r="P93" s="49" t="inlineStr">
        <x:is>
          <x:t xml:space="preserve">SRC-063</x:t>
        </x:is>
      </x:c>
      <x:c r="Q93" s="49" t="inlineStr">
        <x:is>
          <x:t xml:space="preserve">Leica Camera — 100 Years of Leica: Witness to a Century</x:t>
        </x:is>
      </x:c>
      <x:c r="R93" s="49" t="inlineStr">
        <x:is>
          <x:t xml:space="preserve">https://leica-camera.com/en-GB/press/100-years-leica-witness-century-1925-2025-1</x:t>
        </x:is>
      </x:c>
      <x:c r="S93" s="49" t="n">
        <x:v>5</x:v>
      </x:c>
      <x:c r="T93" s="49" t="inlineStr">
        <x:is>
          <x:t xml:space="preserve">Это главный исторический момент урока: Leica I выходит к публике и меняет представление о серьёзной камере.</x:t>
        </x:is>
      </x:c>
      <x:c r="U93" s="49" t="inlineStr">
        <x:is>
          <x:t xml:space="preserve">Витрина Leica I на ярмарке в Лейпциге; маленькая камера среди больших фотоаппаратов эпохи.</x:t>
        </x:is>
      </x:c>
      <x:c r="V93" s="49" t="inlineStr">
        <x:is>
          <x:t xml:space="preserve">#PL010 #LeicaI #Leipzig #1925 #35mm-camera</x:t>
        </x:is>
      </x:c>
      <x:c r="W93" s="49" t="n"/>
      <x:c r="X93" s="49" t="inlineStr">
        <x:is>
          <x:t xml:space="preserve">51.3397, 12.3731</x:t>
        </x:is>
      </x:c>
      <x:c r="Y93" s="49" t="inlineStr">
        <x:is>
          <x:t xml:space="preserve">Leica I / публичный дебют</x:t>
        </x:is>
      </x:c>
      <x:c r="Z93" s="49" t="inlineStr">
        <x:is>
          <x:t xml:space="preserve">Ключевой исторический узел</x:t>
        </x:is>
      </x:c>
      <x:c r="AA93" s="49" t="inlineStr">
        <x:is>
          <x:t xml:space="preserve">да</x:t>
        </x:is>
      </x:c>
    </x:row>
    <x:row r="94" s="46" customFormat="1" ht="17" customHeight="1">
      <x:c r="A94" s="49" t="inlineStr">
        <x:is>
          <x:t xml:space="preserve">PL-HIST-0093</x:t>
        </x:is>
      </x:c>
      <x:c r="B94" s="49" t="inlineStr">
        <x:is>
          <x:t xml:space="preserve">1925</x:t>
        </x:is>
      </x:c>
      <x:c r="C94" s="49" t="inlineStr">
        <x:is>
          <x:t xml:space="preserve">год</x:t>
        </x:is>
      </x:c>
      <x:c r="D94" s="49" t="inlineStr">
        <x:is>
          <x:t xml:space="preserve">Германия</x:t>
        </x:is>
      </x:c>
      <x:c r="E94" s="49" t="inlineStr">
        <x:is>
          <x:t xml:space="preserve">Вецлар</x:t>
        </x:is>
      </x:c>
      <x:c r="F94" s="49" t="inlineStr">
        <x:is>
          <x:t xml:space="preserve">Oskar Barnack / Ernst Leitz</x:t>
        </x:is>
      </x:c>
      <x:c r="G94" s="49" t="inlineStr">
        <x:is>
          <x:t xml:space="preserve">Leica 1(A), разработанная Барнаком, становится первой коммерчески доступной Leica 35-мм камерой и быстро популяризирует 35-мм фотографию.</x:t>
        </x:is>
      </x:c>
      <x:c r="H94" s="49" t="inlineStr">
        <x:is>
          <x:t xml:space="preserve">Оптические инструменты</x:t>
        </x:is>
      </x:c>
      <x:c r="I94" s="49" t="inlineStr">
        <x:is>
          <x:t xml:space="preserve">Leica 1(A) 35 mm camera</x:t>
        </x:is>
      </x:c>
      <x:c r="J94" s="49" t="inlineStr">
        <x:is>
          <x:t xml:space="preserve">Компактность становится серьёзным фотографическим преимуществом: камера теперь может быть постоянно с фотографом.</x:t>
        </x:is>
      </x:c>
      <x:c r="K94" s="49" t="inlineStr">
        <x:is>
          <x:t xml:space="preserve">Leica I public launch</x:t>
        </x:is>
      </x:c>
      <x:c r="L94" s="49" t="inlineStr">
        <x:is>
          <x:t xml:space="preserve">New mobile visual practice</x:t>
        </x:is>
      </x:c>
      <x:c r="M94" s="49" t="inlineStr">
        <x:is>
          <x:t xml:space="preserve">Главная линия</x:t>
        </x:is>
      </x:c>
      <x:c r="N94" s="49" t="n">
        <x:v>5</x:v>
      </x:c>
      <x:c r="O94" s="49" t="inlineStr">
        <x:is>
          <x:t xml:space="preserve">PL-010</x:t>
        </x:is>
      </x:c>
      <x:c r="P94" s="49" t="inlineStr">
        <x:is>
          <x:t xml:space="preserve">SRC-064</x:t>
        </x:is>
      </x:c>
      <x:c r="Q94" s="49" t="inlineStr">
        <x:is>
          <x:t xml:space="preserve">Smithsonian NMAH — Leica 35 mm 1(A) Camera</x:t>
        </x:is>
      </x:c>
      <x:c r="R94" s="49" t="inlineStr">
        <x:is>
          <x:t xml:space="preserve">https://americanhistory.si.edu/collections/object/nmah_834692</x:t>
        </x:is>
      </x:c>
      <x:c r="S94" s="49" t="n">
        <x:v>5</x:v>
      </x:c>
      <x:c r="T94" s="49" t="inlineStr">
        <x:is>
          <x:t xml:space="preserve">Новичку важно понять: Leica I — это не просто новая модель, а изменение поведения фотографа.</x:t>
        </x:is>
      </x:c>
      <x:c r="U94" s="49" t="inlineStr">
        <x:is>
          <x:t xml:space="preserve">Маленькая Leica I в руке фотографа рядом с большой складной камерой как контраст старого и нового.</x:t>
        </x:is>
      </x:c>
      <x:c r="V94" s="49" t="inlineStr">
        <x:is>
          <x:t xml:space="preserve">#PL010 #Leica1A #compact-camera #35mm #Barnack</x:t>
        </x:is>
      </x:c>
      <x:c r="W94" s="49" t="n"/>
      <x:c r="X94" s="49" t="inlineStr">
        <x:is>
          <x:t xml:space="preserve">50.5619, 8.5044</x:t>
        </x:is>
      </x:c>
      <x:c r="Y94" s="49" t="inlineStr">
        <x:is>
          <x:t xml:space="preserve">Leica I / компактная камера</x:t>
        </x:is>
      </x:c>
      <x:c r="Z94" s="49" t="inlineStr">
        <x:is>
          <x:t xml:space="preserve">Инструмент / устройство</x:t>
        </x:is>
      </x:c>
      <x:c r="AA94" s="49" t="n"/>
    </x:row>
    <x:row r="95" s="46" customFormat="1" ht="17" customHeight="1">
      <x:c r="A95" s="49" t="inlineStr">
        <x:is>
          <x:t xml:space="preserve">PL-HIST-0094</x:t>
        </x:is>
      </x:c>
      <x:c r="B95" s="49" t="inlineStr">
        <x:is>
          <x:t xml:space="preserve">1925</x:t>
        </x:is>
      </x:c>
      <x:c r="C95" s="49" t="inlineStr">
        <x:is>
          <x:t xml:space="preserve">год</x:t>
        </x:is>
      </x:c>
      <x:c r="D95" s="49" t="inlineStr">
        <x:is>
          <x:t xml:space="preserve">Германия</x:t>
        </x:is>
      </x:c>
      <x:c r="E95" s="49" t="inlineStr">
        <x:is>
          <x:t xml:space="preserve">Вецлар</x:t>
        </x:is>
      </x:c>
      <x:c r="F95" s="49" t="inlineStr">
        <x:is>
          <x:t xml:space="preserve">Макс Берек / Leitz</x:t>
        </x:is>
      </x:c>
      <x:c r="G95" s="49" t="inlineStr">
        <x:is>
          <x:t xml:space="preserve">Первые объективы Leica разрабатывает Макс Берек: 50 мм f/3.5 Anastigmat / Elmax, затем Elmar, чтобы маленький негатив можно было качественно увеличивать.</x:t>
        </x:is>
      </x:c>
      <x:c r="H95" s="49" t="inlineStr">
        <x:is>
          <x:t xml:space="preserve">Оптические инструменты</x:t>
        </x:is>
      </x:c>
      <x:c r="I95" s="49" t="inlineStr">
        <x:is>
          <x:t xml:space="preserve">Leica Anastigmat / Elmax / Elmar 50 mm f/3.5</x:t>
        </x:is>
      </x:c>
      <x:c r="J95" s="49" t="inlineStr">
        <x:is>
          <x:t xml:space="preserve">Малый формат требует сильной оптики: качество объектива становится условием идеи «маленький негатив — большой отпечаток».</x:t>
        </x:is>
      </x:c>
      <x:c r="K95" s="49" t="inlineStr">
        <x:is>
          <x:t xml:space="preserve">24×36 mm small negative</x:t>
        </x:is>
      </x:c>
      <x:c r="L95" s="49" t="inlineStr">
        <x:is>
          <x:t xml:space="preserve">Leica becomes practical system for enlargement and printing</x:t>
        </x:is>
      </x:c>
      <x:c r="M95" s="49" t="inlineStr">
        <x:is>
          <x:t xml:space="preserve">Главная линия</x:t>
        </x:is>
      </x:c>
      <x:c r="N95" s="49" t="n">
        <x:v>5</x:v>
      </x:c>
      <x:c r="O95" s="49" t="inlineStr">
        <x:is>
          <x:t xml:space="preserve">PL-010</x:t>
        </x:is>
      </x:c>
      <x:c r="P95" s="49" t="inlineStr">
        <x:is>
          <x:t xml:space="preserve">SRC-065</x:t>
        </x:is>
      </x:c>
      <x:c r="Q95" s="49" t="inlineStr">
        <x:is>
          <x:t xml:space="preserve">Leica Camera — Understanding Leica Lenses</x:t>
        </x:is>
      </x:c>
      <x:c r="R95" s="49" t="inlineStr">
        <x:is>
          <x:t xml:space="preserve">https://leica-camera.com/en-int/photography/understanding-leica-lenses</x:t>
        </x:is>
      </x:c>
      <x:c r="S95" s="49" t="n">
        <x:v>5</x:v>
      </x:c>
      <x:c r="T95" s="49" t="inlineStr">
        <x:is>
          <x:t xml:space="preserve">Это мост к будущим урокам про объективы: формат победил не один, ему понадобилась точная оптика.</x:t>
        </x:is>
      </x:c>
      <x:c r="U95" s="49" t="inlineStr">
        <x:is>
          <x:t xml:space="preserve">Схема: маленький негатив 24×36 → объектив Elmar → увеличенный отпечаток.</x:t>
        </x:is>
      </x:c>
      <x:c r="V95" s="49" t="inlineStr">
        <x:is>
          <x:t xml:space="preserve">#PL010 #MaxBerek #Elmar #Leica-lens #small-negative</x:t>
        </x:is>
      </x:c>
      <x:c r="W95" s="49" t="inlineStr">
        <x:is>
          <x:t xml:space="preserve">Уточнить в финальном тексте различие Anastigmat / Elmax / Elmar, чтобы не смешать ранние версии объектива.</x:t>
        </x:is>
      </x:c>
      <x:c r="X95" s="49" t="inlineStr">
        <x:is>
          <x:t xml:space="preserve">50.5619, 8.5044</x:t>
        </x:is>
      </x:c>
      <x:c r="Y95" s="49" t="inlineStr">
        <x:is>
          <x:t xml:space="preserve">Leica I / оптика и Elmar</x:t>
        </x:is>
      </x:c>
      <x:c r="Z95" s="49" t="inlineStr">
        <x:is>
          <x:t xml:space="preserve">Технология / процесс</x:t>
        </x:is>
      </x:c>
      <x:c r="AA95" s="49" t="n"/>
    </x:row>
    <x:row r="96" s="46" customFormat="1" ht="17" customHeight="1">
      <x:c r="A96" s="49" t="inlineStr">
        <x:is>
          <x:t xml:space="preserve">PL-HIST-0095</x:t>
        </x:is>
      </x:c>
      <x:c r="B96" s="49" t="inlineStr">
        <x:is>
          <x:t xml:space="preserve">1925–1930</x:t>
        </x:is>
      </x:c>
      <x:c r="C96" s="49" t="inlineStr">
        <x:is>
          <x:t xml:space="preserve">диапазон</x:t>
        </x:is>
      </x:c>
      <x:c r="D96" s="49" t="inlineStr">
        <x:is>
          <x:t xml:space="preserve">Германия</x:t>
        </x:is>
      </x:c>
      <x:c r="E96" s="49" t="inlineStr">
        <x:is>
          <x:t xml:space="preserve">Вецлар</x:t>
        </x:is>
      </x:c>
      <x:c r="F96" s="49" t="inlineStr">
        <x:is>
          <x:t xml:space="preserve">Ernst Leitz Werke / пользователи Leica</x:t>
        </x:is>
      </x:c>
      <x:c r="G96" s="49" t="inlineStr">
        <x:is>
          <x:t xml:space="preserve"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t>
        </x:is>
      </x:c>
      <x:c r="H96" s="49" t="inlineStr">
        <x:is>
          <x:t xml:space="preserve">Негатив-позитив</x:t>
        </x:is>
      </x:c>
      <x:c r="I96" s="49" t="inlineStr">
        <x:is>
          <x:t xml:space="preserve">Leica I mass adoption</x:t>
        </x:is>
      </x:c>
      <x:c r="J96" s="49" t="inlineStr">
        <x:is>
          <x:t xml:space="preserve">35 мм перестаёт быть нишевым экспериментом и становится устойчивой практикой съёмки.</x:t>
        </x:is>
      </x:c>
      <x:c r="K96" s="49" t="inlineStr">
        <x:is>
          <x:t xml:space="preserve">Leica I launch</x:t>
        </x:is>
      </x:c>
      <x:c r="L96" s="49" t="inlineStr">
        <x:is>
          <x:t xml:space="preserve">Global 35 mm compact camera standard</x:t>
        </x:is>
      </x:c>
      <x:c r="M96" s="49" t="inlineStr">
        <x:is>
          <x:t xml:space="preserve">Распространение / коммерциализация</x:t>
        </x:is>
      </x:c>
      <x:c r="N96" s="49" t="n">
        <x:v>5</x:v>
      </x:c>
      <x:c r="O96" s="49" t="inlineStr">
        <x:is>
          <x:t xml:space="preserve">PL-010</x:t>
        </x:is>
      </x:c>
      <x:c r="P96" s="49" t="inlineStr">
        <x:is>
          <x:t xml:space="preserve">SRC-062</x:t>
        </x:is>
      </x:c>
      <x:c r="Q96" s="49" t="inlineStr">
        <x:is>
          <x:t xml:space="preserve">Leica Camera — The History of the Leica I</x:t>
        </x:is>
      </x:c>
      <x:c r="R96" s="49" t="inlineStr">
        <x:is>
          <x:t xml:space="preserve">https://leica-camera.com/en-int/photography/100-years/the-history-of-the-leica-I</x:t>
        </x:is>
      </x:c>
      <x:c r="S96" s="49" t="n">
        <x:v>5</x:v>
      </x:c>
      <x:c r="T96" s="49" t="inlineStr">
        <x:is>
          <x:t xml:space="preserve">Не перегружать цифрами, но показать масштаб: камера стала не редкостью, а узнаваемым инструментом.</x:t>
        </x:is>
      </x:c>
      <x:c r="U96" s="49" t="inlineStr">
        <x:is>
          <x:t xml:space="preserve">Ряд Leica I на производственной полке, рядом отметка 1925–1930.</x:t>
        </x:is>
      </x:c>
      <x:c r="V96" s="49" t="inlineStr">
        <x:is>
          <x:t xml:space="preserve">#PL010 #LeicaI #mass-production #35mm-standard</x:t>
        </x:is>
      </x:c>
      <x:c r="W96" s="49" t="n"/>
      <x:c r="X96" s="49" t="inlineStr">
        <x:is>
          <x:t xml:space="preserve">50.5619, 8.5044</x:t>
        </x:is>
      </x:c>
      <x:c r="Y96" s="49" t="inlineStr">
        <x:is>
          <x:t xml:space="preserve">Leica I / массовое принятие</x:t>
        </x:is>
      </x:c>
      <x:c r="Z96" s="49" t="inlineStr">
        <x:is>
          <x:t xml:space="preserve">Распространение / коммерциализация</x:t>
        </x:is>
      </x:c>
      <x:c r="AA96" s="49" t="n"/>
    </x:row>
    <x:row r="97" s="46" customFormat="1" ht="17" customHeight="1">
      <x:c r="A97" s="49" t="inlineStr">
        <x:is>
          <x:t xml:space="preserve">PL-HIST-0096</x:t>
        </x:is>
      </x:c>
      <x:c r="B97" s="49" t="inlineStr">
        <x:is>
          <x:t xml:space="preserve">1920-е–1930-е</x:t>
        </x:is>
      </x:c>
      <x:c r="C97" s="49" t="inlineStr">
        <x:is>
          <x:t xml:space="preserve">диапазон</x:t>
        </x:is>
      </x:c>
      <x:c r="D97" s="49" t="inlineStr">
        <x:is>
          <x:t xml:space="preserve">Европа / США</x:t>
        </x:is>
      </x:c>
      <x:c r="E97" s="49" t="inlineStr">
        <x:is>
          <x:t xml:space="preserve">распределённый процесс</x:t>
        </x:is>
      </x:c>
      <x:c r="F97" s="49" t="inlineStr">
        <x:is>
          <x:t xml:space="preserve">Фотографы нового поколения</x:t>
        </x:is>
      </x:c>
      <x:c r="G97" s="49" t="inlineStr">
        <x:is>
          <x:t xml:space="preserve">Компактная, быстрая и мобильная Leica I помогает сформировать более интимный, спонтанный визуальный язык — основу репортажа и уличной фотографии.</x:t>
        </x:is>
      </x:c>
      <x:c r="H97" s="49" t="inlineStr">
        <x:is>
          <x:t xml:space="preserve">Оптические инструменты</x:t>
        </x:is>
      </x:c>
      <x:c r="I97" s="49" t="inlineStr">
        <x:is>
          <x:t xml:space="preserve">Mobile 35 mm visual language</x:t>
        </x:is>
      </x:c>
      <x:c r="J97" s="49" t="inlineStr">
        <x:is>
          <x:t xml:space="preserve">Фотограф становится менее заметным и быстрее реагирует на жизнь: камера начинает следовать за событием, а не заставлять событие приходить в студию.</x:t>
        </x:is>
      </x:c>
      <x:c r="K97" s="49" t="inlineStr">
        <x:is>
          <x:t xml:space="preserve">Leica I mass adoption</x:t>
        </x:is>
      </x:c>
      <x:c r="L97" s="49" t="inlineStr">
        <x:is>
          <x:t xml:space="preserve">Rangefinder and reportage traditions</x:t>
        </x:is>
      </x:c>
      <x:c r="M97" s="49" t="inlineStr">
        <x:is>
          <x:t xml:space="preserve">Главная линия</x:t>
        </x:is>
      </x:c>
      <x:c r="N97" s="49" t="n">
        <x:v>5</x:v>
      </x:c>
      <x:c r="O97" s="49" t="inlineStr">
        <x:is>
          <x:t xml:space="preserve">PL-010</x:t>
        </x:is>
      </x:c>
      <x:c r="P97" s="49" t="inlineStr">
        <x:is>
          <x:t xml:space="preserve">SRC-062</x:t>
        </x:is>
      </x:c>
      <x:c r="Q97" s="49" t="inlineStr">
        <x:is>
          <x:t xml:space="preserve">Leica Camera — The History of the Leica I</x:t>
        </x:is>
      </x:c>
      <x:c r="R97" s="49" t="inlineStr">
        <x:is>
          <x:t xml:space="preserve">https://leica-camera.com/en-int/photography/100-years/the-history-of-the-leica-I</x:t>
        </x:is>
      </x:c>
      <x:c r="S97" s="49" t="n">
        <x:v>5</x:v>
      </x:c>
      <x:c r="T97" s="49" t="inlineStr">
        <x:is>
          <x:t xml:space="preserve">Смысл PL-010: Leica изменила не только размер камеры, но и способ видеть — ближе, быстрее, тише.</x:t>
        </x:is>
      </x:c>
      <x:c r="U97" s="49" t="inlineStr">
        <x:is>
          <x:t xml:space="preserve">Фотограф с маленькой камерой среди городской жизни; люди не позируют, момент происходит сам.</x:t>
        </x:is>
      </x:c>
      <x:c r="V97" s="49" t="inlineStr">
        <x:is>
          <x:t xml:space="preserve">#PL010 #reportage #street-photography #mobile-camera #visual-language</x:t>
        </x:is>
      </x:c>
      <x:c r="W97" s="49" t="n"/>
      <x:c r="X97" s="49" t="n"/>
      <x:c r="Y97" s="49" t="inlineStr">
        <x:is>
          <x:t xml:space="preserve">Leica I / новая визуальная практика</x:t>
        </x:is>
      </x:c>
      <x:c r="Z97" s="49" t="inlineStr">
        <x:is>
          <x:t xml:space="preserve">Применение / жанр</x:t>
        </x:is>
      </x:c>
      <x:c r="AA97" s="49" t="n"/>
    </x:row>
    <x:row r="98" s="46" customFormat="1" ht="17" customHeight="1">
      <x:c r="A98" s="49" t="inlineStr">
        <x:is>
          <x:t xml:space="preserve">PL-HIST-0097</x:t>
        </x:is>
      </x:c>
      <x:c r="B98" s="49" t="inlineStr">
        <x:is>
          <x:t xml:space="preserve">1930</x:t>
        </x:is>
      </x:c>
      <x:c r="C98" s="49" t="inlineStr">
        <x:is>
          <x:t xml:space="preserve">год</x:t>
        </x:is>
      </x:c>
      <x:c r="D98" s="49" t="inlineStr">
        <x:is>
          <x:t xml:space="preserve">Германия</x:t>
        </x:is>
      </x:c>
      <x:c r="E98" s="49" t="inlineStr">
        <x:is>
          <x:t xml:space="preserve">Вецлар</x:t>
        </x:is>
      </x:c>
      <x:c r="F98" s="49" t="inlineStr">
        <x:is>
          <x:t xml:space="preserve">Ernst Leitz Werke</x:t>
        </x:is>
      </x:c>
      <x:c r="G98" s="49" t="inlineStr">
        <x:is>
          <x:t xml:space="preserve">Leica I(C) вводит сменные объективы; к концу 1930 года появляется стандартизированный крепёж, позволяющий использовать объективы с разными камерами Leica 1(C).</x:t>
        </x:is>
      </x:c>
      <x:c r="H98" s="49" t="inlineStr">
        <x:is>
          <x:t xml:space="preserve">Оптические инструменты</x:t>
        </x:is>
      </x:c>
      <x:c r="I98" s="49" t="inlineStr">
        <x:is>
          <x:t xml:space="preserve">Leica I(C) interchangeable lenses</x:t>
        </x:is>
      </x:c>
      <x:c r="J98" s="49" t="inlineStr">
        <x:is>
          <x:t xml:space="preserve">Leica превращается из отдельной камеры в систему: корпус, объективы и аксессуары начинают развиваться вместе.</x:t>
        </x:is>
      </x:c>
      <x:c r="K98" s="49" t="inlineStr">
        <x:is>
          <x:t xml:space="preserve">Leica I fixed-lens camera</x:t>
        </x:is>
      </x:c>
      <x:c r="L98" s="49" t="inlineStr">
        <x:is>
          <x:t xml:space="preserve">Leica system and rangefinder cameras</x:t>
        </x:is>
      </x:c>
      <x:c r="M98" s="49" t="inlineStr">
        <x:is>
          <x:t xml:space="preserve">Связь / переход</x:t>
        </x:is>
      </x:c>
      <x:c r="N98" s="49" t="n">
        <x:v>4</x:v>
      </x:c>
      <x:c r="O98" s="49" t="inlineStr">
        <x:is>
          <x:t xml:space="preserve">PL-010</x:t>
        </x:is>
      </x:c>
      <x:c r="P98" s="49" t="inlineStr">
        <x:is>
          <x:t xml:space="preserve">SRC-067</x:t>
        </x:is>
      </x:c>
      <x:c r="Q98" s="49" t="inlineStr">
        <x:is>
          <x:t xml:space="preserve">Smithsonian NMAH — Leica 1(C)</x:t>
        </x:is>
      </x:c>
      <x:c r="R98" s="49" t="inlineStr">
        <x:is>
          <x:t xml:space="preserve">https://americanhistory.si.edu/collections/object/nmah_1145349</x:t>
        </x:is>
      </x:c>
      <x:c r="S98" s="49" t="n">
        <x:v>5</x:v>
      </x:c>
      <x:c r="T98" s="49" t="inlineStr">
        <x:is>
          <x:t xml:space="preserve">Это не центральный узел PL-010, а мост: после Leica I важной становится идея системы.</x:t>
        </x:is>
      </x:c>
      <x:c r="U98" s="49" t="inlineStr">
        <x:is>
          <x:t xml:space="preserve">Корпус Leica I(C) и три объектива рядом: 50 мм, широкоугольный и телеобъектив.</x:t>
        </x:is>
      </x:c>
      <x:c r="V98" s="49" t="inlineStr">
        <x:is>
          <x:t xml:space="preserve">#PL010 #LeicaIC #interchangeable-lenses #Leica-system</x:t>
        </x:is>
      </x:c>
      <x:c r="W98" s="49" t="inlineStr">
        <x:is>
          <x:t xml:space="preserve">Проверить терминологию крепления: в источниках встречаются screw mount / standardized mount; не называть это байонетом в финальном русском тексте.</x:t>
        </x:is>
      </x:c>
      <x:c r="X98" s="49" t="inlineStr">
        <x:is>
          <x:t xml:space="preserve">50.5619, 8.5044</x:t>
        </x:is>
      </x:c>
      <x:c r="Y98" s="49" t="inlineStr">
        <x:is>
          <x:t xml:space="preserve">Leica I / сменные объективы</x:t>
        </x:is>
      </x:c>
      <x:c r="Z98" s="49" t="inlineStr">
        <x:is>
          <x:t xml:space="preserve">Связь / переход</x:t>
        </x:is>
      </x:c>
      <x:c r="AA98" s="49" t="n"/>
    </x:row>
    <x:row r="99" s="46" customFormat="1" ht="17" customHeight="1">
      <x:c r="A99" s="49" t="inlineStr">
        <x:is>
          <x:t xml:space="preserve">PL-HIST-0098</x:t>
        </x:is>
      </x:c>
      <x:c r="B99" s="49" t="inlineStr">
        <x:is>
          <x:t xml:space="preserve">1932</x:t>
        </x:is>
      </x:c>
      <x:c r="C99" s="49" t="inlineStr">
        <x:is>
          <x:t xml:space="preserve">год</x:t>
        </x:is>
      </x:c>
      <x:c r="D99" s="49" t="inlineStr">
        <x:is>
          <x:t xml:space="preserve">Германия</x:t>
        </x:is>
      </x:c>
      <x:c r="E99" s="49" t="inlineStr">
        <x:is>
          <x:t xml:space="preserve">Вецлар</x:t>
        </x:is>
      </x:c>
      <x:c r="F99" s="49" t="inlineStr">
        <x:is>
          <x:t xml:space="preserve">Ernst Leitz Werke</x:t>
        </x:is>
      </x:c>
      <x:c r="G99" s="49" t="inlineStr">
        <x:is>
          <x:t xml:space="preserve">Leica II становится первой Leica со встроенным дальномером, продолжая линию малой 35-мм камеры в сторону точной быстрой фокусировки.</x:t>
        </x:is>
      </x:c>
      <x:c r="H99" s="49" t="inlineStr">
        <x:is>
          <x:t xml:space="preserve">Оптические инструменты</x:t>
        </x:is>
      </x:c>
      <x:c r="I99" s="49" t="inlineStr">
        <x:is>
          <x:t xml:space="preserve">Leica II built-in rangefinder</x:t>
        </x:is>
      </x:c>
      <x:c r="J99" s="49" t="inlineStr">
        <x:is>
          <x:t xml:space="preserve">Следующий шаг после компактности — скорость и точность наведения: Leica формирует основу дальномерной культуры съёмки.</x:t>
        </x:is>
      </x:c>
      <x:c r="K99" s="49" t="inlineStr">
        <x:is>
          <x:t xml:space="preserve">Leica I and Leica system</x:t>
        </x:is>
      </x:c>
      <x:c r="L99" s="49" t="inlineStr">
        <x:is>
          <x:t xml:space="preserve">Future rangefinder photography and Leica M lineage</x:t>
        </x:is>
      </x:c>
      <x:c r="M99" s="49" t="inlineStr">
        <x:is>
          <x:t xml:space="preserve">Связь / переход</x:t>
        </x:is>
      </x:c>
      <x:c r="N99" s="49" t="n">
        <x:v>4</x:v>
      </x:c>
      <x:c r="O99" s="49" t="inlineStr">
        <x:is>
          <x:t xml:space="preserve">PL-010</x:t>
        </x:is>
      </x:c>
      <x:c r="P99" s="49" t="inlineStr">
        <x:is>
          <x:t xml:space="preserve">SRC-068</x:t>
        </x:is>
      </x:c>
      <x:c r="Q99" s="49" t="inlineStr">
        <x:is>
          <x:t xml:space="preserve">Leica Timeline — 1932</x:t>
        </x:is>
      </x:c>
      <x:c r="R99" s="49" t="inlineStr">
        <x:is>
          <x:t xml:space="preserve">https://timeline.leica-camera.com/en-US/years/1932</x:t>
        </x:is>
      </x:c>
      <x:c r="S99" s="49" t="n">
        <x:v>5</x:v>
      </x:c>
      <x:c r="T99" s="49" t="inlineStr">
        <x:is>
          <x:t xml:space="preserve">Финальный мост урока: PL-010 завершает Модуль 1, но открывает будущие темы про камеры, дальномер и объективы.</x:t>
        </x:is>
      </x:c>
      <x:c r="U99" s="49" t="inlineStr">
        <x:is>
          <x:t xml:space="preserve">Leica II рядом с Leica I: появляется дальномер как следующий слой управления камерой.</x:t>
        </x:is>
      </x:c>
      <x:c r="V99" s="49" t="inlineStr">
        <x:is>
          <x:t xml:space="preserve">#PL010 #LeicaII #rangefinder #future-lessons #Leica-system</x:t>
        </x:is>
      </x:c>
      <x:c r="W99" s="49" t="n"/>
      <x:c r="X99" s="49" t="inlineStr">
        <x:is>
          <x:t xml:space="preserve">50.5619, 8.5044</x:t>
        </x:is>
      </x:c>
      <x:c r="Y99" s="49" t="inlineStr">
        <x:is>
          <x:t xml:space="preserve">Leica I / мост к дальномерной системе</x:t>
        </x:is>
      </x:c>
      <x:c r="Z99" s="49" t="inlineStr">
        <x:is>
          <x:t xml:space="preserve">Связь / переход</x:t>
        </x:is>
      </x:c>
      <x:c r="AA99" s="49" t="n"/>
    </x:row>
    <x:row r="100" s="46" customFormat="1" ht="17" customHeight="1">
      <x:c r="A100" s="49" t="inlineStr">
        <x:is>
          <x:t xml:space="preserve">PL-HIST-0099</x:t>
        </x:is>
      </x:c>
      <x:c r="B100" s="49" t="inlineStr">
        <x:is>
          <x:t xml:space="preserve">1889</x:t>
        </x:is>
      </x:c>
      <x:c r="C100" s="49" t="inlineStr">
        <x:is>
          <x:t xml:space="preserve">год</x:t>
        </x:is>
      </x:c>
      <x:c r="D100" s="49" t="inlineStr">
        <x:is>
          <x:t xml:space="preserve">США</x:t>
        </x:is>
      </x:c>
      <x:c r="E100" s="49" t="inlineStr">
        <x:is>
          <x:t xml:space="preserve">Рочестер, Нью-Йорк</x:t>
        </x:is>
      </x:c>
      <x:c r="F100" s="49" t="inlineStr">
        <x:is>
          <x:t xml:space="preserve">Eastman Dry Plate and Film Company / Kodak</x:t>
        </x:is>
      </x:c>
      <x:c r="G100" s="49" t="inlineStr">
        <x:is>
          <x:t xml:space="preserve"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x:t>
        </x:is>
      </x:c>
      <x:c r="H100" s="49" t="inlineStr">
        <x:is>
          <x:t xml:space="preserve">Негатив-позитив</x:t>
        </x:is>
      </x:c>
      <x:c r="I100" s="49" t="inlineStr">
        <x:is>
          <x:t xml:space="preserve">Transparent flexible photographic film</x:t>
        </x:is>
      </x:c>
      <x:c r="J100" s="49" t="inlineStr">
        <x:is>
          <x:t xml:space="preserve">Фотоплёнка становится самостоятельным материалом: гибкая основа + светочувствительная эмульсия заменяют тяжёлую стеклянную пластину.</x:t>
        </x:is>
      </x:c>
      <x:c r="K100" s="49" t="inlineStr">
        <x:is>
          <x:t xml:space="preserve">Рулонная бумажная плёнка Kodak и сухие пластины</x:t>
        </x:is>
      </x:c>
      <x:c r="L100" s="49" t="inlineStr">
        <x:is>
          <x:t xml:space="preserve">Понимание структуры плёнки: основа, эмульсия, защитные и служебные слои</x:t>
        </x:is>
      </x:c>
      <x:c r="M100" s="49" t="inlineStr">
        <x:is>
          <x:t xml:space="preserve">Главная линия</x:t>
        </x:is>
      </x:c>
      <x:c r="N100" s="49" t="n">
        <x:v>5</x:v>
      </x:c>
      <x:c r="O100" s="49" t="inlineStr">
        <x:is>
          <x:t xml:space="preserve">PL-011</x:t>
        </x:is>
      </x:c>
      <x:c r="P100" s="49" t="inlineStr">
        <x:is>
          <x:t xml:space="preserve">SRC-069</x:t>
        </x:is>
      </x:c>
      <x:c r="Q100" s="49" t="inlineStr">
        <x:is>
          <x:t xml:space="preserve">George Eastman Museum — Early Kodak Film 1888/1889</x:t>
        </x:is>
      </x:c>
      <x:c r="R100" s="49" t="inlineStr">
        <x:is>
          <x:t xml:space="preserve">https://www.eastman.org/two-rare-rolls-early-kodak-film-acquired-george-eastman-museum</x:t>
        </x:is>
      </x:c>
      <x:c r="S100" s="49" t="n">
        <x:v>5</x:v>
      </x:c>
      <x:c r="T100" s="49" t="inlineStr">
        <x:is>
          <x:t xml:space="preserve">Начать PL-011 можно с простой мысли: плёнка — это не «магическая лента», а светочувствительный материал на гибкой основе.</x:t>
        </x:is>
      </x:c>
      <x:c r="U100" s="49" t="inlineStr">
        <x:is>
          <x:t xml:space="preserve">Схема-слой: прозрачная лента, сверху тонкая эмульсия; рядом стеклянная пластина как прошлый этап.</x:t>
        </x:is>
      </x:c>
      <x:c r="V100" s="49" t="inlineStr">
        <x:is>
          <x:t xml:space="preserve">#PL011 #film-material #transparent-film #Kodak #Eastman</x:t>
        </x:is>
      </x:c>
      <x:c r="W100" s="49" t="n"/>
      <x:c r="X100" s="49" t="inlineStr">
        <x:is>
          <x:t xml:space="preserve">43.1566, -77.6088</x:t>
        </x:is>
      </x:c>
      <x:c r="Y100" s="49" t="inlineStr">
        <x:is>
          <x:t xml:space="preserve">Плёнка как материал / прозрачная основа</x:t>
        </x:is>
      </x:c>
      <x:c r="Z100" s="49" t="inlineStr">
        <x:is>
          <x:t xml:space="preserve">Ключевой исторический узел</x:t>
        </x:is>
      </x:c>
      <x:c r="AA100" s="49" t="inlineStr">
        <x:is>
          <x:t xml:space="preserve">да</x:t>
        </x:is>
      </x:c>
    </x:row>
    <x:row r="101" s="46" customFormat="1" ht="17" customHeight="1">
      <x:c r="A101" s="49" t="inlineStr">
        <x:is>
          <x:t xml:space="preserve">PL-HIST-0100</x:t>
        </x:is>
      </x:c>
      <x:c r="B101" s="49" t="inlineStr">
        <x:is>
          <x:t xml:space="preserve">1890-е</x:t>
        </x:is>
      </x:c>
      <x:c r="C101" s="49" t="inlineStr">
        <x:is>
          <x:t xml:space="preserve">диапазон</x:t>
        </x:is>
      </x:c>
      <x:c r="D101" s="49" t="inlineStr">
        <x:is>
          <x:t xml:space="preserve">США / Европа</x:t>
        </x:is>
      </x:c>
      <x:c r="E101" s="49" t="inlineStr">
        <x:is>
          <x:t xml:space="preserve">распределённый процесс</x:t>
        </x:is>
      </x:c>
      <x:c r="F101" s="49" t="inlineStr">
        <x:is>
          <x:t xml:space="preserve">Производители фотоплёнки</x:t>
        </x:is>
      </x:c>
      <x:c r="G101" s="49" t="inlineStr">
        <x:is>
          <x:t xml:space="preserve"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x:t>
        </x:is>
      </x:c>
      <x:c r="H101" s="49" t="inlineStr">
        <x:is>
          <x:t xml:space="preserve">Негатив-позитив</x:t>
        </x:is>
      </x:c>
      <x:c r="I101" s="49" t="inlineStr">
        <x:is>
          <x:t xml:space="preserve">Cellulose nitrate film base</x:t>
        </x:is>
      </x:c>
      <x:c r="J101" s="49" t="inlineStr">
        <x:is>
          <x:t xml:space="preserve">У плёнки появляется практичный гибкий носитель, но вместе с ним — новая проблема хранения и безопасности.</x:t>
        </x:is>
      </x:c>
      <x:c r="K101" s="49" t="inlineStr">
        <x:is>
          <x:t xml:space="preserve">Kodak Transparent Film 1889</x:t>
        </x:is>
      </x:c>
      <x:c r="L101" s="49" t="inlineStr">
        <x:is>
          <x:t xml:space="preserve">Safety film and acetate base</x:t>
        </x:is>
      </x:c>
      <x:c r="M101" s="49" t="inlineStr">
        <x:is>
          <x:t xml:space="preserve">Главная линия / временная доминирующая линия</x:t>
        </x:is>
      </x:c>
      <x:c r="N101" s="49" t="n">
        <x:v>4</x:v>
      </x:c>
      <x:c r="O101" s="49" t="inlineStr">
        <x:is>
          <x:t xml:space="preserve">PL-011</x:t>
        </x:is>
      </x:c>
      <x:c r="P101" s="49" t="inlineStr">
        <x:is>
          <x:t xml:space="preserve">SRC-070</x:t>
        </x:is>
      </x:c>
      <x:c r="Q101" s="49" t="inlineStr">
        <x:is>
          <x:t xml:space="preserve">National Archives — Film-Based Negatives and Positives</x:t>
        </x:is>
      </x:c>
      <x:c r="R101" s="49" t="inlineStr">
        <x:is>
          <x:t xml:space="preserve">https://www.archives.gov/preservation/holdings-maintenance/film-based</x:t>
        </x:is>
      </x:c>
      <x:c r="S101" s="49" t="n">
        <x:v>5</x:v>
      </x:c>
      <x:c r="T101" s="49" t="inlineStr">
        <x:is>
          <x:t xml:space="preserve">Важно объяснить аккуратно: ранняя плёнка была революционно удобной, но не вечной и не безопасной как современная.</x:t>
        </x:is>
      </x:c>
      <x:c r="U101" s="49" t="inlineStr">
        <x:is>
          <x:t xml:space="preserve">Разрез плёнки с подписью «nitrate base»: красиво, но рядом знак осторожности / архивное хранение.</x:t>
        </x:is>
      </x:c>
      <x:c r="V101" s="49" t="inlineStr">
        <x:is>
          <x:t xml:space="preserve">#PL011 #nitrate-film #film-base #preservation</x:t>
        </x:is>
      </x:c>
      <x:c r="W101" s="49" t="inlineStr">
        <x:is>
          <x:t xml:space="preserve">Не использовать в уроке категоричную дату конца нитрата для всех стран; диапазоны различались по рынкам и типам материала.</x:t>
        </x:is>
      </x:c>
      <x:c r="X101" s="49" t="n"/>
      <x:c r="Y101" s="49" t="inlineStr">
        <x:is>
          <x:t xml:space="preserve">Плёнка как материал / нитратная основа</x:t>
        </x:is>
      </x:c>
      <x:c r="Z101" s="49" t="inlineStr">
        <x:is>
          <x:t xml:space="preserve">Технология / процесс</x:t>
        </x:is>
      </x:c>
      <x:c r="AA101" s="49" t="n"/>
    </x:row>
    <x:row r="102" s="46" customFormat="1" ht="17" customHeight="1">
      <x:c r="A102" s="49" t="inlineStr">
        <x:is>
          <x:t xml:space="preserve">PL-HIST-0101</x:t>
        </x:is>
      </x:c>
      <x:c r="B102" s="49" t="inlineStr">
        <x:is>
          <x:t xml:space="preserve">1899</x:t>
        </x:is>
      </x:c>
      <x:c r="C102" s="49" t="inlineStr">
        <x:is>
          <x:t xml:space="preserve">год</x:t>
        </x:is>
      </x:c>
      <x:c r="D102" s="49" t="inlineStr">
        <x:is>
          <x:t xml:space="preserve">США</x:t>
        </x:is>
      </x:c>
      <x:c r="E102" s="49" t="inlineStr">
        <x:is>
          <x:t xml:space="preserve">Рочестер, Нью-Йорк</x:t>
        </x:is>
      </x:c>
      <x:c r="F102" s="49" t="inlineStr">
        <x:is>
          <x:t xml:space="preserve">Eastman Kodak Company</x:t>
        </x:is>
      </x:c>
      <x:c r="G102" s="49" t="inlineStr">
        <x:is>
          <x:t xml:space="preserve"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x:t>
        </x:is>
      </x:c>
      <x:c r="H102" s="49" t="inlineStr">
        <x:is>
          <x:t xml:space="preserve">Негатив-позитив</x:t>
        </x:is>
      </x:c>
      <x:c r="I102" s="49" t="inlineStr">
        <x:is>
          <x:t xml:space="preserve">Continuous process for transparent film base</x:t>
        </x:is>
      </x:c>
      <x:c r="J102" s="49" t="inlineStr">
        <x:is>
          <x:t xml:space="preserve">Плёнка становится не только изобретением, но и промышленным материалом, который можно выпускать стабильно и массово.</x:t>
        </x:is>
      </x:c>
      <x:c r="K102" s="49" t="inlineStr">
        <x:is>
          <x:t xml:space="preserve">Transparent film and roll film production</x:t>
        </x:is>
      </x:c>
      <x:c r="L102" s="49" t="inlineStr">
        <x:is>
          <x:t xml:space="preserve">Non-curling film and safer film bases</x:t>
        </x:is>
      </x:c>
      <x:c r="M102" s="49" t="inlineStr">
        <x:is>
          <x:t xml:space="preserve">Распространение / коммерциализация</x:t>
        </x:is>
      </x:c>
      <x:c r="N102" s="49" t="n">
        <x:v>4</x:v>
      </x:c>
      <x:c r="O102" s="49" t="inlineStr">
        <x:is>
          <x:t xml:space="preserve">PL-011</x:t>
        </x:is>
      </x:c>
      <x:c r="P102" s="49" t="inlineStr">
        <x:is>
          <x:t xml:space="preserve">SRC-071</x:t>
        </x:is>
      </x:c>
      <x:c r="Q102" s="49" t="inlineStr">
        <x:is>
          <x:t xml:space="preserve">Kodak — Milestones</x:t>
        </x:is>
      </x:c>
      <x:c r="R102" s="49" t="inlineStr">
        <x:is>
          <x:t xml:space="preserve">https://www.kodak.com/en/company/page/milestones/</x:t>
        </x:is>
      </x:c>
      <x:c r="S102" s="49" t="n">
        <x:v>5</x:v>
      </x:c>
      <x:c r="T102" s="49" t="inlineStr">
        <x:is>
          <x:t xml:space="preserve">Для карты это узел производства: материал должен быть не просто чувствительным, а повторяемым, ровным и массовым.</x:t>
        </x:is>
      </x:c>
      <x:c r="U102" s="49" t="inlineStr">
        <x:is>
          <x:t xml:space="preserve">Фабричная лента прозрачной основы проходит через валки; рядом маленькие слои эмульсии.</x:t>
        </x:is>
      </x:c>
      <x:c r="V102" s="49" t="inlineStr">
        <x:is>
          <x:t xml:space="preserve">#PL011 #film-base #manufacturing #Kodak</x:t>
        </x:is>
      </x:c>
      <x:c r="W102" s="49" t="n"/>
      <x:c r="X102" s="49" t="inlineStr">
        <x:is>
          <x:t xml:space="preserve">43.1566, -77.6088</x:t>
        </x:is>
      </x:c>
      <x:c r="Y102" s="49" t="inlineStr">
        <x:is>
          <x:t xml:space="preserve">Плёнка как материал / промышленное производство основы</x:t>
        </x:is>
      </x:c>
      <x:c r="Z102" s="49" t="inlineStr">
        <x:is>
          <x:t xml:space="preserve">Распространение / коммерциализация</x:t>
        </x:is>
      </x:c>
      <x:c r="AA102" s="49" t="n"/>
    </x:row>
    <x:row r="103" s="46" customFormat="1" ht="17" customHeight="1">
      <x:c r="A103" s="49" t="inlineStr">
        <x:is>
          <x:t xml:space="preserve">PL-HIST-0102</x:t>
        </x:is>
      </x:c>
      <x:c r="B103" s="49" t="inlineStr">
        <x:is>
          <x:t xml:space="preserve">1903</x:t>
        </x:is>
      </x:c>
      <x:c r="C103" s="49" t="inlineStr">
        <x:is>
          <x:t xml:space="preserve">год</x:t>
        </x:is>
      </x:c>
      <x:c r="D103" s="49" t="inlineStr">
        <x:is>
          <x:t xml:space="preserve">США</x:t>
        </x:is>
      </x:c>
      <x:c r="E103" s="49" t="inlineStr">
        <x:is>
          <x:t xml:space="preserve">Рочестер, Нью-Йорк</x:t>
        </x:is>
      </x:c>
      <x:c r="F103" s="49" t="inlineStr">
        <x:is>
          <x:t xml:space="preserve">Eastman Kodak Company</x:t>
        </x:is>
      </x:c>
      <x:c r="G103" s="49" t="inlineStr">
        <x:is>
          <x:t xml:space="preserve">Kodak Non-Curling Film вводится как более практичная любительская плёнка, рассчитанная на ровность и удобство использования.</x:t>
        </x:is>
      </x:c>
      <x:c r="H103" s="49" t="inlineStr">
        <x:is>
          <x:t xml:space="preserve">Негатив-позитив</x:t>
        </x:is>
      </x:c>
      <x:c r="I103" s="49" t="inlineStr">
        <x:is>
          <x:t xml:space="preserve">Kodak Non-Curling Film</x:t>
        </x:is>
      </x:c>
      <x:c r="J103" s="49" t="inlineStr">
        <x:is>
          <x:t xml:space="preserve">Плёнка должна не только реагировать на свет, но и физически вести себя предсказуемо: не скручиваться, не мешать съёмке и обработке.</x:t>
        </x:is>
      </x:c>
      <x:c r="K103" s="49" t="inlineStr">
        <x:is>
          <x:t xml:space="preserve">Ранние рулонные плёнки и прозрачная основа</x:t>
        </x:is>
      </x:c>
      <x:c r="L103" s="49" t="inlineStr">
        <x:is>
          <x:t xml:space="preserve">Более стабильные плёночные основы и массовая любительская фотография</x:t>
        </x:is>
      </x:c>
      <x:c r="M103" s="49" t="inlineStr">
        <x:is>
          <x:t xml:space="preserve">Распространение / коммерциализация</x:t>
        </x:is>
      </x:c>
      <x:c r="N103" s="49" t="n">
        <x:v>3</x:v>
      </x:c>
      <x:c r="O103" s="49" t="inlineStr">
        <x:is>
          <x:t xml:space="preserve">PL-011</x:t>
        </x:is>
      </x:c>
      <x:c r="P103" s="49" t="inlineStr">
        <x:is>
          <x:t xml:space="preserve">SRC-071</x:t>
        </x:is>
      </x:c>
      <x:c r="Q103" s="49" t="inlineStr">
        <x:is>
          <x:t xml:space="preserve">Kodak — Milestones</x:t>
        </x:is>
      </x:c>
      <x:c r="R103" s="49" t="inlineStr">
        <x:is>
          <x:t xml:space="preserve">https://www.kodak.com/en/company/page/milestones/</x:t>
        </x:is>
      </x:c>
      <x:c r="S103" s="49" t="n">
        <x:v>5</x:v>
      </x:c>
      <x:c r="T103" s="49" t="inlineStr">
        <x:is>
          <x:t xml:space="preserve">Хороший пример для новичка: свойства плёнки — это не только химия, но и механика материала.</x:t>
        </x:is>
      </x:c>
      <x:c r="U103" s="49" t="inlineStr">
        <x:is>
          <x:t xml:space="preserve">Рулон плёнки пытается свернуться; рядом более ровная лента с подписью «non-curling».</x:t>
        </x:is>
      </x:c>
      <x:c r="V103" s="49" t="inlineStr">
        <x:is>
          <x:t xml:space="preserve">#PL011 #non-curling-film #film-base #Kodak</x:t>
        </x:is>
      </x:c>
      <x:c r="W103" s="49" t="inlineStr">
        <x:is>
          <x:t xml:space="preserve">Проверить, насколько подробно раскрывать этот узел в полном уроке: можно оставить как дополнительный факт.</x:t>
        </x:is>
      </x:c>
      <x:c r="X103" s="49" t="inlineStr">
        <x:is>
          <x:t xml:space="preserve">43.1566, -77.6088</x:t>
        </x:is>
      </x:c>
      <x:c r="Y103" s="49" t="inlineStr">
        <x:is>
          <x:t xml:space="preserve">Плёнка как материал / механическая стабильность</x:t>
        </x:is>
      </x:c>
      <x:c r="Z103" s="49" t="inlineStr">
        <x:is>
          <x:t xml:space="preserve">Технология / процесс</x:t>
        </x:is>
      </x:c>
      <x:c r="AA103" s="49" t="n"/>
    </x:row>
    <x:row r="104" s="46" customFormat="1" ht="17" customHeight="1">
      <x:c r="A104" s="49" t="inlineStr">
        <x:is>
          <x:t xml:space="preserve">PL-HIST-0103</x:t>
        </x:is>
      </x:c>
      <x:c r="B104" s="49" t="inlineStr">
        <x:is>
          <x:t xml:space="preserve">1908</x:t>
        </x:is>
      </x:c>
      <x:c r="C104" s="49" t="inlineStr">
        <x:is>
          <x:t xml:space="preserve">год</x:t>
        </x:is>
      </x:c>
      <x:c r="D104" s="49" t="inlineStr">
        <x:is>
          <x:t xml:space="preserve">США</x:t>
        </x:is>
      </x:c>
      <x:c r="E104" s="49" t="inlineStr">
        <x:is>
          <x:t xml:space="preserve">Рочестер, Нью-Йорк</x:t>
        </x:is>
      </x:c>
      <x:c r="F104" s="49" t="inlineStr">
        <x:is>
          <x:t xml:space="preserve">Eastman Kodak Company</x:t>
        </x:is>
      </x:c>
      <x:c r="G104" s="49" t="inlineStr">
        <x:is>
          <x:t xml:space="preserve">Kodak производит первую коммерчески практичную safety film на целлюлозно-ацетатной основе вместо легко воспламеняемого нитрата.</x:t>
        </x:is>
      </x:c>
      <x:c r="H104" s="49" t="inlineStr">
        <x:is>
          <x:t xml:space="preserve">Негатив-позитив</x:t>
        </x:is>
      </x:c>
      <x:c r="I104" s="49" t="inlineStr">
        <x:is>
          <x:t xml:space="preserve">Cellulose acetate safety film</x:t>
        </x:is>
      </x:c>
      <x:c r="J104" s="49" t="inlineStr">
        <x:is>
          <x:t xml:space="preserve">У материала появляется важное качество безопасности: плёнка должна хранить изображение, но не превращаться в опасный объект.</x:t>
        </x:is>
      </x:c>
      <x:c r="K104" s="49" t="inlineStr">
        <x:is>
          <x:t xml:space="preserve">Nitrate film base</x:t>
        </x:is>
      </x:c>
      <x:c r="L104" s="49" t="inlineStr">
        <x:is>
          <x:t xml:space="preserve">Acetate safety film gradually replaces nitrate</x:t>
        </x:is>
      </x:c>
      <x:c r="M104" s="49" t="inlineStr">
        <x:is>
          <x:t xml:space="preserve">Главная линия</x:t>
        </x:is>
      </x:c>
      <x:c r="N104" s="49" t="n">
        <x:v>5</x:v>
      </x:c>
      <x:c r="O104" s="49" t="inlineStr">
        <x:is>
          <x:t xml:space="preserve">PL-011</x:t>
        </x:is>
      </x:c>
      <x:c r="P104" s="49" t="inlineStr">
        <x:is>
          <x:t xml:space="preserve">SRC-071</x:t>
        </x:is>
      </x:c>
      <x:c r="Q104" s="49" t="inlineStr">
        <x:is>
          <x:t xml:space="preserve">Kodak — Milestones</x:t>
        </x:is>
      </x:c>
      <x:c r="R104" s="49" t="inlineStr">
        <x:is>
          <x:t xml:space="preserve">https://www.kodak.com/en/company/page/milestones/</x:t>
        </x:is>
      </x:c>
      <x:c r="S104" s="49" t="n">
        <x:v>5</x:v>
      </x:c>
      <x:c r="T104" s="49" t="inlineStr">
        <x:is>
          <x:t xml:space="preserve">Это один из самых понятных мостов к хранению плёнки: основа влияет не только на съёмку, но и на жизнь архива.</x:t>
        </x:is>
      </x:c>
      <x:c r="U104" s="49" t="inlineStr">
        <x:is>
          <x:t xml:space="preserve">Две ленты: nitrate с красным предупреждением и safety film с более спокойной маркировкой.</x:t>
        </x:is>
      </x:c>
      <x:c r="V104" s="49" t="inlineStr">
        <x:is>
          <x:t xml:space="preserve">#PL011 #safety-film #cellulose-acetate #Kodak #film-base</x:t>
        </x:is>
      </x:c>
      <x:c r="W104" s="49" t="n"/>
      <x:c r="X104" s="49" t="inlineStr">
        <x:is>
          <x:t xml:space="preserve">43.1566, -77.6088</x:t>
        </x:is>
      </x:c>
      <x:c r="Y104" s="49" t="inlineStr">
        <x:is>
          <x:t xml:space="preserve">Плёнка как материал / safety film</x:t>
        </x:is>
      </x:c>
      <x:c r="Z104" s="49" t="inlineStr">
        <x:is>
          <x:t xml:space="preserve">Технология / процесс</x:t>
        </x:is>
      </x:c>
      <x:c r="AA104" s="49" t="n"/>
    </x:row>
    <x:row r="105" s="46" customFormat="1" ht="17" customHeight="1">
      <x:c r="A105" s="49" t="inlineStr">
        <x:is>
          <x:t xml:space="preserve">PL-HIST-0104</x:t>
        </x:is>
      </x:c>
      <x:c r="B105" s="49" t="inlineStr">
        <x:is>
          <x:t xml:space="preserve">1920-е</x:t>
        </x:is>
      </x:c>
      <x:c r="C105" s="49" t="inlineStr">
        <x:is>
          <x:t xml:space="preserve">диапазон</x:t>
        </x:is>
      </x:c>
      <x:c r="D105" s="49" t="inlineStr">
        <x:is>
          <x:t xml:space="preserve">США / Европа</x:t>
        </x:is>
      </x:c>
      <x:c r="E105" s="49" t="inlineStr">
        <x:is>
          <x:t xml:space="preserve">распределённый процесс</x:t>
        </x:is>
      </x:c>
      <x:c r="F105" s="49" t="inlineStr">
        <x:is>
          <x:t xml:space="preserve">Архивы и производители фотоматериалов</x:t>
        </x:is>
      </x:c>
      <x:c r="G105" s="49" t="inlineStr">
        <x:is>
          <x:t xml:space="preserve"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x:t>
        </x:is>
      </x:c>
      <x:c r="H105" s="49" t="inlineStr">
        <x:is>
          <x:t xml:space="preserve">Негатив-позитив</x:t>
        </x:is>
      </x:c>
      <x:c r="I105" s="49" t="inlineStr">
        <x:is>
          <x:t xml:space="preserve">Cellulose acetate safety film</x:t>
        </x:is>
      </x:c>
      <x:c r="J105" s="49" t="inlineStr">
        <x:is>
          <x:t xml:space="preserve">История плёнки — это не только качество изображения, но и долговечность носителя: разные основы по-разному стареют и требуют разного хранения.</x:t>
        </x:is>
      </x:c>
      <x:c r="K105" s="49" t="inlineStr">
        <x:is>
          <x:t xml:space="preserve">Cellulose nitrate film base</x:t>
        </x:is>
      </x:c>
      <x:c r="L105" s="49" t="inlineStr">
        <x:is>
          <x:t xml:space="preserve">Polyester base and modern archival practice</x:t>
        </x:is>
      </x:c>
      <x:c r="M105" s="49" t="inlineStr">
        <x:is>
          <x:t xml:space="preserve">Главная линия / временная доминирующая линия</x:t>
        </x:is>
      </x:c>
      <x:c r="N105" s="49" t="n">
        <x:v>4</x:v>
      </x:c>
      <x:c r="O105" s="49" t="inlineStr">
        <x:is>
          <x:t xml:space="preserve">PL-011</x:t>
        </x:is>
      </x:c>
      <x:c r="P105" s="49" t="inlineStr">
        <x:is>
          <x:t xml:space="preserve">SRC-070</x:t>
        </x:is>
      </x:c>
      <x:c r="Q105" s="49" t="inlineStr">
        <x:is>
          <x:t xml:space="preserve">National Archives — Film-Based Negatives and Positives</x:t>
        </x:is>
      </x:c>
      <x:c r="R105" s="49" t="inlineStr">
        <x:is>
          <x:t xml:space="preserve">https://www.archives.gov/preservation/holdings-maintenance/film-based</x:t>
        </x:is>
      </x:c>
      <x:c r="S105" s="49" t="n">
        <x:v>5</x:v>
      </x:c>
      <x:c r="T105" s="49" t="inlineStr">
        <x:is>
          <x:t xml:space="preserve">В уроке можно показать три слова: nitrate, acetate, polyester. Это помогает понять, почему плёнку хранят по правилам.</x:t>
        </x:is>
      </x:c>
      <x:c r="U105" s="49" t="inlineStr">
        <x:is>
          <x:t xml:space="preserve">Три коротких образца плёночной основы: nitrate / acetate / polyester, как музейная таблица.</x:t>
        </x:is>
      </x:c>
      <x:c r="V105" s="49" t="inlineStr">
        <x:is>
          <x:t xml:space="preserve">#PL011 #acetate-film #safety-film #film-base #preservation</x:t>
        </x:is>
      </x:c>
      <x:c r="W105" s="49" t="inlineStr">
        <x:is>
          <x:t xml:space="preserve">Уточнить на карте: это распределённый процесс, точку не ставить.</x:t>
        </x:is>
      </x:c>
      <x:c r="X105" s="49" t="n"/>
      <x:c r="Y105" s="49" t="inlineStr">
        <x:is>
          <x:t xml:space="preserve">Плёнка как материал / ацетатная основа и хранение</x:t>
        </x:is>
      </x:c>
      <x:c r="Z105" s="49" t="inlineStr">
        <x:is>
          <x:t xml:space="preserve">Связь / переход</x:t>
        </x:is>
      </x:c>
      <x:c r="AA105" s="49" t="n"/>
    </x:row>
    <x:row r="106" s="46" customFormat="1" ht="17" customHeight="1">
      <x:c r="A106" s="49" t="inlineStr">
        <x:is>
          <x:t xml:space="preserve">PL-HIST-0105</x:t>
        </x:is>
      </x:c>
      <x:c r="B106" s="49" t="inlineStr">
        <x:is>
          <x:t xml:space="preserve">базовое понятие</x:t>
        </x:is>
      </x:c>
      <x:c r="C106" s="49" t="inlineStr">
        <x:is>
          <x:t xml:space="preserve">примерно</x:t>
        </x:is>
      </x:c>
      <x:c r="D106" s="49" t="inlineStr">
        <x:is>
          <x:t xml:space="preserve">глобально</x:t>
        </x:is>
      </x:c>
      <x:c r="E106" s="49" t="inlineStr">
        <x:is>
          <x:t xml:space="preserve">без единой точки</x:t>
        </x:is>
      </x:c>
      <x:c r="F106" s="49" t="inlineStr">
        <x:is>
          <x:t xml:space="preserve">Производители фотоплёнки</x:t>
        </x:is>
      </x:c>
      <x:c r="G106" s="49" t="inlineStr">
        <x:is>
          <x:t xml:space="preserve"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x:t>
        </x:is>
      </x:c>
      <x:c r="H106" s="49" t="inlineStr">
        <x:is>
          <x:t xml:space="preserve">Фотохимия</x:t>
        </x:is>
      </x:c>
      <x:c r="I106" s="49" t="inlineStr">
        <x:is>
          <x:t xml:space="preserve">Film base + silver-halide gelatin emulsion</x:t>
        </x:is>
      </x:c>
      <x:c r="J106" s="49" t="inlineStr">
        <x:is>
          <x:t xml:space="preserve">Плёнка перестаёт быть абстрактной «катушкой»: её можно понять как слоистую систему, где каждый слой выполняет свою задачу.</x:t>
        </x:is>
      </x:c>
      <x:c r="K106" s="49" t="inlineStr">
        <x:is>
          <x:t xml:space="preserve">Гибкая прозрачная основа и сухая желатиновая эмульсия</x:t>
        </x:is>
      </x:c>
      <x:c r="L106" s="49" t="inlineStr">
        <x:is>
          <x:t xml:space="preserve">PL-012: эмульсия как главный светочувствительный слой</x:t>
        </x:is>
      </x:c>
      <x:c r="M106" s="49" t="inlineStr">
        <x:is>
          <x:t xml:space="preserve">Главная линия</x:t>
        </x:is>
      </x:c>
      <x:c r="N106" s="49" t="n">
        <x:v>5</x:v>
      </x:c>
      <x:c r="O106" s="49" t="inlineStr">
        <x:is>
          <x:t xml:space="preserve">PL-011</x:t>
        </x:is>
      </x:c>
      <x:c r="P106" s="49" t="inlineStr">
        <x:is>
          <x:t xml:space="preserve">SRC-072</x:t>
        </x:is>
      </x:c>
      <x:c r="Q106" s="49" t="inlineStr">
        <x:is>
          <x:t xml:space="preserve">Kodak — Glossary of Motion Picture Terms</x:t>
        </x:is>
      </x:c>
      <x:c r="R106" s="49" t="inlineStr">
        <x:is>
          <x:t xml:space="preserve">https://www.kodak.com/en/motion/page/glossary-of-motion-picture-terms/</x:t>
        </x:is>
      </x:c>
      <x:c r="S106" s="49" t="n">
        <x:v>5</x:v>
      </x:c>
      <x:c r="T106" s="49" t="inlineStr">
        <x:is>
          <x:t xml:space="preserve">Это главный учебный узел PL-011: основа держит форму, эмульсия ловит свет, остальные слои помогают плёнке работать.</x:t>
        </x:is>
      </x:c>
      <x:c r="U106" s="49" t="inlineStr">
        <x:is>
          <x:t xml:space="preserve">Крупная чистая схема разреза плёнки: base / emulsion / backing / protective layer.</x:t>
        </x:is>
      </x:c>
      <x:c r="V106" s="49" t="inlineStr">
        <x:is>
          <x:t xml:space="preserve">#PL011 #film-structure #emulsion #silver-halide #gelatin</x:t>
        </x:is>
      </x:c>
      <x:c r="W106" s="49" t="n"/>
      <x:c r="X106" s="49" t="n"/>
      <x:c r="Y106" s="49" t="inlineStr">
        <x:is>
          <x:t xml:space="preserve">Плёнка как материал / структура слоя</x:t>
        </x:is>
      </x:c>
      <x:c r="Z106" s="49" t="inlineStr">
        <x:is>
          <x:t xml:space="preserve">Терминология / язык</x:t>
        </x:is>
      </x:c>
      <x:c r="AA106" s="49" t="n"/>
    </x:row>
    <x:row r="107" s="46" customFormat="1" ht="17" customHeight="1">
      <x:c r="A107" s="49" t="inlineStr">
        <x:is>
          <x:t xml:space="preserve">PL-HIST-0106</x:t>
        </x:is>
      </x:c>
      <x:c r="B107" s="49" t="inlineStr">
        <x:is>
          <x:t xml:space="preserve">базовое понятие</x:t>
        </x:is>
      </x:c>
      <x:c r="C107" s="49" t="inlineStr">
        <x:is>
          <x:t xml:space="preserve">примерно</x:t>
        </x:is>
      </x:c>
      <x:c r="D107" s="49" t="inlineStr">
        <x:is>
          <x:t xml:space="preserve">глобально</x:t>
        </x:is>
      </x:c>
      <x:c r="E107" s="49" t="inlineStr">
        <x:is>
          <x:t xml:space="preserve">без единой точки</x:t>
        </x:is>
      </x:c>
      <x:c r="F107" s="49" t="inlineStr">
        <x:is>
          <x:t xml:space="preserve">Химики фотоматериалов</x:t>
        </x:is>
      </x:c>
      <x:c r="G107" s="49" t="inlineStr">
        <x:is>
          <x:t xml:space="preserve">Светочувствительность плёнки создают кристаллы галогенидов серебра, взвешенные в желатине: при экспонировании в них возникает скрытое изображение.</x:t>
        </x:is>
      </x:c>
      <x:c r="H107" s="49" t="inlineStr">
        <x:is>
          <x:t xml:space="preserve">Фотохимия</x:t>
        </x:is>
      </x:c>
      <x:c r="I107" s="49" t="inlineStr">
        <x:is>
          <x:t xml:space="preserve">Silver halide crystals in gelatin</x:t>
        </x:is>
      </x:c>
      <x:c r="J107" s="49" t="inlineStr">
        <x:is>
          <x:t xml:space="preserve">Фотография на плёнку начинается не с видимой картинки, а с микроскопического химического изменения, которое ещё нужно проявить.</x:t>
        </x:is>
      </x:c>
      <x:c r="K107" s="49" t="inlineStr">
        <x:is>
          <x:t xml:space="preserve">Gelatin dry plates and flexible film base</x:t>
        </x:is>
      </x:c>
      <x:c r="L107" s="49" t="inlineStr">
        <x:is>
          <x:t xml:space="preserve">Developer makes the latent image visible</x:t>
        </x:is>
      </x:c>
      <x:c r="M107" s="49" t="inlineStr">
        <x:is>
          <x:t xml:space="preserve">Главная линия</x:t>
        </x:is>
      </x:c>
      <x:c r="N107" s="49" t="n">
        <x:v>5</x:v>
      </x:c>
      <x:c r="O107" s="49" t="inlineStr">
        <x:is>
          <x:t xml:space="preserve">PL-011</x:t>
        </x:is>
      </x:c>
      <x:c r="P107" s="49" t="inlineStr">
        <x:is>
          <x:t xml:space="preserve">SRC-073</x:t>
        </x:is>
      </x:c>
      <x:c r="Q107" s="49" t="inlineStr">
        <x:is>
          <x:t xml:space="preserve">Kodak — Essential Reference Guide for Filmmakers</x:t>
        </x:is>
      </x:c>
      <x:c r="R107" s="49" t="inlineStr">
        <x:is>
          <x:t xml:space="preserve">https://www.kodak.com/content/products-brochures/Film/kodak-essential-reference-guide-for-filmmakers.pdf</x:t>
        </x:is>
      </x:c>
      <x:c r="S107" s="49" t="n">
        <x:v>5</x:v>
      </x:c>
      <x:c r="T107" s="49" t="inlineStr">
        <x:is>
          <x:t xml:space="preserve">Формула для объяснения: свет оставляет не готовую фотографию, а след в кристаллах серебра.</x:t>
        </x:is>
      </x:c>
      <x:c r="U107" s="49" t="inlineStr">
        <x:is>
          <x:t xml:space="preserve">Макро-схема: луч света попадает в кристалл серебряной соли внутри желатина.</x:t>
        </x:is>
      </x:c>
      <x:c r="V107" s="49" t="inlineStr">
        <x:is>
          <x:t xml:space="preserve">#PL011 #silver-halide #gelatin #latent-image #photochemistry</x:t>
        </x:is>
      </x:c>
      <x:c r="W107" s="49" t="n"/>
      <x:c r="X107" s="49" t="n"/>
      <x:c r="Y107" s="49" t="inlineStr">
        <x:is>
          <x:t xml:space="preserve">Плёнка как материал / серебряные соли и желатин</x:t>
        </x:is>
      </x:c>
      <x:c r="Z107" s="49" t="inlineStr">
        <x:is>
          <x:t xml:space="preserve">Фундаментальная предпосылка</x:t>
        </x:is>
      </x:c>
      <x:c r="AA107" s="49" t="n"/>
    </x:row>
    <x:row r="108" s="46" customFormat="1" ht="17" customHeight="1">
      <x:c r="A108" s="49" t="inlineStr">
        <x:is>
          <x:t xml:space="preserve">PL-HIST-0107</x:t>
        </x:is>
      </x:c>
      <x:c r="B108" s="49" t="inlineStr">
        <x:is>
          <x:t xml:space="preserve">базовое понятие</x:t>
        </x:is>
      </x:c>
      <x:c r="C108" s="49" t="inlineStr">
        <x:is>
          <x:t xml:space="preserve">примерно</x:t>
        </x:is>
      </x:c>
      <x:c r="D108" s="49" t="inlineStr">
        <x:is>
          <x:t xml:space="preserve">глобально</x:t>
        </x:is>
      </x:c>
      <x:c r="E108" s="49" t="inlineStr">
        <x:is>
          <x:t xml:space="preserve">без единой точки</x:t>
        </x:is>
      </x:c>
      <x:c r="F108" s="49" t="inlineStr">
        <x:is>
          <x:t xml:space="preserve">Фотолаборатории</x:t>
        </x:is>
      </x:c>
      <x:c r="G108" s="49" t="inlineStr">
        <x:is>
          <x:t xml:space="preserve"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x:t>
        </x:is>
      </x:c>
      <x:c r="H108" s="49" t="inlineStr">
        <x:is>
          <x:t xml:space="preserve">Фотохимия</x:t>
        </x:is>
      </x:c>
      <x:c r="I108" s="49" t="inlineStr">
        <x:is>
          <x:t xml:space="preserve">Latent image, developer and fixer</x:t>
        </x:is>
      </x:c>
      <x:c r="J108" s="49" t="inlineStr">
        <x:is>
          <x:t xml:space="preserve">Плёнка — это материал, который требует процесса: камера только записывает скрытый след, а фотография появляется в проявке.</x:t>
        </x:is>
      </x:c>
      <x:c r="K108" s="49" t="inlineStr">
        <x:is>
          <x:t xml:space="preserve">Latent image in silver halide grains</x:t>
        </x:is>
      </x:c>
      <x:c r="L108" s="49" t="inlineStr">
        <x:is>
          <x:t xml:space="preserve">PL-013 and PL-014: negative and positive</x:t>
        </x:is>
      </x:c>
      <x:c r="M108" s="49" t="inlineStr">
        <x:is>
          <x:t xml:space="preserve">Главная линия</x:t>
        </x:is>
      </x:c>
      <x:c r="N108" s="49" t="n">
        <x:v>5</x:v>
      </x:c>
      <x:c r="O108" s="49" t="inlineStr">
        <x:is>
          <x:t xml:space="preserve">PL-011</x:t>
        </x:is>
      </x:c>
      <x:c r="P108" s="49" t="inlineStr">
        <x:is>
          <x:t xml:space="preserve">SRC-073</x:t>
        </x:is>
      </x:c>
      <x:c r="Q108" s="49" t="inlineStr">
        <x:is>
          <x:t xml:space="preserve">Kodak — Essential Reference Guide for Filmmakers</x:t>
        </x:is>
      </x:c>
      <x:c r="R108" s="49" t="inlineStr">
        <x:is>
          <x:t xml:space="preserve">https://www.kodak.com/content/products-brochures/Film/kodak-essential-reference-guide-for-filmmakers.pdf</x:t>
        </x:is>
      </x:c>
      <x:c r="S108" s="49" t="n">
        <x:v>5</x:v>
      </x:c>
      <x:c r="T108" s="49" t="inlineStr">
        <x:is>
          <x:t xml:space="preserve">Здесь важно связать PL-011 с будущими уроками: без проявки плёнка ещё не стала изображением.</x:t>
        </x:is>
      </x:c>
      <x:c r="U108" s="49" t="inlineStr">
        <x:is>
          <x:t xml:space="preserve">Три состояния одной полоски: экспонирована / проявлена / зафиксирована.</x:t>
        </x:is>
      </x:c>
      <x:c r="V108" s="49" t="inlineStr">
        <x:is>
          <x:t xml:space="preserve">#PL011 #latent-image #developer #fixer #processing</x:t>
        </x:is>
      </x:c>
      <x:c r="W108" s="49" t="n"/>
      <x:c r="X108" s="49" t="n"/>
      <x:c r="Y108" s="49" t="inlineStr">
        <x:is>
          <x:t xml:space="preserve">Плёнка как материал / скрытое изображение и обработка</x:t>
        </x:is>
      </x:c>
      <x:c r="Z108" s="49" t="inlineStr">
        <x:is>
          <x:t xml:space="preserve">Связь / переход</x:t>
        </x:is>
      </x:c>
      <x:c r="AA108" s="49" t="n"/>
    </x:row>
    <x:row r="109" s="46" customFormat="1" ht="17" customHeight="1">
      <x:c r="A109" s="49" t="inlineStr">
        <x:is>
          <x:t xml:space="preserve">PL-HIST-0108</x:t>
        </x:is>
      </x:c>
      <x:c r="B109" s="49" t="inlineStr">
        <x:is>
          <x:t xml:space="preserve">базовое понятие</x:t>
        </x:is>
      </x:c>
      <x:c r="C109" s="49" t="inlineStr">
        <x:is>
          <x:t xml:space="preserve">примерно</x:t>
        </x:is>
      </x:c>
      <x:c r="D109" s="49" t="inlineStr">
        <x:is>
          <x:t xml:space="preserve">глобально</x:t>
        </x:is>
      </x:c>
      <x:c r="E109" s="49" t="inlineStr">
        <x:is>
          <x:t xml:space="preserve">без единой точки</x:t>
        </x:is>
      </x:c>
      <x:c r="F109" s="49" t="inlineStr">
        <x:is>
          <x:t xml:space="preserve">Производители фотоплёнки</x:t>
        </x:is>
      </x:c>
      <x:c r="G109" s="49" t="inlineStr">
        <x:is>
          <x:t xml:space="preserve">Размер и распределение кристаллов в эмульсии связаны с чувствительностью, контрастом, разрешением и зерном плёнки.</x:t>
        </x:is>
      </x:c>
      <x:c r="H109" s="49" t="inlineStr">
        <x:is>
          <x:t xml:space="preserve">Фотохимия</x:t>
        </x:is>
      </x:c>
      <x:c r="I109" s="49" t="inlineStr">
        <x:is>
          <x:t xml:space="preserve">Film sensitivity, grain and resolution</x:t>
        </x:is>
      </x:c>
      <x:c r="J109" s="49" t="inlineStr">
        <x:is>
          <x:t xml:space="preserve">То, что фотограф называет ISO, зерном и характером плёнки, начинается внутри материала — в устройстве эмульсии.</x:t>
        </x:is>
      </x:c>
      <x:c r="K109" s="49" t="inlineStr">
        <x:is>
          <x:t xml:space="preserve">Silver halide crystals in gelatin</x:t>
        </x:is>
      </x:c>
      <x:c r="L109" s="49" t="inlineStr">
        <x:is>
          <x:t xml:space="preserve">PL-018: ISO плёнки; PL-019: зерно</x:t>
        </x:is>
      </x:c>
      <x:c r="M109" s="49" t="inlineStr">
        <x:is>
          <x:t xml:space="preserve">Главная линия</x:t>
        </x:is>
      </x:c>
      <x:c r="N109" s="49" t="n">
        <x:v>4</x:v>
      </x:c>
      <x:c r="O109" s="49" t="inlineStr">
        <x:is>
          <x:t xml:space="preserve">PL-011</x:t>
        </x:is>
      </x:c>
      <x:c r="P109" s="49" t="inlineStr">
        <x:is>
          <x:t xml:space="preserve">SRC-074</x:t>
        </x:is>
      </x:c>
      <x:c r="Q109" s="49" t="inlineStr">
        <x:is>
          <x:t xml:space="preserve">Kodak — Basic Sensitometry and Characteristics of Film</x:t>
        </x:is>
      </x:c>
      <x:c r="R109" s="49" t="inlineStr">
        <x:is>
          <x:t xml:space="preserve">https://www.kodak.com/uploadedfiles/motion/US_plugins_acrobat_en_motion_newsletters_filmEss_06_Characteristics_of_Film.pdf</x:t>
        </x:is>
      </x:c>
      <x:c r="S109" s="49" t="n">
        <x:v>5</x:v>
      </x:c>
      <x:c r="T109" s="49" t="inlineStr">
        <x:is>
          <x:t xml:space="preserve">Этот узел — мост к будущим темам: ISO и зерно не являются просто цифрой на коробке.</x:t>
        </x:is>
      </x:c>
      <x:c r="U109" s="49" t="inlineStr">
        <x:is>
          <x:t xml:space="preserve">Под микроскопом: разные размеры кристаллов → разные свойства плёнки.</x:t>
        </x:is>
      </x:c>
      <x:c r="V109" s="49" t="inlineStr">
        <x:is>
          <x:t xml:space="preserve">#PL011 #film-speed #grain #resolution #sensitometry</x:t>
        </x:is>
      </x:c>
      <x:c r="W109" s="49" t="n"/>
      <x:c r="X109" s="49" t="n"/>
      <x:c r="Y109" s="49" t="inlineStr">
        <x:is>
          <x:t xml:space="preserve">Плёнка как материал / чувствительность и зерно</x:t>
        </x:is>
      </x:c>
      <x:c r="Z109" s="49" t="inlineStr">
        <x:is>
          <x:t xml:space="preserve">Связь / переход</x:t>
        </x:is>
      </x:c>
      <x:c r="AA109" s="49" t="n"/>
    </x:row>
    <x:row r="110" s="46" customFormat="1" ht="17" customHeight="1">
      <x:c r="A110" t="inlineStr">
        <x:is>
          <x:t xml:space="preserve">PL-HIST-0109</x:t>
        </x:is>
      </x:c>
      <x:c r="B110" t="inlineStr">
        <x:is>
          <x:t xml:space="preserve">базовое понятие</x:t>
        </x:is>
      </x:c>
      <x:c r="C110" t="inlineStr">
        <x:is>
          <x:t xml:space="preserve">примерно</x:t>
        </x:is>
      </x:c>
      <x:c r="D110" t="inlineStr">
        <x:is>
          <x:t xml:space="preserve">глобально</x:t>
        </x:is>
      </x:c>
      <x:c r="E110" t="inlineStr">
        <x:is>
          <x:t xml:space="preserve">без единой точки</x:t>
        </x:is>
      </x:c>
      <x:c r="F110" t="inlineStr">
        <x:is>
          <x:t xml:space="preserve">Производители фотоплёнки</x:t>
        </x:is>
      </x:c>
      <x:c r="G110" t="inlineStr">
        <x:is>
          <x:t xml:space="preserve">Служебные слои плёнки, например защитный supercoat и antihalation backing, защищают эмульсию и уменьшают паразитное отражение света внутри материала.</x:t>
        </x:is>
      </x:c>
      <x:c r="H110" t="inlineStr">
        <x:is>
          <x:t xml:space="preserve">Негатив-позитив</x:t>
        </x:is>
      </x:c>
      <x:c r="I110" t="inlineStr">
        <x:is>
          <x:t xml:space="preserve">Protective layer and antihalation backing</x:t>
        </x:is>
      </x:c>
      <x:c r="J110" t="inlineStr">
        <x:is>
          <x:t xml:space="preserve">Плёнка — это не один слой. Даже невидимые служебные покрытия влияют на резкость, световые ореолы, транспортировку и обработку.</x:t>
        </x:is>
      </x:c>
      <x:c r="K110" t="inlineStr">
        <x:is>
          <x:t xml:space="preserve">Base + emulsion concept</x:t>
        </x:is>
      </x:c>
      <x:c r="L110" t="inlineStr">
        <x:is>
          <x:t xml:space="preserve">Color film multilayer structure and modern film stocks</x:t>
        </x:is>
      </x:c>
      <x:c r="M110" t="inlineStr">
        <x:is>
          <x:t xml:space="preserve">Главная линия</x:t>
        </x:is>
      </x:c>
      <x:c r="N110" t="n">
        <x:v>4</x:v>
      </x:c>
      <x:c r="O110" t="inlineStr">
        <x:is>
          <x:t xml:space="preserve">PL-011</x:t>
        </x:is>
      </x:c>
      <x:c r="P110" t="inlineStr">
        <x:is>
          <x:t xml:space="preserve">SRC-075</x:t>
        </x:is>
      </x:c>
      <x:c r="Q110" t="inlineStr">
        <x:is>
          <x:t xml:space="preserve">Kodak — How Film Makes an Image / Film Structure</x:t>
        </x:is>
      </x:c>
      <x:c r="R110" t="inlineStr">
        <x:is>
          <x:t xml:space="preserve">https://125px.com/docs/motionpicture/kodak_guides/US_plugins_acrobat_en_motion_newsletters_filmEss_04_How-film-makes-image.pdf</x:t>
        </x:is>
      </x:c>
      <x:c r="S110" t="n">
        <x:v>4</x:v>
      </x:c>
      <x:c r="T110" t="inlineStr">
        <x:is>
          <x:t xml:space="preserve">Хороший визуальный финал PL-011: плёнка — это инженерная многослойная система, а не просто полоска пластика.</x:t>
        </x:is>
      </x:c>
      <x:c r="U110" t="inlineStr">
        <x:is>
          <x:t xml:space="preserve">Разрез плёнки с тонкими подписьми: supercoat, emulsion, base, antihalation layer.</x:t>
        </x:is>
      </x:c>
      <x:c r="V110" t="inlineStr">
        <x:is>
          <x:t xml:space="preserve">#PL011 #film-layers #antihalation #supercoat #film-structure</x:t>
        </x:is>
      </x:c>
      <x:c r="W110" t="inlineStr">
        <x:is>
          <x:t xml:space="preserve">Проверить оригинальный источник PDF: файл выглядит как копия Kodak guide на стороннем домене; по возможности заменить на официальный источник Kodak.</x:t>
        </x:is>
      </x:c>
      <x:c r="Y110" t="inlineStr">
        <x:is>
          <x:t xml:space="preserve">Плёнка как материал / защитные и служебные слои</x:t>
        </x:is>
      </x:c>
      <x:c r="Z110" t="inlineStr">
        <x:is>
          <x:t xml:space="preserve">Технология / процесс</x:t>
        </x:is>
      </x:c>
    </x:row>
    <x:row r="111" s="46" customFormat="1" ht="17" customHeight="1">
      <x:c r="A111" s="49" t="inlineStr">
        <x:is>
          <x:t xml:space="preserve">PL-HIST-0110</x:t>
        </x:is>
      </x:c>
      <x:c r="B111" s="49" t="inlineStr">
        <x:is>
          <x:t xml:space="preserve">1871</x:t>
        </x:is>
      </x:c>
      <x:c r="C111" s="49" t="inlineStr">
        <x:is>
          <x:t xml:space="preserve">год</x:t>
        </x:is>
      </x:c>
      <x:c r="D111" s="49" t="inlineStr">
        <x:is>
          <x:t xml:space="preserve">Великобритания</x:t>
        </x:is>
      </x:c>
      <x:c r="E111" s="49" t="inlineStr">
        <x:is>
          <x:t xml:space="preserve">Лондон (публикация)</x:t>
        </x:is>
      </x:c>
      <x:c r="F111" s="49" t="inlineStr">
        <x:is>
          <x:t xml:space="preserve">Ричард Лич Мэддокс</x:t>
        </x:is>
      </x:c>
      <x:c r="G111" s="49" t="inlineStr">
        <x:is>
          <x:t xml:space="preserve">Публикует работу о желатино-бромидной эмульсии: светочувствительные серебряные соли удерживаются в желатине и могут быть нанесены на основу.</x:t>
        </x:is>
      </x:c>
      <x:c r="H111" s="49" t="inlineStr">
        <x:is>
          <x:t xml:space="preserve">Фотохимия</x:t>
        </x:is>
      </x:c>
      <x:c r="I111" s="49" t="inlineStr">
        <x:is>
          <x:t xml:space="preserve">Gelatino-bromide silver emulsion</x:t>
        </x:is>
      </x:c>
      <x:c r="J111" s="49" t="inlineStr">
        <x:is>
          <x:t xml:space="preserve">Эмульсия становится главным рабочим слоем фотографии: именно в ней свет оставляет скрытый след, который затем проявляется химически.</x:t>
        </x:is>
      </x:c>
      <x:c r="K111" s="49" t="inlineStr">
        <x:is>
          <x:t xml:space="preserve">Сухие пластины и плёнка как готовый светочувствительный материал</x:t>
        </x:is>
      </x:c>
      <x:c r="L111" s="49" t="inlineStr">
        <x:is>
          <x:t xml:space="preserve">Понимание кристаллов галогенидов серебра, скрытого изображения, проявления и фиксации</x:t>
        </x:is>
      </x:c>
      <x:c r="M111" s="49" t="inlineStr">
        <x:is>
          <x:t xml:space="preserve">Главная линия</x:t>
        </x:is>
      </x:c>
      <x:c r="N111" s="49" t="n">
        <x:v>5</x:v>
      </x:c>
      <x:c r="O111" s="49" t="inlineStr">
        <x:is>
          <x:t xml:space="preserve">PL-012</x:t>
        </x:is>
      </x:c>
      <x:c r="P111" s="49" t="inlineStr">
        <x:is>
          <x:t xml:space="preserve">SRC-083</x:t>
        </x:is>
      </x:c>
      <x:c r="Q111" s="49" t="inlineStr">
        <x:is>
          <x:t xml:space="preserve">Conservation Wiki — Gelatin Dry-plate Negative</x:t>
        </x:is>
      </x:c>
      <x:c r="R111" s="49" t="inlineStr">
        <x:is>
          <x:t xml:space="preserve">https://conservation-wiki.com/wiki/Gelatin_Dry-plate_Negative</x:t>
        </x:is>
      </x:c>
      <x:c r="S111" s="49" t="n">
        <x:v>4</x:v>
      </x:c>
      <x:c r="T111" s="49" t="inlineStr">
        <x:is>
          <x:t xml:space="preserve">Флагман PL-012: не плёнка как катушка, а эмульсия как место, где свет превращается в будущую фотографию.</x:t>
        </x:is>
      </x:c>
      <x:c r="U111" s="49" t="inlineStr">
        <x:is>
          <x:t xml:space="preserve">На карте: Лондон как точка перехода от сухой пластины к пониманию эмульсии; визуально — увеличенный слой с кристаллами серебра в желатине.</x:t>
        </x:is>
      </x:c>
      <x:c r="V111" s="49" t="inlineStr">
        <x:is>
          <x:t xml:space="preserve">#PL012 #emulsion #gelatin #silver-halide #Maddox</x:t>
        </x:is>
      </x:c>
      <x:c r="W111" s="49" t="inlineStr">
        <x:is>
          <x:t xml:space="preserve">Уточнить первичный источник статьи Мэддокса 1871 в British Journal of Photography.</x:t>
        </x:is>
      </x:c>
      <x:c r="X111" s="49" t="inlineStr">
        <x:is>
          <x:t xml:space="preserve">51.5074, -0.1278</x:t>
        </x:is>
      </x:c>
      <x:c r="Y111" s="49" t="inlineStr">
        <x:is>
          <x:t xml:space="preserve">Эмульсия / желатино-бромидный слой</x:t>
        </x:is>
      </x:c>
      <x:c r="Z111" s="49" t="inlineStr">
        <x:is>
          <x:t xml:space="preserve">Ключевой исторический узел</x:t>
        </x:is>
      </x:c>
      <x:c r="AA111" s="49" t="inlineStr">
        <x:is>
          <x:t xml:space="preserve">да</x:t>
        </x:is>
      </x:c>
    </x:row>
    <x:row r="112" s="46" customFormat="1" ht="17" customHeight="1">
      <x:c r="A112" s="49" t="inlineStr">
        <x:is>
          <x:t xml:space="preserve">PL-HIST-0111</x:t>
        </x:is>
      </x:c>
      <x:c r="B112" s="49" t="inlineStr">
        <x:is>
          <x:t xml:space="preserve">XIX–XX век</x:t>
        </x:is>
      </x:c>
      <x:c r="C112" s="49" t="inlineStr">
        <x:is>
          <x:t xml:space="preserve">диапазон</x:t>
        </x:is>
      </x:c>
      <x:c r="D112" s="49" t="inlineStr">
        <x:is>
          <x:t xml:space="preserve">Глобально</x:t>
        </x:is>
      </x:c>
      <x:c r="E112" s="49" t="inlineStr">
        <x:is>
          <x:t xml:space="preserve">распределённый технический принцип</x:t>
        </x:is>
      </x:c>
      <x:c r="F112" s="49" t="inlineStr">
        <x:is>
          <x:t xml:space="preserve">Производители фотоматериалов</x:t>
        </x:is>
      </x:c>
      <x:c r="G112" s="49" t="inlineStr">
        <x:is>
          <x:t xml:space="preserve">Фотографическая эмульсия понимается как покрытие из желатина и серебряных солей на основе плёнки, бумаги или стекла.</x:t>
        </x:is>
      </x:c>
      <x:c r="H112" s="49" t="inlineStr">
        <x:is>
          <x:t xml:space="preserve">Фотохимия</x:t>
        </x:is>
      </x:c>
      <x:c r="I112" s="49" t="inlineStr">
        <x:is>
          <x:t xml:space="preserve">Photographic emulsion</x:t>
        </x:is>
      </x:c>
      <x:c r="J112" s="49" t="inlineStr">
        <x:is>
          <x:t xml:space="preserve">Появляется ясная схема материала: есть основа, есть эмульсия/связующий слой и есть вещество, которое после обработки станет изображением.</x:t>
        </x:is>
      </x:c>
      <x:c r="K112" s="49" t="inlineStr">
        <x:is>
          <x:t xml:space="preserve">Плёнка как многослойный светочувствительный материал</x:t>
        </x:is>
      </x:c>
      <x:c r="L112" s="49" t="inlineStr">
        <x:is>
          <x:t xml:space="preserve">Скрытое изображение и проявление металлического серебра</x:t>
        </x:is>
      </x:c>
      <x:c r="M112" s="49" t="inlineStr">
        <x:is>
          <x:t xml:space="preserve">Главная линия</x:t>
        </x:is>
      </x:c>
      <x:c r="N112" s="49" t="n">
        <x:v>5</x:v>
      </x:c>
      <x:c r="O112" s="49" t="inlineStr">
        <x:is>
          <x:t xml:space="preserve">PL-012</x:t>
        </x:is>
      </x:c>
      <x:c r="P112" s="49" t="inlineStr">
        <x:is>
          <x:t xml:space="preserve">SRC-076</x:t>
        </x:is>
      </x:c>
      <x:c r="Q112" s="49" t="inlineStr">
        <x:is>
          <x:t xml:space="preserve">Library of Congress — Appendix G Glossary</x:t>
        </x:is>
      </x:c>
      <x:c r="R112" s="49" t="inlineStr">
        <x:is>
          <x:t xml:space="preserve">https://www.loc.gov/catdir/cpso/app-glos.html</x:t>
        </x:is>
      </x:c>
      <x:c r="S112" s="49" t="n">
        <x:v>5</x:v>
      </x:c>
      <x:c r="T112" s="49" t="inlineStr">
        <x:is>
          <x:t xml:space="preserve">Для новичка: эмульсия — это не «молочко» и не абстракция, а конкретный слой, где живёт будущий кадр.</x:t>
        </x:is>
      </x:c>
      <x:c r="U112" s="49" t="inlineStr">
        <x:is>
          <x:t xml:space="preserve">Поперечный разрез плёнки: основа + эмульсия + кристаллы.</x:t>
        </x:is>
      </x:c>
      <x:c r="V112" s="49" t="inlineStr">
        <x:is>
          <x:t xml:space="preserve">#PL012 #emulsion #gelatin #silver-salts #film-layer</x:t>
        </x:is>
      </x:c>
      <x:c r="W112" s="49" t="n"/>
      <x:c r="X112" s="49" t="n"/>
      <x:c r="Y112" s="49" t="inlineStr">
        <x:is>
          <x:t xml:space="preserve">Эмульсия / определение</x:t>
        </x:is>
      </x:c>
      <x:c r="Z112" s="49" t="inlineStr">
        <x:is>
          <x:t xml:space="preserve">Технология / процесс</x:t>
        </x:is>
      </x:c>
      <x:c r="AA112" s="49" t="inlineStr">
        <x:is>
          <x:t xml:space="preserve">нет</x:t>
        </x:is>
      </x:c>
    </x:row>
    <x:row r="113" s="46" customFormat="1" ht="17" customHeight="1">
      <x:c r="A113" s="49" t="inlineStr">
        <x:is>
          <x:t xml:space="preserve">PL-HIST-0112</x:t>
        </x:is>
      </x:c>
      <x:c r="B113" s="49" t="inlineStr">
        <x:is>
          <x:t xml:space="preserve">XIX–XX век</x:t>
        </x:is>
      </x:c>
      <x:c r="C113" s="49" t="inlineStr">
        <x:is>
          <x:t xml:space="preserve">диапазон</x:t>
        </x:is>
      </x:c>
      <x:c r="D113" s="49" t="inlineStr">
        <x:is>
          <x:t xml:space="preserve">Глобально</x:t>
        </x:is>
      </x:c>
      <x:c r="E113" s="49" t="inlineStr">
        <x:is>
          <x:t xml:space="preserve">распределённый технический принцип</x:t>
        </x:is>
      </x:c>
      <x:c r="F113" s="49" t="inlineStr">
        <x:is>
          <x:t xml:space="preserve">Архивисты и производители фотоматериалов</x:t>
        </x:is>
      </x:c>
      <x:c r="G113" s="49" t="inlineStr">
        <x:is>
          <x:t xml:space="preserve">Фотографический объект можно описать как систему слоёв: поддержка, связующий/эмульсионный слой и финальный материал изображения.</x:t>
        </x:is>
      </x:c>
      <x:c r="H113" s="49" t="inlineStr">
        <x:is>
          <x:t xml:space="preserve">Фотохимия</x:t>
        </x:is>
      </x:c>
      <x:c r="I113" s="49" t="inlineStr">
        <x:is>
          <x:t xml:space="preserve">Support + binder/emulsion + final image material</x:t>
        </x:is>
      </x:c>
      <x:c r="J113" s="49" t="inlineStr">
        <x:is>
          <x:t xml:space="preserve">Фотография перестаёт быть только «снимком»: её можно читать как физический объект со слоями, каждый из которых влияет на вид и сохранность.</x:t>
        </x:is>
      </x:c>
      <x:c r="K113" s="49" t="inlineStr">
        <x:is>
          <x:t xml:space="preserve">Плёнка как основа и эмульсия как светочувствительный слой</x:t>
        </x:is>
      </x:c>
      <x:c r="L113" s="49" t="inlineStr">
        <x:is>
          <x:t xml:space="preserve">Понимание хранения, проявления и разрушения фотографического изображения</x:t>
        </x:is>
      </x:c>
      <x:c r="M113" s="49" t="inlineStr">
        <x:is>
          <x:t xml:space="preserve">Главная линия</x:t>
        </x:is>
      </x:c>
      <x:c r="N113" s="49" t="n">
        <x:v>4</x:v>
      </x:c>
      <x:c r="O113" s="49" t="inlineStr">
        <x:is>
          <x:t xml:space="preserve">PL-012</x:t>
        </x:is>
      </x:c>
      <x:c r="P113" s="49" t="inlineStr">
        <x:is>
          <x:t xml:space="preserve">SRC-077</x:t>
        </x:is>
      </x:c>
      <x:c r="Q113" s="49" t="inlineStr">
        <x:is>
          <x:t xml:space="preserve">Library of Congress — Care, Handling, and Storage of Photographs</x:t>
        </x:is>
      </x:c>
      <x:c r="R113" s="49" t="inlineStr">
        <x:is>
          <x:t xml:space="preserve">https://www.loc.gov/preservation/care/photolea.html</x:t>
        </x:is>
      </x:c>
      <x:c r="S113" s="49" t="n">
        <x:v>5</x:v>
      </x:c>
      <x:c r="T113" s="49" t="inlineStr">
        <x:is>
          <x:t xml:space="preserve">Это хорошо объясняет, почему плёнка, бумага и стеклянная пластина могут быть разными основами, но логика эмульсии остаётся общей.</x:t>
        </x:is>
      </x:c>
      <x:c r="U113" s="49" t="inlineStr">
        <x:is>
          <x:t xml:space="preserve">Схема трёх слоёв: support / binder / image material.</x:t>
        </x:is>
      </x:c>
      <x:c r="V113" s="49" t="inlineStr">
        <x:is>
          <x:t xml:space="preserve">#PL012 #support #binder #image-material #conservation</x:t>
        </x:is>
      </x:c>
      <x:c r="W113" s="49" t="n"/>
      <x:c r="X113" s="49" t="n"/>
      <x:c r="Y113" s="49" t="inlineStr">
        <x:is>
          <x:t xml:space="preserve">Эмульсия / слои фотографического объекта</x:t>
        </x:is>
      </x:c>
      <x:c r="Z113" s="49" t="inlineStr">
        <x:is>
          <x:t xml:space="preserve">Фундаментальная предпосылка</x:t>
        </x:is>
      </x:c>
      <x:c r="AA113" s="49" t="inlineStr">
        <x:is>
          <x:t xml:space="preserve">нет</x:t>
        </x:is>
      </x:c>
    </x:row>
    <x:row r="114" s="46" customFormat="1" ht="17" customHeight="1">
      <x:c r="A114" s="49" t="inlineStr">
        <x:is>
          <x:t xml:space="preserve">PL-HIST-0113</x:t>
        </x:is>
      </x:c>
      <x:c r="B114" s="49" t="inlineStr">
        <x:is>
          <x:t xml:space="preserve">технический принцип</x:t>
        </x:is>
      </x:c>
      <x:c r="C114" s="49" t="inlineStr">
        <x:is>
          <x:t xml:space="preserve">примерно</x:t>
        </x:is>
      </x:c>
      <x:c r="D114" s="49" t="inlineStr">
        <x:is>
          <x:t xml:space="preserve">Глобально</x:t>
        </x:is>
      </x:c>
      <x:c r="E114" s="49" t="inlineStr">
        <x:is>
          <x:t xml:space="preserve">распределённый технический принцип</x:t>
        </x:is>
      </x:c>
      <x:c r="F114" s="49" t="inlineStr">
        <x:is>
          <x:t xml:space="preserve">Фотохимики серебряно-желатинового процесса</x:t>
        </x:is>
      </x:c>
      <x:c r="G114" s="49" t="inlineStr">
        <x:is>
          <x:t xml:space="preserve">Кристаллы галогенидов серебра в желатине реагируют на свет и формируют невидимое скрытое изображение.</x:t>
        </x:is>
      </x:c>
      <x:c r="H114" s="49" t="inlineStr">
        <x:is>
          <x:t xml:space="preserve">Фотохимия</x:t>
        </x:is>
      </x:c>
      <x:c r="I114" s="49" t="inlineStr">
        <x:is>
          <x:t xml:space="preserve">Silver halide crystals / latent image</x:t>
        </x:is>
      </x:c>
      <x:c r="J114" s="49" t="inlineStr">
        <x:is>
          <x:t xml:space="preserve">Кадр появляется не сразу: свет создаёт в эмульсии невидимый след, который нужно проявить.</x:t>
        </x:is>
      </x:c>
      <x:c r="K114" s="49" t="inlineStr">
        <x:is>
          <x:t xml:space="preserve">Эмульсия как слой желатина и серебряных солей</x:t>
        </x:is>
      </x:c>
      <x:c r="L114" s="49" t="inlineStr">
        <x:is>
          <x:t xml:space="preserve">Проявитель превращает скрытый след в видимое металлическое серебро</x:t>
        </x:is>
      </x:c>
      <x:c r="M114" s="49" t="inlineStr">
        <x:is>
          <x:t xml:space="preserve">Главная линия</x:t>
        </x:is>
      </x:c>
      <x:c r="N114" s="49" t="n">
        <x:v>5</x:v>
      </x:c>
      <x:c r="O114" s="49" t="inlineStr">
        <x:is>
          <x:t xml:space="preserve">PL-012</x:t>
        </x:is>
      </x:c>
      <x:c r="P114" s="49" t="inlineStr">
        <x:is>
          <x:t xml:space="preserve">SRC-073</x:t>
        </x:is>
      </x:c>
      <x:c r="Q114" s="49" t="inlineStr">
        <x:is>
          <x:t xml:space="preserve">Kodak — Essential Reference Guide for Filmmakers</x:t>
        </x:is>
      </x:c>
      <x:c r="R114" s="49" t="inlineStr">
        <x:is>
          <x:t xml:space="preserve">https://www.kodak.com/content/products-brochures/Film/kodak-essential-reference-guide-for-filmmakers.pdf</x:t>
        </x:is>
      </x:c>
      <x:c r="S114" s="49" t="n">
        <x:v>5</x:v>
      </x:c>
      <x:c r="T114" s="49" t="inlineStr">
        <x:is>
          <x:t xml:space="preserve">Главная фраза урока: фотография на плёнке сначала становится невидимой.</x:t>
        </x:is>
      </x:c>
      <x:c r="U114" s="49" t="inlineStr">
        <x:is>
          <x:t xml:space="preserve">Микроскопический визуал: кристалл галогенида серебра ловит фотон и хранит скрытый след.</x:t>
        </x:is>
      </x:c>
      <x:c r="V114" s="49" t="inlineStr">
        <x:is>
          <x:t xml:space="preserve">#PL012 #silver-halide #latent-image #photochemistry</x:t>
        </x:is>
      </x:c>
      <x:c r="W114" s="49" t="n"/>
      <x:c r="X114" s="49" t="n"/>
      <x:c r="Y114" s="49" t="inlineStr">
        <x:is>
          <x:t xml:space="preserve">Эмульсия / скрытое изображение</x:t>
        </x:is>
      </x:c>
      <x:c r="Z114" s="49" t="inlineStr">
        <x:is>
          <x:t xml:space="preserve">Технология / процесс</x:t>
        </x:is>
      </x:c>
      <x:c r="AA114" s="49" t="inlineStr">
        <x:is>
          <x:t xml:space="preserve">нет</x:t>
        </x:is>
      </x:c>
    </x:row>
    <x:row r="115" s="46" customFormat="1" ht="17" customHeight="1">
      <x:c r="A115" s="49" t="inlineStr">
        <x:is>
          <x:t xml:space="preserve">PL-HIST-0114</x:t>
        </x:is>
      </x:c>
      <x:c r="B115" s="49" t="inlineStr">
        <x:is>
          <x:t xml:space="preserve">технический принцип</x:t>
        </x:is>
      </x:c>
      <x:c r="C115" s="49" t="inlineStr">
        <x:is>
          <x:t xml:space="preserve">примерно</x:t>
        </x:is>
      </x:c>
      <x:c r="D115" s="49" t="inlineStr">
        <x:is>
          <x:t xml:space="preserve">Глобально</x:t>
        </x:is>
      </x:c>
      <x:c r="E115" s="49" t="inlineStr">
        <x:is>
          <x:t xml:space="preserve">тёмная комната / лаборатория</x:t>
        </x:is>
      </x:c>
      <x:c r="F115" s="49" t="inlineStr">
        <x:is>
          <x:t xml:space="preserve">Фотографы и лаборатории</x:t>
        </x:is>
      </x:c>
      <x:c r="G115" s="49" t="inlineStr">
        <x:is>
          <x:t xml:space="preserve">Проявитель восстанавливает экспонированные галогениды серебра до металлического серебра, делая скрытое изображение видимым.</x:t>
        </x:is>
      </x:c>
      <x:c r="H115" s="49" t="inlineStr">
        <x:is>
          <x:t xml:space="preserve">Фотохимия</x:t>
        </x:is>
      </x:c>
      <x:c r="I115" s="49" t="inlineStr">
        <x:is>
          <x:t xml:space="preserve">Chemical development / metallic silver</x:t>
        </x:is>
      </x:c>
      <x:c r="J115" s="49" t="inlineStr">
        <x:is>
          <x:t xml:space="preserve">Проявление — это усиление невидимого следа: слабое действие света превращается в видимый тональный рисунок.</x:t>
        </x:is>
      </x:c>
      <x:c r="K115" s="49" t="inlineStr">
        <x:is>
          <x:t xml:space="preserve">Скрытое изображение в кристаллах серебряных солей</x:t>
        </x:is>
      </x:c>
      <x:c r="L115" s="49" t="inlineStr">
        <x:is>
          <x:t xml:space="preserve">Остановка, фиксация и промывка делают изображение устойчивым</x:t>
        </x:is>
      </x:c>
      <x:c r="M115" s="49" t="inlineStr">
        <x:is>
          <x:t xml:space="preserve">Главная линия</x:t>
        </x:is>
      </x:c>
      <x:c r="N115" s="49" t="n">
        <x:v>5</x:v>
      </x:c>
      <x:c r="O115" s="49" t="inlineStr">
        <x:is>
          <x:t xml:space="preserve">PL-012</x:t>
        </x:is>
      </x:c>
      <x:c r="P115" s="49" t="inlineStr">
        <x:is>
          <x:t xml:space="preserve">SRC-073</x:t>
        </x:is>
      </x:c>
      <x:c r="Q115" s="49" t="inlineStr">
        <x:is>
          <x:t xml:space="preserve">Kodak — Essential Reference Guide for Filmmakers</x:t>
        </x:is>
      </x:c>
      <x:c r="R115" s="49" t="inlineStr">
        <x:is>
          <x:t xml:space="preserve">https://www.kodak.com/content/products-brochures/Film/kodak-essential-reference-guide-for-filmmakers.pdf</x:t>
        </x:is>
      </x:c>
      <x:c r="S115" s="49" t="n">
        <x:v>5</x:v>
      </x:c>
      <x:c r="T115" s="49" t="inlineStr">
        <x:is>
          <x:t xml:space="preserve">Очень важное объяснение: плёнка не «показывает» изображение сама — его раскрывает химия.</x:t>
        </x:is>
      </x:c>
      <x:c r="U115" s="49" t="inlineStr">
        <x:is>
          <x:t xml:space="preserve">Тёмная кювета: невидимое изображение постепенно появляется в проявителе.</x:t>
        </x:is>
      </x:c>
      <x:c r="V115" s="49" t="inlineStr">
        <x:is>
          <x:t xml:space="preserve">#PL012 #developer #metallic-silver #darkroom</x:t>
        </x:is>
      </x:c>
      <x:c r="W115" s="49" t="n"/>
      <x:c r="X115" s="49" t="n"/>
      <x:c r="Y115" s="49" t="inlineStr">
        <x:is>
          <x:t xml:space="preserve">Эмульсия / проявление</x:t>
        </x:is>
      </x:c>
      <x:c r="Z115" s="49" t="inlineStr">
        <x:is>
          <x:t xml:space="preserve">Технология / процесс</x:t>
        </x:is>
      </x:c>
      <x:c r="AA115" s="49" t="inlineStr">
        <x:is>
          <x:t xml:space="preserve">нет</x:t>
        </x:is>
      </x:c>
    </x:row>
    <x:row r="116" s="46" customFormat="1" ht="17" customHeight="1">
      <x:c r="A116" s="49" t="inlineStr">
        <x:is>
          <x:t xml:space="preserve">PL-HIST-0115</x:t>
        </x:is>
      </x:c>
      <x:c r="B116" s="49" t="inlineStr">
        <x:is>
          <x:t xml:space="preserve">технический принцип</x:t>
        </x:is>
      </x:c>
      <x:c r="C116" s="49" t="inlineStr">
        <x:is>
          <x:t xml:space="preserve">примерно</x:t>
        </x:is>
      </x:c>
      <x:c r="D116" s="49" t="inlineStr">
        <x:is>
          <x:t xml:space="preserve">Глобально</x:t>
        </x:is>
      </x:c>
      <x:c r="E116" s="49" t="inlineStr">
        <x:is>
          <x:t xml:space="preserve">тёмная комната / лаборатория</x:t>
        </x:is>
      </x:c>
      <x:c r="F116" s="49" t="inlineStr">
        <x:is>
          <x:t xml:space="preserve">Фотографы и лаборатории</x:t>
        </x:is>
      </x:c>
      <x:c r="G116" s="49" t="inlineStr">
        <x:is>
          <x:t xml:space="preserve">Фиксаж удаляет неэкспонированные и непроявленные галогениды серебра, чтобы изображение больше не продолжало темнеть на свету.</x:t>
        </x:is>
      </x:c>
      <x:c r="H116" s="49" t="inlineStr">
        <x:is>
          <x:t xml:space="preserve">Фиксаж / терминология</x:t>
        </x:is>
      </x:c>
      <x:c r="I116" s="49" t="inlineStr">
        <x:is>
          <x:t xml:space="preserve">Fixing / removing unexposed silver halides</x:t>
        </x:is>
      </x:c>
      <x:c r="J116" s="49" t="inlineStr">
        <x:is>
          <x:t xml:space="preserve">Фотография становится устойчивой не только благодаря проявлению, но и благодаря удалению лишней светочувствительной химии.</x:t>
        </x:is>
      </x:c>
      <x:c r="K116" s="49" t="inlineStr">
        <x:is>
          <x:t xml:space="preserve">Проявление делает скрытое изображение видимым</x:t>
        </x:is>
      </x:c>
      <x:c r="L116" s="49" t="inlineStr">
        <x:is>
          <x:t xml:space="preserve">Промывка, сушка и долговременная сохранность серебряного изображения</x:t>
        </x:is>
      </x:c>
      <x:c r="M116" s="49" t="inlineStr">
        <x:is>
          <x:t xml:space="preserve">Главная линия</x:t>
        </x:is>
      </x:c>
      <x:c r="N116" s="49" t="n">
        <x:v>5</x:v>
      </x:c>
      <x:c r="O116" s="49" t="inlineStr">
        <x:is>
          <x:t xml:space="preserve">PL-012</x:t>
        </x:is>
      </x:c>
      <x:c r="P116" s="49" t="inlineStr">
        <x:is>
          <x:t xml:space="preserve">SRC-079</x:t>
        </x:is>
      </x:c>
      <x:c r="Q116" s="49" t="inlineStr">
        <x:is>
          <x:t xml:space="preserve">HNOC — Gelatin Silver Developing-Out Paper Process</x:t>
        </x:is>
      </x:c>
      <x:c r="R116" s="49" t="inlineStr">
        <x:is>
          <x:t xml:space="preserve">https://hnoc.org/virtual-exhibitions/from_daguerreotype_to_digital/gelatin-silver-developing-out-paper-process</x:t>
        </x:is>
      </x:c>
      <x:c r="S116" s="49" t="n">
        <x:v>5</x:v>
      </x:c>
      <x:c r="T116" s="49" t="inlineStr">
        <x:is>
          <x:t xml:space="preserve">Формула для урока: проявитель показывает изображение, фиксаж останавливает материал.</x:t>
        </x:is>
      </x:c>
      <x:c r="U116" s="49" t="inlineStr">
        <x:is>
          <x:t xml:space="preserve">Иконка замка на эмульсионном слое после фиксации.</x:t>
        </x:is>
      </x:c>
      <x:c r="V116" s="49" t="inlineStr">
        <x:is>
          <x:t xml:space="preserve">#PL012 #fixer #hypo #silver-halide #permanence</x:t>
        </x:is>
      </x:c>
      <x:c r="W116" s="49" t="n"/>
      <x:c r="X116" s="49" t="n"/>
      <x:c r="Y116" s="49" t="inlineStr">
        <x:is>
          <x:t xml:space="preserve">Эмульсия / фиксация</x:t>
        </x:is>
      </x:c>
      <x:c r="Z116" s="49" t="inlineStr">
        <x:is>
          <x:t xml:space="preserve">Технология / процесс</x:t>
        </x:is>
      </x:c>
      <x:c r="AA116" s="49" t="inlineStr">
        <x:is>
          <x:t xml:space="preserve">нет</x:t>
        </x:is>
      </x:c>
    </x:row>
    <x:row r="117" s="46" customFormat="1" ht="17" customHeight="1">
      <x:c r="A117" s="49" t="inlineStr">
        <x:is>
          <x:t xml:space="preserve">PL-HIST-0116</x:t>
        </x:is>
      </x:c>
      <x:c r="B117" s="49" t="inlineStr">
        <x:is>
          <x:t xml:space="preserve">1878</x:t>
        </x:is>
      </x:c>
      <x:c r="C117" s="49" t="inlineStr">
        <x:is>
          <x:t xml:space="preserve">год</x:t>
        </x:is>
      </x:c>
      <x:c r="D117" s="49" t="inlineStr">
        <x:is>
          <x:t xml:space="preserve">Великобритания</x:t>
        </x:is>
      </x:c>
      <x:c r="E117" s="49" t="inlineStr">
        <x:is>
          <x:t xml:space="preserve">Лондон</x:t>
        </x:is>
      </x:c>
      <x:c r="F117" s="49" t="inlineStr">
        <x:is>
          <x:t xml:space="preserve">Чарльз Харпер Беннетт</x:t>
        </x:is>
      </x:c>
      <x:c r="G117" s="49" t="inlineStr">
        <x:is>
          <x:t xml:space="preserve">Улучшает желатиновую эмульсию длительным нагреванием/созреванием, что резко повышает её светочувствительность.</x:t>
        </x:is>
      </x:c>
      <x:c r="H117" s="49" t="inlineStr">
        <x:is>
          <x:t xml:space="preserve">Фотохимия</x:t>
        </x:is>
      </x:c>
      <x:c r="I117" s="49" t="inlineStr">
        <x:is>
          <x:t xml:space="preserve">Emulsion ripening / increased sensitivity</x:t>
        </x:is>
      </x:c>
      <x:c r="J117" s="49" t="inlineStr">
        <x:is>
          <x:t xml:space="preserve">Скорость материала начинает зависеть не только от камеры и света, но и от внутренней структуры эмульсии.</x:t>
        </x:is>
      </x:c>
      <x:c r="K117" s="49" t="inlineStr">
        <x:is>
          <x:t xml:space="preserve">Желатино-бромидная эмульсия Мэддокса 1871</x:t>
        </x:is>
      </x:c>
      <x:c r="L117" s="49" t="inlineStr">
        <x:is>
          <x:t xml:space="preserve">Более быстрые сухие пластины, моментальная съёмка и дальнейшее развитие чувствительных плёнок</x:t>
        </x:is>
      </x:c>
      <x:c r="M117" s="49" t="inlineStr">
        <x:is>
          <x:t xml:space="preserve">Главная линия</x:t>
        </x:is>
      </x:c>
      <x:c r="N117" s="49" t="n">
        <x:v>4</x:v>
      </x:c>
      <x:c r="O117" s="49" t="inlineStr">
        <x:is>
          <x:t xml:space="preserve">PL-012</x:t>
        </x:is>
      </x:c>
      <x:c r="P117" s="49" t="inlineStr">
        <x:is>
          <x:t xml:space="preserve">SRC-083</x:t>
        </x:is>
      </x:c>
      <x:c r="Q117" s="49" t="inlineStr">
        <x:is>
          <x:t xml:space="preserve">Conservation Wiki — Gelatin Dry-plate Negative</x:t>
        </x:is>
      </x:c>
      <x:c r="R117" s="49" t="inlineStr">
        <x:is>
          <x:t xml:space="preserve">https://conservation-wiki.com/wiki/Gelatin_Dry-plate_Negative</x:t>
        </x:is>
      </x:c>
      <x:c r="S117" s="49" t="n">
        <x:v>4</x:v>
      </x:c>
      <x:c r="T117" s="49" t="inlineStr">
        <x:is>
          <x:t xml:space="preserve">В PL-006 Беннетт был про мобильность; в PL-012 он важен как пример того, что свойства кадра задаются самой эмульсией.</x:t>
        </x:is>
      </x:c>
      <x:c r="U117" s="49" t="inlineStr">
        <x:is>
          <x:t xml:space="preserve">Кристаллы эмульсии как «зёрна», которые после созревания становятся чувствительнее.</x:t>
        </x:is>
      </x:c>
      <x:c r="V117" s="49" t="inlineStr">
        <x:is>
          <x:t xml:space="preserve">#PL012 #Bennett #emulsion-ripening #sensitivity</x:t>
        </x:is>
      </x:c>
      <x:c r="W117" s="49" t="inlineStr">
        <x:is>
          <x:t xml:space="preserve">По возможности заменить на музейный/первичный источник по Bennett 1878.</x:t>
        </x:is>
      </x:c>
      <x:c r="X117" s="49" t="inlineStr">
        <x:is>
          <x:t xml:space="preserve">51.5074, -0.1278</x:t>
        </x:is>
      </x:c>
      <x:c r="Y117" s="49" t="inlineStr">
        <x:is>
          <x:t xml:space="preserve">Эмульсия / повышение чувствительности</x:t>
        </x:is>
      </x:c>
      <x:c r="Z117" s="49" t="inlineStr">
        <x:is>
          <x:t xml:space="preserve">Технология / процесс</x:t>
        </x:is>
      </x:c>
      <x:c r="AA117" s="49" t="inlineStr">
        <x:is>
          <x:t xml:space="preserve">нет</x:t>
        </x:is>
      </x:c>
    </x:row>
    <x:row r="118" s="46" customFormat="1" ht="17" customHeight="1">
      <x:c r="A118" s="49" t="inlineStr">
        <x:is>
          <x:t xml:space="preserve">PL-HIST-0117</x:t>
        </x:is>
      </x:c>
      <x:c r="B118" s="49" t="inlineStr">
        <x:is>
          <x:t xml:space="preserve">1880-е–1890-е</x:t>
        </x:is>
      </x:c>
      <x:c r="C118" s="49" t="inlineStr">
        <x:is>
          <x:t xml:space="preserve">диапазон</x:t>
        </x:is>
      </x:c>
      <x:c r="D118" s="49" t="inlineStr">
        <x:is>
          <x:t xml:space="preserve">Европа / США</x:t>
        </x:is>
      </x:c>
      <x:c r="E118" s="49" t="inlineStr">
        <x:is>
          <x:t xml:space="preserve">производственные центры</x:t>
        </x:is>
      </x:c>
      <x:c r="F118" s="49" t="inlineStr">
        <x:is>
          <x:t xml:space="preserve">Производители фотопластин, плёнки и фотобумаги</x:t>
        </x:is>
      </x:c>
      <x:c r="G118" s="49" t="inlineStr">
        <x:is>
          <x:t xml:space="preserve">Стандартизированное нанесение светочувствительной эмульсии на стекло, плёнку и бумагу делает фотоматериал более предсказуемым и массовым.</x:t>
        </x:is>
      </x:c>
      <x:c r="H118" s="49" t="inlineStr">
        <x:is>
          <x:t xml:space="preserve">Негатив-позитив</x:t>
        </x:is>
      </x:c>
      <x:c r="I118" s="49" t="inlineStr">
        <x:is>
          <x:t xml:space="preserve">Factory-coated silver gelatin materials</x:t>
        </x:is>
      </x:c>
      <x:c r="J118" s="49" t="inlineStr">
        <x:is>
          <x:t xml:space="preserve">Фотограф всё меньше зависит от самостоятельного приготовления слоя: качество изображения всё сильнее переносится на фабричную эмульсию.</x:t>
        </x:is>
      </x:c>
      <x:c r="K118" s="49" t="inlineStr">
        <x:is>
          <x:t xml:space="preserve">Сухие пластины и рулонная плёнка</x:t>
        </x:is>
      </x:c>
      <x:c r="L118" s="49" t="inlineStr">
        <x:is>
          <x:t xml:space="preserve">Массовая плёнка, фотобумага, любительская и профессиональная лаборатория XX века</x:t>
        </x:is>
      </x:c>
      <x:c r="M118" s="49" t="inlineStr">
        <x:is>
          <x:t xml:space="preserve">Распространение / коммерциализация</x:t>
        </x:is>
      </x:c>
      <x:c r="N118" s="49" t="n">
        <x:v>4</x:v>
      </x:c>
      <x:c r="O118" s="49" t="inlineStr">
        <x:is>
          <x:t xml:space="preserve">PL-012</x:t>
        </x:is>
      </x:c>
      <x:c r="P118" s="49" t="inlineStr">
        <x:is>
          <x:t xml:space="preserve">SRC-078</x:t>
        </x:is>
      </x:c>
      <x:c r="Q118" s="49" t="inlineStr">
        <x:is>
          <x:t xml:space="preserve">National Gallery of Art — Stieglitz's Practices and Processes</x:t>
        </x:is>
      </x:c>
      <x:c r="R118" s="49" t="inlineStr">
        <x:is>
          <x:t xml:space="preserve">https://www.nga.gov/research/publications/alfred-stieglitz-key-set/stieglitzs-practices-and-processes</x:t>
        </x:is>
      </x:c>
      <x:c r="S118" s="49" t="n">
        <x:v>4</x:v>
      </x:c>
      <x:c r="T118" s="49" t="inlineStr">
        <x:is>
          <x:t xml:space="preserve">Это мост от химии к индустрии: эмульсия становится производственным стандартом.</x:t>
        </x:is>
      </x:c>
      <x:c r="U118" s="49" t="inlineStr">
        <x:is>
          <x:t xml:space="preserve">Фабричная линия покрытия: равномерная полоса эмульсии на основе.</x:t>
        </x:is>
      </x:c>
      <x:c r="V118" s="49" t="inlineStr">
        <x:is>
          <x:t xml:space="preserve">#PL012 #factory-coating #silver-gelatin #photographic-material</x:t>
        </x:is>
      </x:c>
      <x:c r="W118" s="49" t="inlineStr">
        <x:is>
          <x:t xml:space="preserve">Распределённый процесс: не ставить координату без конкретного завода.</x:t>
        </x:is>
      </x:c>
      <x:c r="X118" s="49" t="n"/>
      <x:c r="Y118" s="49" t="inlineStr">
        <x:is>
          <x:t xml:space="preserve">Эмульсия / фабричное нанесение</x:t>
        </x:is>
      </x:c>
      <x:c r="Z118" s="49" t="inlineStr">
        <x:is>
          <x:t xml:space="preserve">Распространение / коммерциализация</x:t>
        </x:is>
      </x:c>
      <x:c r="AA118" s="49" t="inlineStr">
        <x:is>
          <x:t xml:space="preserve">нет</x:t>
        </x:is>
      </x:c>
    </x:row>
    <x:row r="119" s="46" customFormat="1" ht="17" customHeight="1">
      <x:c r="A119" s="49" t="inlineStr">
        <x:is>
          <x:t xml:space="preserve">PL-HIST-0118</x:t>
        </x:is>
      </x:c>
      <x:c r="B119" s="49" t="inlineStr">
        <x:is>
          <x:t xml:space="preserve">1895</x:t>
        </x:is>
      </x:c>
      <x:c r="C119" s="49" t="inlineStr">
        <x:is>
          <x:t xml:space="preserve">год</x:t>
        </x:is>
      </x:c>
      <x:c r="D119" s="49" t="inlineStr">
        <x:is>
          <x:t xml:space="preserve">США</x:t>
        </x:is>
      </x:c>
      <x:c r="E119" s="49" t="inlineStr">
        <x:is>
          <x:t xml:space="preserve">Новый Орлеан (источник HNOC; процесс глобальный)</x:t>
        </x:is>
      </x:c>
      <x:c r="F119" s="49" t="inlineStr">
        <x:is>
          <x:t xml:space="preserve">Производители gelatin silver DOP papers</x:t>
        </x:is>
      </x:c>
      <x:c r="G119" s="49" t="inlineStr">
        <x:is>
          <x:t xml:space="preserve">Желатино-серебряные developing-out papers становятся удобным и стабильным процессом печати, доминирующим в XX веке.</x:t>
        </x:is>
      </x:c>
      <x:c r="H119" s="49" t="inlineStr">
        <x:is>
          <x:t xml:space="preserve">Печать / тиражирование</x:t>
        </x:is>
      </x:c>
      <x:c r="I119" s="49" t="inlineStr">
        <x:is>
          <x:t xml:space="preserve">Gelatin silver developing-out paper</x:t>
        </x:is>
      </x:c>
      <x:c r="J119" s="49" t="inlineStr">
        <x:is>
          <x:t xml:space="preserve">Та же логика эмульсии работает не только в негативе, но и в бумажной печати: скрытое изображение проявляется химически.</x:t>
        </x:is>
      </x:c>
      <x:c r="K119" s="49" t="inlineStr">
        <x:is>
          <x:t xml:space="preserve">Желатино-серебряные эмульсии на стекле и плёнке</x:t>
        </x:is>
      </x:c>
      <x:c r="L119" s="49" t="inlineStr">
        <x:is>
          <x:t xml:space="preserve">Чёрно-белая фотопечать XX века и лабораторная культура</x:t>
        </x:is>
      </x:c>
      <x:c r="M119" s="49" t="inlineStr">
        <x:is>
          <x:t xml:space="preserve">Главная линия / временная доминирующая линия</x:t>
        </x:is>
      </x:c>
      <x:c r="N119" s="49" t="n">
        <x:v>4</x:v>
      </x:c>
      <x:c r="O119" s="49" t="inlineStr">
        <x:is>
          <x:t xml:space="preserve">PL-012</x:t>
        </x:is>
      </x:c>
      <x:c r="P119" s="49" t="inlineStr">
        <x:is>
          <x:t xml:space="preserve">SRC-079</x:t>
        </x:is>
      </x:c>
      <x:c r="Q119" s="49" t="inlineStr">
        <x:is>
          <x:t xml:space="preserve">HNOC — Gelatin Silver Developing-Out Paper Process</x:t>
        </x:is>
      </x:c>
      <x:c r="R119" s="49" t="inlineStr">
        <x:is>
          <x:t xml:space="preserve">https://hnoc.org/virtual-exhibitions/from_daguerreotype_to_digital/gelatin-silver-developing-out-paper-process</x:t>
        </x:is>
      </x:c>
      <x:c r="S119" s="49" t="n">
        <x:v>5</x:v>
      </x:c>
      <x:c r="T119" s="49" t="inlineStr">
        <x:is>
          <x:t xml:space="preserve">Важно: эмульсия — это не только плёнка, но и фотобумага. Негатив и отпечаток связаны одной химической логикой.</x:t>
        </x:is>
      </x:c>
      <x:c r="U119" s="49" t="inlineStr">
        <x:is>
          <x:t xml:space="preserve">Негатив в увеличителе проецирует свет на фотобумагу с эмульсией.</x:t>
        </x:is>
      </x:c>
      <x:c r="V119" s="49" t="inlineStr">
        <x:is>
          <x:t xml:space="preserve">#PL012 #gelatin-silver #DOP #photographic-paper #print</x:t>
        </x:is>
      </x:c>
      <x:c r="W119" s="49" t="inlineStr">
        <x:is>
          <x:t xml:space="preserve">Дата относится к распространению процесса; не привязывать событие к одному городу.</x:t>
        </x:is>
      </x:c>
      <x:c r="X119" s="49" t="n"/>
      <x:c r="Y119" s="49" t="inlineStr">
        <x:is>
          <x:t xml:space="preserve">Эмульсия / фотобумага и developing-out print</x:t>
        </x:is>
      </x:c>
      <x:c r="Z119" s="49" t="inlineStr">
        <x:is>
          <x:t xml:space="preserve">Тиражирование / публикация</x:t>
        </x:is>
      </x:c>
      <x:c r="AA119" s="49" t="inlineStr">
        <x:is>
          <x:t xml:space="preserve">нет</x:t>
        </x:is>
      </x:c>
    </x:row>
    <x:row r="120" s="46" customFormat="1" ht="17" customHeight="1">
      <x:c r="A120" s="49" t="inlineStr">
        <x:is>
          <x:t xml:space="preserve">PL-HIST-0119</x:t>
        </x:is>
      </x:c>
      <x:c r="B120" s="49" t="inlineStr">
        <x:is>
          <x:t xml:space="preserve">1906</x:t>
        </x:is>
      </x:c>
      <x:c r="C120" s="49" t="inlineStr">
        <x:is>
          <x:t xml:space="preserve">год</x:t>
        </x:is>
      </x:c>
      <x:c r="D120" s="49" t="inlineStr">
        <x:is>
          <x:t xml:space="preserve">Великобритания</x:t>
        </x:is>
      </x:c>
      <x:c r="E120" s="49" t="inlineStr">
        <x:is>
          <x:t xml:space="preserve">Кройдон / Лондон</x:t>
        </x:is>
      </x:c>
      <x:c r="F120" s="49" t="inlineStr">
        <x:is>
          <x:t xml:space="preserve">Wratten &amp; Wainwright / C. E. Kenneth Mees</x:t>
        </x:is>
      </x:c>
      <x:c r="G120" s="49" t="inlineStr">
        <x:is>
          <x:t xml:space="preserve">Коммерческие панхроматические пластины расширяют спектральную чувствительность эмульсии: материал начинает воспринимать весь видимый спектр.</x:t>
        </x:is>
      </x:c>
      <x:c r="H120" s="49" t="inlineStr">
        <x:is>
          <x:t xml:space="preserve">Цвет</x:t>
        </x:is>
      </x:c>
      <x:c r="I120" s="49" t="inlineStr">
        <x:is>
          <x:t xml:space="preserve">Panchromatic emulsion / sensitizing dyes</x:t>
        </x:is>
      </x:c>
      <x:c r="J120" s="49" t="inlineStr">
        <x:is>
          <x:t xml:space="preserve">Эмульсия начинает «видеть» цвета иначе: чёрно-белый снимок получает более естественное распределение тонов.</x:t>
        </x:is>
      </x:c>
      <x:c r="K120" s="49" t="inlineStr">
        <x:is>
          <x:t xml:space="preserve">Ранние эмульсии были сильнее чувствительны к синему и хуже передавали красный</x:t>
        </x:is>
      </x:c>
      <x:c r="L120" s="49" t="inlineStr">
        <x:is>
          <x:t xml:space="preserve">Панхроматическая плёнка, корректная тональная передача и путь к цветным процессам</x:t>
        </x:is>
      </x:c>
      <x:c r="M120" s="49" t="inlineStr">
        <x:is>
          <x:t xml:space="preserve">Главная линия</x:t>
        </x:is>
      </x:c>
      <x:c r="N120" s="49" t="n">
        <x:v>5</x:v>
      </x:c>
      <x:c r="O120" s="49" t="inlineStr">
        <x:is>
          <x:t xml:space="preserve">PL-012</x:t>
        </x:is>
      </x:c>
      <x:c r="P120" s="49" t="inlineStr">
        <x:is>
          <x:t xml:space="preserve">SRC-081</x:t>
        </x:is>
      </x:c>
      <x:c r="Q120" s="49" t="inlineStr">
        <x:is>
          <x:t xml:space="preserve">Science Museum Journal — Kenneth Mees, Eastman Kodak and the challenges of research</x:t>
        </x:is>
      </x:c>
      <x:c r="R120" s="49" t="inlineStr">
        <x:is>
          <x:t xml:space="preserve">https://journal.sciencemuseum.ac.uk/article/kenneth-mees-eastman-kodak/</x:t>
        </x:is>
      </x:c>
      <x:c r="S120" s="49" t="n">
        <x:v>4</x:v>
      </x:c>
      <x:c r="T120" s="49" t="inlineStr">
        <x:is>
          <x:t xml:space="preserve">Это сильный смысловой узел: эмульсия не просто чувствительная, у неё есть собственное «зрение».</x:t>
        </x:is>
      </x:c>
      <x:c r="U120" s="49" t="inlineStr">
        <x:is>
          <x:t xml:space="preserve">Спектр света входит в эмульсию; разные цвета превращаются в разные серые тона.</x:t>
        </x:is>
      </x:c>
      <x:c r="V120" s="49" t="inlineStr">
        <x:is>
          <x:t xml:space="preserve">#PL012 #panchromatic #Wratten #Mees #spectral-sensitivity</x:t>
        </x:is>
      </x:c>
      <x:c r="W120" s="49" t="inlineStr">
        <x:is>
          <x:t xml:space="preserve">Уточнить первичный источник по дате коммерческого выпуска первых панхроматических пластин.</x:t>
        </x:is>
      </x:c>
      <x:c r="X120" s="49" t="inlineStr">
        <x:is>
          <x:t xml:space="preserve">51.3762, -0.0982</x:t>
        </x:is>
      </x:c>
      <x:c r="Y120" s="49" t="inlineStr">
        <x:is>
          <x:t xml:space="preserve">Эмульсия / панхроматическая чувствительность</x:t>
        </x:is>
      </x:c>
      <x:c r="Z120" s="49" t="inlineStr">
        <x:is>
          <x:t xml:space="preserve">Технология / процесс</x:t>
        </x:is>
      </x:c>
      <x:c r="AA120" s="49" t="inlineStr">
        <x:is>
          <x:t xml:space="preserve">нет</x:t>
        </x:is>
      </x:c>
    </x:row>
    <x:row r="121" s="46" customFormat="1" ht="17" customHeight="1">
      <x:c r="A121" s="49" t="inlineStr">
        <x:is>
          <x:t xml:space="preserve">PL-HIST-0120</x:t>
        </x:is>
      </x:c>
      <x:c r="B121" s="49" t="inlineStr">
        <x:is>
          <x:t xml:space="preserve">XX век</x:t>
        </x:is>
      </x:c>
      <x:c r="C121" s="49" t="inlineStr">
        <x:is>
          <x:t xml:space="preserve">диапазон</x:t>
        </x:is>
      </x:c>
      <x:c r="D121" s="49" t="inlineStr">
        <x:is>
          <x:t xml:space="preserve">Глобально</x:t>
        </x:is>
      </x:c>
      <x:c r="E121" s="49" t="inlineStr">
        <x:is>
          <x:t xml:space="preserve">производители плёнки и фотоматериалов</x:t>
        </x:is>
      </x:c>
      <x:c r="F121" s="49" t="inlineStr">
        <x:is>
          <x:t xml:space="preserve">Kodak и другие производители плёнки</x:t>
        </x:is>
      </x:c>
      <x:c r="G121" s="49" t="inlineStr">
        <x:is>
          <x:t xml:space="preserve"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x:t>
        </x:is>
      </x:c>
      <x:c r="H121" s="49" t="inlineStr">
        <x:is>
          <x:t xml:space="preserve">Фотохимия</x:t>
        </x:is>
      </x:c>
      <x:c r="I121" s="49" t="inlineStr">
        <x:is>
          <x:t xml:space="preserve">Emulsion speed / grain / sensitometry</x:t>
        </x:is>
      </x:c>
      <x:c r="J121" s="49" t="inlineStr">
        <x:is>
          <x:t xml:space="preserve">Фотографические характеристики перестают быть загадкой: ISO, зерно и контраст можно объяснять через устройство эмульсии.</x:t>
        </x:is>
      </x:c>
      <x:c r="K121" s="49" t="inlineStr">
        <x:is>
          <x:t xml:space="preserve">Панхроматическая чувствительность и фабричное производство эмульсий</x:t>
        </x:is>
      </x:c>
      <x:c r="L121" s="49" t="inlineStr">
        <x:is>
          <x:t xml:space="preserve">Следующие уроки о ISO, зерне, широте и типах плёнки</x:t>
        </x:is>
      </x:c>
      <x:c r="M121" s="49" t="inlineStr">
        <x:is>
          <x:t xml:space="preserve">Главная линия</x:t>
        </x:is>
      </x:c>
      <x:c r="N121" s="49" t="n">
        <x:v>5</x:v>
      </x:c>
      <x:c r="O121" s="49" t="inlineStr">
        <x:is>
          <x:t xml:space="preserve">PL-012</x:t>
        </x:is>
      </x:c>
      <x:c r="P121" s="49" t="inlineStr">
        <x:is>
          <x:t xml:space="preserve">SRC-074</x:t>
        </x:is>
      </x:c>
      <x:c r="Q121" s="49" t="inlineStr">
        <x:is>
          <x:t xml:space="preserve">Kodak — Basic Sensitometry and Characteristics of Film</x:t>
        </x:is>
      </x:c>
      <x:c r="R121" s="49" t="inlineStr">
        <x:is>
          <x:t xml:space="preserve">https://www.kodak.com/uploadedfiles/motion/US_plugins_acrobat_en_motion_newsletters_filmEss_06_Characteristics_of_Film.pdf</x:t>
        </x:is>
      </x:c>
      <x:c r="S121" s="49" t="n">
        <x:v>5</x:v>
      </x:c>
      <x:c r="T121" s="49" t="inlineStr">
        <x:is>
          <x:t xml:space="preserve">Финальный мост PL-012: теперь можно объяснять, почему одна плёнка мелкозернистая, другая быстрая, третья контрастная.</x:t>
        </x:is>
      </x:c>
      <x:c r="U121" s="49" t="inlineStr">
        <x:is>
          <x:t xml:space="preserve">Микро-зёрна эмульсии разного размера → шкала ISO / зерно / контраст.</x:t>
        </x:is>
      </x:c>
      <x:c r="V121" s="49" t="inlineStr">
        <x:is>
          <x:t xml:space="preserve">#PL012 #film-speed #grain #sensitometry #ISO</x:t>
        </x:is>
      </x:c>
      <x:c r="W121" s="49" t="n"/>
      <x:c r="X121" s="49" t="n"/>
      <x:c r="Y121" s="49" t="inlineStr">
        <x:is>
          <x:t xml:space="preserve">Эмульсия / чувствительность и зерно</x:t>
        </x:is>
      </x:c>
      <x:c r="Z121" s="49" t="inlineStr">
        <x:is>
          <x:t xml:space="preserve">Связь / переход</x:t>
        </x:is>
      </x:c>
      <x:c r="AA121" s="49" t="inlineStr">
        <x:is>
          <x:t xml:space="preserve">нет</x:t>
        </x:is>
      </x:c>
    </x:row>
    <x:row r="122" s="46" customFormat="1" ht="17" customHeight="1">
      <x:c r="A122" s="49" t="inlineStr">
        <x:is>
          <x:t xml:space="preserve">PL-HIST-0121</x:t>
        </x:is>
      </x:c>
      <x:c r="B122" s="49" t="inlineStr">
        <x:is>
          <x:t xml:space="preserve">базовое понятие</x:t>
        </x:is>
      </x:c>
      <x:c r="C122" s="49" t="inlineStr">
        <x:is>
          <x:t xml:space="preserve">примерно</x:t>
        </x:is>
      </x:c>
      <x:c r="D122" s="49" t="inlineStr">
        <x:is>
          <x:t xml:space="preserve">глобально</x:t>
        </x:is>
      </x:c>
      <x:c r="E122" s="49" t="inlineStr">
        <x:is>
          <x:t xml:space="preserve">без единой точки</x:t>
        </x:is>
      </x:c>
      <x:c r="F122" s="49" t="inlineStr">
        <x:is>
          <x:t xml:space="preserve">Ранние исследователи фотографии</x:t>
        </x:is>
      </x:c>
      <x:c r="G122" s="49" t="inlineStr">
        <x:is>
          <x:t xml:space="preserve"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x:t>
        </x:is>
      </x:c>
      <x:c r="H122" s="49" t="inlineStr">
        <x:is>
          <x:t xml:space="preserve">Негатив-позитив</x:t>
        </x:is>
      </x:c>
      <x:c r="I122" s="49" t="inlineStr">
        <x:is>
          <x:t xml:space="preserve">Tonal inversion / reproducible matrix concept</x:t>
        </x:is>
      </x:c>
      <x:c r="J122" s="49" t="inlineStr">
        <x:is>
          <x:t xml:space="preserve"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x:t>
        </x:is>
      </x:c>
      <x:c r="K122" s="49" t="inlineStr">
        <x:is>
          <x:t xml:space="preserve">Знание о светочувствительности серебряных солей (опыты Веджвуда и Дэви) и потребность превратить случайный отпечаток в управляемый тираж</x:t>
        </x:is>
      </x:c>
      <x:c r="L122" s="49" t="inlineStr">
        <x:is>
          <x:t xml:space="preserve">Публичная гонка систем в январе 1839 года</x:t>
        </x:is>
      </x:c>
      <x:c r="M122" s="49" t="inlineStr">
        <x:is>
          <x:t xml:space="preserve">Главная линия</x:t>
        </x:is>
      </x:c>
      <x:c r="N122" s="49" t="n">
        <x:v>4</x:v>
      </x:c>
      <x:c r="O122" s="49" t="inlineStr">
        <x:is>
          <x:t xml:space="preserve">PL-013</x:t>
        </x:is>
      </x:c>
      <x:c r="P122" s="49" t="inlineStr">
        <x:is>
          <x:t xml:space="preserve">SRC-088</x:t>
        </x:is>
      </x:c>
      <x:c r="Q122" s="49" t="inlineStr">
        <x:is>
          <x:t xml:space="preserve">V&amp;A — A to Z of photographic processes</x:t>
        </x:is>
      </x:c>
      <x:c r="R122" s="49" t="inlineStr">
        <x:is>
          <x:t xml:space="preserve">https://www.vam.ac.uk/articles/photographic-processes</x:t>
        </x:is>
      </x:c>
      <x:c r="S122" s="49" t="n">
        <x:v>5</x:v>
      </x:c>
      <x:c r="T122" s="49" t="inlineStr">
        <x:is>
          <x:t xml:space="preserve">Стоит явно проговорить на уроке: «негатив» — не брак и не промежуточный мусор, а рабочий инструмент тиража.</x:t>
        </x:is>
      </x:c>
      <x:c r="U122" s="49" t="inlineStr">
        <x:is>
          <x:t xml:space="preserve">Один инвертированный по тону кадр в центре, от него — стрелки к нескольким одинаковым позитивным отпечаткам.</x:t>
        </x:is>
      </x:c>
      <x:c r="V122" s="49" t="inlineStr">
        <x:is>
          <x:t xml:space="preserve">#PL013 #negative-positive #concept #tonal-inversion</x:t>
        </x:is>
      </x:c>
      <x:c r="W122" s="49" t="n"/>
      <x:c r="X122" s="49" t="n"/>
      <x:c r="Y122" s="49" t="inlineStr">
        <x:is>
          <x:t xml:space="preserve">Негатив-позитив / базовое понятие</x:t>
        </x:is>
      </x:c>
      <x:c r="Z122" s="49" t="inlineStr">
        <x:is>
          <x:t xml:space="preserve">Фундаментальная предпосылка</x:t>
        </x:is>
      </x:c>
      <x:c r="AA122" s="49" t="n"/>
    </x:row>
    <x:row r="123" s="46" customFormat="1" ht="17" customHeight="1">
      <x:c r="A123" s="49" t="inlineStr">
        <x:is>
          <x:t xml:space="preserve">PL-HIST-0122</x:t>
        </x:is>
      </x:c>
      <x:c r="B123" s="49" t="inlineStr">
        <x:is>
          <x:t xml:space="preserve">январь 1839</x:t>
        </x:is>
      </x:c>
      <x:c r="C123" s="49" t="inlineStr">
        <x:is>
          <x:t xml:space="preserve">месяц</x:t>
        </x:is>
      </x:c>
      <x:c r="D123" s="49" t="inlineStr">
        <x:is>
          <x:t xml:space="preserve">Великобритания / Франция</x:t>
        </x:is>
      </x:c>
      <x:c r="E123" s="49" t="inlineStr">
        <x:is>
          <x:t xml:space="preserve">Лондон (Royal Institution) / Париж</x:t>
        </x:is>
      </x:c>
      <x:c r="F123" s="49" t="inlineStr">
        <x:is>
          <x:t xml:space="preserve">Уильям Генри Фокс Тальбот / Луи Дагер</x:t>
        </x:is>
      </x:c>
      <x:c r="G123" s="49" t="inlineStr">
        <x:is>
          <x:t xml:space="preserve"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x:t>
        </x:is>
      </x:c>
      <x:c r="H123" s="49" t="inlineStr">
        <x:is>
          <x:t xml:space="preserve">Негатив-позитив</x:t>
        </x:is>
      </x:c>
      <x:c r="I123" s="49" t="inlineStr">
        <x:is>
          <x:t xml:space="preserve">Photogenic drawing vs daguerreotype priority race</x:t>
        </x:is>
      </x:c>
      <x:c r="J123" s="49" t="inlineStr">
        <x:is>
          <x:t xml:space="preserve"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x:t>
        </x:is>
      </x:c>
      <x:c r="K123" s="49" t="inlineStr">
        <x:is>
          <x:t xml:space="preserve">Инверсия тонов как принцип и более ранние опыты Тальбота с фотогенными рисунками (с 1834 года)</x:t>
        </x:is>
      </x:c>
      <x:c r="L123" s="49" t="inlineStr">
        <x:is>
          <x:t xml:space="preserve">Патентные ограничения в Британии и дальнейшее развитие негативно-позитивного процесса</x:t>
        </x:is>
      </x:c>
      <x:c r="M123" s="49" t="inlineStr">
        <x:is>
          <x:t xml:space="preserve">Главная линия</x:t>
        </x:is>
      </x:c>
      <x:c r="N123" s="49" t="n">
        <x:v>5</x:v>
      </x:c>
      <x:c r="O123" s="49" t="inlineStr">
        <x:is>
          <x:t xml:space="preserve">PL-013</x:t>
        </x:is>
      </x:c>
      <x:c r="P123" s="49" t="inlineStr">
        <x:is>
          <x:t xml:space="preserve">SRC-094</x:t>
        </x:is>
      </x:c>
      <x:c r="Q123" s="49" t="inlineStr">
        <x:is>
          <x:t xml:space="preserve">The Met — William Henry Fox Talbot and the Invention of Photography</x:t>
        </x:is>
      </x:c>
      <x:c r="R123" s="49" t="inlineStr">
        <x:is>
          <x:t xml:space="preserve">https://www.metmuseum.org/essays/william-henry-fox-talbot-1800-1877-and-the-invention-of-photography</x:t>
        </x:is>
      </x:c>
      <x:c r="S123" s="49" t="n">
        <x:v>5</x:v>
      </x:c>
      <x:c r="T123" s="49" t="inlineStr">
        <x:is>
          <x:t xml:space="preserve"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x:t>
        </x:is>
      </x:c>
      <x:c r="U123" s="49" t="inlineStr">
        <x:is>
          <x:t xml:space="preserve">Лондон и Париж на карте, между ними — две расходящиеся стрелки: «один снимок навсегда» и «один негатив → много отпечатков».</x:t>
        </x:is>
      </x:c>
      <x:c r="V123" s="49" t="inlineStr">
        <x:is>
          <x:t xml:space="preserve">#PL013 #1839 #Talbot #Daguerre #priority-race #flagship</x:t>
        </x:is>
      </x:c>
      <x:c r="W123" s="49" t="n"/>
      <x:c r="X123" s="49" t="inlineStr">
        <x:is>
          <x:t xml:space="preserve">51.5074, -0.1278</x:t>
        </x:is>
      </x:c>
      <x:c r="Y123" s="49" t="inlineStr">
        <x:is>
          <x:t xml:space="preserve">Негатив-позитив / гонка систем 1839</x:t>
        </x:is>
      </x:c>
      <x:c r="Z123" s="49" t="inlineStr">
        <x:is>
          <x:t xml:space="preserve">Ключевой исторический узел</x:t>
        </x:is>
      </x:c>
      <x:c r="AA123" s="49" t="inlineStr">
        <x:is>
          <x:t xml:space="preserve">да</x:t>
        </x:is>
      </x:c>
    </x:row>
    <x:row r="124" s="46" customFormat="1" ht="17" customHeight="1">
      <x:c r="A124" s="49" t="inlineStr">
        <x:is>
          <x:t xml:space="preserve">PL-HIST-0123</x:t>
        </x:is>
      </x:c>
      <x:c r="B124" s="49" t="inlineStr">
        <x:is>
          <x:t xml:space="preserve">1841–1852</x:t>
        </x:is>
      </x:c>
      <x:c r="C124" s="49" t="inlineStr">
        <x:is>
          <x:t xml:space="preserve">диапазон</x:t>
        </x:is>
      </x:c>
      <x:c r="D124" s="49" t="inlineStr">
        <x:is>
          <x:t xml:space="preserve">Великобритания</x:t>
        </x:is>
      </x:c>
      <x:c r="E124" s="49" t="inlineStr">
        <x:is>
          <x:t xml:space="preserve">по всей Британии</x:t>
        </x:is>
      </x:c>
      <x:c r="F124" s="49" t="inlineStr">
        <x:is>
          <x:t xml:space="preserve">Уильям Генри Фокс Тальбот</x:t>
        </x:is>
      </x:c>
      <x:c r="G124" s="49" t="inlineStr">
        <x:is>
          <x:t xml:space="preserve"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x:t>
        </x:is>
      </x:c>
      <x:c r="H124" s="49" t="inlineStr">
        <x:is>
          <x:t xml:space="preserve">Негатив-позитив</x:t>
        </x:is>
      </x:c>
      <x:c r="I124" s="49" t="inlineStr">
        <x:is>
          <x:t xml:space="preserve">Calotype patent licensing</x:t>
        </x:is>
      </x:c>
      <x:c r="J124" s="49" t="inlineStr">
        <x:is>
          <x:t xml:space="preserve"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x:t>
        </x:is>
      </x:c>
      <x:c r="K124" s="49" t="inlineStr">
        <x:is>
          <x:t xml:space="preserve">Публичный показ системы Тальбота в январе 1839 года</x:t>
        </x:is>
      </x:c>
      <x:c r="L124" s="49" t="inlineStr">
        <x:is>
          <x:t xml:space="preserve">Химия соляной бумажной печати как рабочий процесс негативно-позитивной системы</x:t>
        </x:is>
      </x:c>
      <x:c r="M124" s="49" t="inlineStr">
        <x:is>
          <x:t xml:space="preserve">Побочная линия / торможение</x:t>
        </x:is>
      </x:c>
      <x:c r="N124" s="49" t="n">
        <x:v>3</x:v>
      </x:c>
      <x:c r="O124" s="49" t="inlineStr">
        <x:is>
          <x:t xml:space="preserve">PL-013</x:t>
        </x:is>
      </x:c>
      <x:c r="P124" s="49" t="inlineStr">
        <x:is>
          <x:t xml:space="preserve">SRC-094</x:t>
        </x:is>
      </x:c>
      <x:c r="Q124" s="49" t="inlineStr">
        <x:is>
          <x:t xml:space="preserve">The Met — William Henry Fox Talbot and the Invention of Photography</x:t>
        </x:is>
      </x:c>
      <x:c r="R124" s="49" t="inlineStr">
        <x:is>
          <x:t xml:space="preserve">https://www.metmuseum.org/essays/william-henry-fox-talbot-1800-1877-and-the-invention-of-photography</x:t>
        </x:is>
      </x:c>
      <x:c r="S124" s="49" t="n">
        <x:v>4</x:v>
      </x:c>
      <x:c r="T124" s="49" t="inlineStr">
        <x:is>
          <x:t xml:space="preserve"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x:t>
        </x:is>
      </x:c>
      <x:c r="U124" s="49" t="inlineStr">
        <x:is>
          <x:t xml:space="preserve">Значок замка/лицензии поверх карты Британии — калотип «закрыт» ценой.</x:t>
        </x:is>
      </x:c>
      <x:c r="V124" s="49" t="inlineStr">
        <x:is>
          <x:t xml:space="preserve">#PL013 #patent #licensing #Talbot #Britain</x:t>
        </x:is>
      </x:c>
      <x:c r="W124" s="49" t="inlineStr">
        <x:is>
          <x:t xml:space="preserve">Уточнить точную сумму и годы лицензионных сборов по дополнительному источнику (сейчас указано по вторичным биографическим материалам).</x:t>
        </x:is>
      </x:c>
      <x:c r="X124" s="49" t="n"/>
      <x:c r="Y124" s="49" t="inlineStr">
        <x:is>
          <x:t xml:space="preserve">Негатив-позитив / патентные ограничения</x:t>
        </x:is>
      </x:c>
      <x:c r="Z124" s="49" t="inlineStr">
        <x:is>
          <x:t xml:space="preserve">Распространение / коммерциализация</x:t>
        </x:is>
      </x:c>
      <x:c r="AA124" s="49" t="n"/>
    </x:row>
    <x:row r="125" s="46" customFormat="1" ht="17" customHeight="1">
      <x:c r="A125" s="49" t="inlineStr">
        <x:is>
          <x:t xml:space="preserve">PL-HIST-0124</x:t>
        </x:is>
      </x:c>
      <x:c r="B125" s="49" t="inlineStr">
        <x:is>
          <x:t xml:space="preserve">1839–1840-е</x:t>
        </x:is>
      </x:c>
      <x:c r="C125" s="49" t="inlineStr">
        <x:is>
          <x:t xml:space="preserve">диапазон</x:t>
        </x:is>
      </x:c>
      <x:c r="D125" s="49" t="inlineStr">
        <x:is>
          <x:t xml:space="preserve">глобально</x:t>
        </x:is>
      </x:c>
      <x:c r="E125" s="49" t="inlineStr">
        <x:is>
          <x:t xml:space="preserve">тёмная комната / лаборатория</x:t>
        </x:is>
      </x:c>
      <x:c r="F125" s="49" t="inlineStr">
        <x:is>
          <x:t xml:space="preserve">Ранние практики соляной печати</x:t>
        </x:is>
      </x:c>
      <x:c r="G125" s="49" t="inlineStr">
        <x:is>
          <x:t xml:space="preserve"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x:t>
        </x:is>
      </x:c>
      <x:c r="H125" s="49" t="inlineStr">
        <x:is>
          <x:t xml:space="preserve">Фотохимия</x:t>
        </x:is>
      </x:c>
      <x:c r="I125" s="49" t="inlineStr">
        <x:is>
          <x:t xml:space="preserve">Salted paper printing-out process</x:t>
        </x:is>
      </x:c>
      <x:c r="J125" s="49" t="inlineStr">
        <x:is>
          <x:t xml:space="preserve"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x:t>
        </x:is>
      </x:c>
      <x:c r="K125" s="49" t="inlineStr">
        <x:is>
          <x:t xml:space="preserve">Патентные ограничения тормозят коммерческое распространение в Британии</x:t>
        </x:is>
      </x:c>
      <x:c r="L125" s="49" t="inlineStr">
        <x:is>
          <x:t xml:space="preserve">Использование патентной свободы во Франции и промышленная печать Бланкар-Эврара</x:t>
        </x:is>
      </x:c>
      <x:c r="M125" s="49" t="inlineStr">
        <x:is>
          <x:t xml:space="preserve">Главная линия</x:t>
        </x:is>
      </x:c>
      <x:c r="N125" s="49" t="n">
        <x:v>4</x:v>
      </x:c>
      <x:c r="O125" s="49" t="inlineStr">
        <x:is>
          <x:t xml:space="preserve">PL-013</x:t>
        </x:is>
      </x:c>
      <x:c r="P125" s="49" t="inlineStr">
        <x:is>
          <x:t xml:space="preserve">SRC-095</x:t>
        </x:is>
      </x:c>
      <x:c r="Q125" s="49" t="inlineStr">
        <x:is>
          <x:t xml:space="preserve">National Gallery of Canada — The Calotype Process</x:t>
        </x:is>
      </x:c>
      <x:c r="R125" s="49" t="inlineStr">
        <x:is>
          <x:t xml:space="preserve">https://www.gallery.ca/photo-blog/the-calotype-process</x:t>
        </x:is>
      </x:c>
      <x:c r="S125" s="49" t="n">
        <x:v>4</x:v>
      </x:c>
      <x:c r="T125" s="49" t="inlineStr">
        <x:is>
          <x:t xml:space="preserve">Можно объяснить просто: это не «проявляем в ванночке», а «кладём на солнце и наблюдаем, как темнеет» — прямая, наглядная химия.</x:t>
        </x:is>
      </x:c>
      <x:c r="U125" s="49" t="inlineStr">
        <x:is>
          <x:t xml:space="preserve">Схема: негатив + бумага с хлоридом серебра + солнце → постепенно темнеющий позитив.</x:t>
        </x:is>
      </x:c>
      <x:c r="V125" s="49" t="inlineStr">
        <x:is>
          <x:t xml:space="preserve">#PL013 #salted-paper #printing-out #chemistry</x:t>
        </x:is>
      </x:c>
      <x:c r="W125" s="49" t="n"/>
      <x:c r="X125" s="49" t="n"/>
      <x:c r="Y125" s="49" t="inlineStr">
        <x:is>
          <x:t xml:space="preserve">Негатив-позитив / химия печати</x:t>
        </x:is>
      </x:c>
      <x:c r="Z125" s="49" t="inlineStr">
        <x:is>
          <x:t xml:space="preserve">Технология / процесс</x:t>
        </x:is>
      </x:c>
      <x:c r="AA125" s="49" t="n"/>
    </x:row>
    <x:row r="126" s="46" customFormat="1" ht="17" customHeight="1">
      <x:c r="A126" s="49" t="inlineStr">
        <x:is>
          <x:t xml:space="preserve">PL-HIST-0125</x:t>
        </x:is>
      </x:c>
      <x:c r="B126" s="49" t="inlineStr">
        <x:is>
          <x:t xml:space="preserve">1843</x:t>
        </x:is>
      </x:c>
      <x:c r="C126" s="49" t="inlineStr">
        <x:is>
          <x:t xml:space="preserve">год</x:t>
        </x:is>
      </x:c>
      <x:c r="D126" s="49" t="inlineStr">
        <x:is>
          <x:t xml:space="preserve">Франция</x:t>
        </x:is>
      </x:c>
      <x:c r="E126" s="49" t="inlineStr">
        <x:is>
          <x:t xml:space="preserve">Париж</x:t>
        </x:is>
      </x:c>
      <x:c r="F126" s="49" t="inlineStr">
        <x:is>
          <x:t xml:space="preserve">Уильям Генри Фокс Тальбот</x:t>
        </x:is>
      </x:c>
      <x:c r="G126" s="49" t="inlineStr">
        <x:is>
          <x:t xml:space="preserve"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x:t>
        </x:is>
      </x:c>
      <x:c r="H126" s="49" t="inlineStr">
        <x:is>
          <x:t xml:space="preserve">Негатив-позитив</x:t>
        </x:is>
      </x:c>
      <x:c r="I126" s="49" t="inlineStr">
        <x:is>
          <x:t xml:space="preserve">Calotype patent gap in France</x:t>
        </x:is>
      </x:c>
      <x:c r="J126" s="49" t="inlineStr">
        <x:is>
          <x:t xml:space="preserve"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x:t>
        </x:is>
      </x:c>
      <x:c r="K126" s="49" t="inlineStr">
        <x:is>
          <x:t xml:space="preserve">Химия соляной бумажной печати как рабочий процесс</x:t>
        </x:is>
      </x:c>
      <x:c r="L126" s="49" t="inlineStr">
        <x:is>
          <x:t xml:space="preserve">Альбуминовая печать и типография Бланкар-Эврара во Франции</x:t>
        </x:is>
      </x:c>
      <x:c r="M126" s="49" t="inlineStr">
        <x:is>
          <x:t xml:space="preserve">Связь / переход</x:t>
        </x:is>
      </x:c>
      <x:c r="N126" s="49" t="n">
        <x:v>4</x:v>
      </x:c>
      <x:c r="O126" s="49" t="inlineStr">
        <x:is>
          <x:t xml:space="preserve">PL-013</x:t>
        </x:is>
      </x:c>
      <x:c r="P126" s="49" t="inlineStr">
        <x:is>
          <x:t xml:space="preserve">SRC-094</x:t>
        </x:is>
      </x:c>
      <x:c r="Q126" s="49" t="inlineStr">
        <x:is>
          <x:t xml:space="preserve">The Met — William Henry Fox Talbot and the Invention of Photography</x:t>
        </x:is>
      </x:c>
      <x:c r="R126" s="49" t="inlineStr">
        <x:is>
          <x:t xml:space="preserve">https://www.metmuseum.org/essays/william-henry-fox-talbot-1800-1877-and-the-invention-of-photography</x:t>
        </x:is>
      </x:c>
      <x:c r="S126" s="49" t="n">
        <x:v>4</x:v>
      </x:c>
      <x:c r="T126" s="49" t="inlineStr">
        <x:is>
          <x:t xml:space="preserve">Мостик к следующему узлу (Бланкар-Эврар): негатив-позитив расцветает именно там, где патент не мешает.</x:t>
        </x:is>
      </x:c>
      <x:c r="U126" s="49" t="inlineStr">
        <x:is>
          <x:t xml:space="preserve">Карта: Британия заштрихована (лицензия), Франция — открыта.</x:t>
        </x:is>
      </x:c>
      <x:c r="V126" s="49" t="inlineStr">
        <x:is>
          <x:t xml:space="preserve">#PL013 #Talbot #Paris #patent-gap #bridge</x:t>
        </x:is>
      </x:c>
      <x:c r="W126" s="49" t="inlineStr">
        <x:is>
          <x:t xml:space="preserve">Проверить точную дату/детали переговоров Тальбота в Париже 1843 года по более специализированному источнику.</x:t>
        </x:is>
      </x:c>
      <x:c r="X126" s="49" t="inlineStr">
        <x:is>
          <x:t xml:space="preserve">48.8566, 2.3522</x:t>
        </x:is>
      </x:c>
      <x:c r="Y126" s="49" t="inlineStr">
        <x:is>
          <x:t xml:space="preserve">Негатив-позитив / переход к Франции</x:t>
        </x:is>
      </x:c>
      <x:c r="Z126" s="49" t="inlineStr">
        <x:is>
          <x:t xml:space="preserve">Связь / переход</x:t>
        </x:is>
      </x:c>
      <x:c r="AA126" s="49" t="n"/>
    </x:row>
    <x:row r="127" s="46" customFormat="1" ht="17" customHeight="1">
      <x:c r="A127" s="49" t="inlineStr">
        <x:is>
          <x:t xml:space="preserve">PL-HIST-0126</x:t>
        </x:is>
      </x:c>
      <x:c r="B127" s="49" t="inlineStr">
        <x:is>
          <x:t xml:space="preserve">1850</x:t>
        </x:is>
      </x:c>
      <x:c r="C127" s="49" t="inlineStr">
        <x:is>
          <x:t xml:space="preserve">год</x:t>
        </x:is>
      </x:c>
      <x:c r="D127" s="49" t="inlineStr">
        <x:is>
          <x:t xml:space="preserve">Франция</x:t>
        </x:is>
      </x:c>
      <x:c r="E127" s="49" t="inlineStr">
        <x:is>
          <x:t xml:space="preserve">Лилль</x:t>
        </x:is>
      </x:c>
      <x:c r="F127" s="49" t="inlineStr">
        <x:is>
          <x:t xml:space="preserve">Луи-Дезире Бланкар-Эврар</x:t>
        </x:is>
      </x:c>
      <x:c r="G127" s="49" t="inlineStr">
        <x:is>
          <x:t xml:space="preserve">Альбуминовая печать становится важным способом получать детальные позитивные изображения с негативов.</x:t>
        </x:is>
      </x:c>
      <x:c r="H127" s="49" t="inlineStr">
        <x:is>
          <x:t xml:space="preserve">Печать / тиражирование</x:t>
        </x:is>
      </x:c>
      <x:c r="I127" s="49" t="inlineStr">
        <x:is>
          <x:t xml:space="preserve">Albumen print from negative</x:t>
        </x:is>
      </x:c>
      <x:c r="J127" s="49" t="inlineStr">
        <x:is>
          <x:t xml:space="preserve"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x:t>
        </x:is>
      </x:c>
      <x:c r="K127" s="49" t="inlineStr">
        <x:is>
          <x:t xml:space="preserve">Солёная бумажная печать с бумажных негативов</x:t>
        </x:is>
      </x:c>
      <x:c r="L127" s="49" t="inlineStr">
        <x:is>
          <x:t xml:space="preserve">Связка мокрого коллодионного стеклянного негатива и альбуминовой печати</x:t>
        </x:is>
      </x:c>
      <x:c r="M127" s="49" t="inlineStr">
        <x:is>
          <x:t xml:space="preserve">Главная линия / временная доминирующая линия</x:t>
        </x:is>
      </x:c>
      <x:c r="N127" s="49" t="n">
        <x:v>4</x:v>
      </x:c>
      <x:c r="O127" s="49" t="inlineStr">
        <x:is>
          <x:t xml:space="preserve">PL-013</x:t>
        </x:is>
      </x:c>
      <x:c r="P127" s="49" t="inlineStr">
        <x:is>
          <x:t xml:space="preserve">SRC-089</x:t>
        </x:is>
      </x:c>
      <x:c r="Q127" s="49" t="inlineStr">
        <x:is>
          <x:t xml:space="preserve">Royal Collection Trust — Albumen print</x:t>
        </x:is>
      </x:c>
      <x:c r="R127" s="49" t="inlineStr">
        <x:is>
          <x:t xml:space="preserve">https://albert.rct.uk/explore/themes/photographic-technologies/albumen-print</x:t>
        </x:is>
      </x:c>
      <x:c r="S127" s="49" t="n">
        <x:v>5</x:v>
      </x:c>
      <x:c r="T127" s="49" t="inlineStr">
        <x:is>
          <x:t xml:space="preserve">В уроке: позитив — это не просто «обратный негатив», а отдельный материальный объект с бумагой, поверхностью и тоном.</x:t>
        </x:is>
      </x:c>
      <x:c r="U127" s="49" t="inlineStr">
        <x:is>
          <x:t xml:space="preserve">Стеклянный/бумажный негатив прижат к альбуминовой бумаге под светом.</x:t>
        </x:is>
      </x:c>
      <x:c r="V127" s="49" t="inlineStr">
        <x:is>
          <x:t xml:space="preserve">#PL013 #albumen #positive-print #negative-positive</x:t>
        </x:is>
      </x:c>
      <x:c r="W127" s="49" t="n"/>
      <x:c r="X127" s="49" t="inlineStr">
        <x:is>
          <x:t xml:space="preserve">50.6292, 3.0573</x:t>
        </x:is>
      </x:c>
      <x:c r="Y127" s="49" t="inlineStr">
        <x:is>
          <x:t xml:space="preserve">Негатив-позитив / позитивная печать</x:t>
        </x:is>
      </x:c>
      <x:c r="Z127" s="49" t="inlineStr">
        <x:is>
          <x:t xml:space="preserve">Тиражирование / публикация</x:t>
        </x:is>
      </x:c>
      <x:c r="AA127" s="49" t="n"/>
    </x:row>
    <x:row r="128" s="46" customFormat="1" ht="17" customHeight="1">
      <x:c r="A128" s="49" t="inlineStr">
        <x:is>
          <x:t xml:space="preserve">PL-HIST-0127</x:t>
        </x:is>
      </x:c>
      <x:c r="B128" s="49" t="inlineStr">
        <x:is>
          <x:t xml:space="preserve">1851</x:t>
        </x:is>
      </x:c>
      <x:c r="C128" s="49" t="inlineStr">
        <x:is>
          <x:t xml:space="preserve">год</x:t>
        </x:is>
      </x:c>
      <x:c r="D128" s="49" t="inlineStr">
        <x:is>
          <x:t xml:space="preserve">Великобритания</x:t>
        </x:is>
      </x:c>
      <x:c r="E128" s="49" t="inlineStr">
        <x:is>
          <x:t xml:space="preserve">Лондон</x:t>
        </x:is>
      </x:c>
      <x:c r="F128" s="49" t="inlineStr">
        <x:is>
          <x:t xml:space="preserve">Фредерик Скотт Арчер</x:t>
        </x:is>
      </x:c>
      <x:c r="G128" s="49" t="inlineStr">
        <x:is>
          <x:t xml:space="preserve">Мокрый коллодионный стеклянный негатив соединяет высокую резкость стекла с возможностью печатать позитивы.</x:t>
        </x:is>
      </x:c>
      <x:c r="H128" s="49" t="inlineStr">
        <x:is>
          <x:t xml:space="preserve">Негатив-позитив</x:t>
        </x:is>
      </x:c>
      <x:c r="I128" s="49" t="inlineStr">
        <x:is>
          <x:t xml:space="preserve">Wet collodion glass negative</x:t>
        </x:is>
      </x:c>
      <x:c r="J128" s="49" t="inlineStr">
        <x:is>
          <x:t xml:space="preserve">Негативно-позитивная логика получает более резкую матрицу: позитивные отпечатки становятся детальнее и убедительнее.</x:t>
        </x:is>
      </x:c>
      <x:c r="K128" s="49" t="inlineStr">
        <x:is>
          <x:t xml:space="preserve">Калотип и бумажный негатив</x:t>
        </x:is>
      </x:c>
      <x:c r="L128" s="49" t="inlineStr">
        <x:is>
          <x:t xml:space="preserve">Альбуминовая печать со стеклянных негативов, массовая портретная и документальная фотография</x:t>
        </x:is>
      </x:c>
      <x:c r="M128" s="49" t="inlineStr">
        <x:is>
          <x:t xml:space="preserve">Главная линия</x:t>
        </x:is>
      </x:c>
      <x:c r="N128" s="49" t="n">
        <x:v>5</x:v>
      </x:c>
      <x:c r="O128" s="49" t="inlineStr">
        <x:is>
          <x:t xml:space="preserve">PL-013</x:t>
        </x:is>
      </x:c>
      <x:c r="P128" s="49" t="inlineStr">
        <x:is>
          <x:t xml:space="preserve">SRC-088</x:t>
        </x:is>
      </x:c>
      <x:c r="Q128" s="49" t="inlineStr">
        <x:is>
          <x:t xml:space="preserve">V&amp;A — A to Z of photographic processes</x:t>
        </x:is>
      </x:c>
      <x:c r="R128" s="49" t="inlineStr">
        <x:is>
          <x:t xml:space="preserve">https://www.vam.ac.uk/articles/photographic-processes</x:t>
        </x:is>
      </x:c>
      <x:c r="S128" s="49" t="n">
        <x:v>5</x:v>
      </x:c>
      <x:c r="T128" s="49" t="inlineStr">
        <x:is>
          <x:t xml:space="preserve">Показать отличие: у калотипа негатив бумажный и мягкий, у коллодия — стеклянный и резкий.</x:t>
        </x:is>
      </x:c>
      <x:c r="U128" s="49" t="inlineStr">
        <x:is>
          <x:t xml:space="preserve">Бумажный негатив превращается в прозрачную стеклянную пластину с резкими деталями.</x:t>
        </x:is>
      </x:c>
      <x:c r="V128" s="49" t="inlineStr">
        <x:is>
          <x:t xml:space="preserve">#PL013 #wet-collodion #glass-negative #positive-print</x:t>
        </x:is>
      </x:c>
      <x:c r="W128" s="49" t="n"/>
      <x:c r="X128" s="49" t="inlineStr">
        <x:is>
          <x:t xml:space="preserve">51.5074, -0.1278</x:t>
        </x:is>
      </x:c>
      <x:c r="Y128" s="49" t="inlineStr">
        <x:is>
          <x:t xml:space="preserve">Негатив-позитив / стеклянный негатив</x:t>
        </x:is>
      </x:c>
      <x:c r="Z128" s="49" t="inlineStr">
        <x:is>
          <x:t xml:space="preserve">Технология / процесс</x:t>
        </x:is>
      </x:c>
      <x:c r="AA128" s="49" t="n"/>
    </x:row>
    <x:row r="129" s="46" customFormat="1" ht="17" customHeight="1">
      <x:c r="A129" s="49" t="inlineStr">
        <x:is>
          <x:t xml:space="preserve">PL-HIST-0128</x:t>
        </x:is>
      </x:c>
      <x:c r="B129" s="49" t="inlineStr">
        <x:is>
          <x:t xml:space="preserve">1854</x:t>
        </x:is>
      </x:c>
      <x:c r="C129" s="49" t="inlineStr">
        <x:is>
          <x:t xml:space="preserve">год</x:t>
        </x:is>
      </x:c>
      <x:c r="D129" s="49" t="inlineStr">
        <x:is>
          <x:t xml:space="preserve">Франция</x:t>
        </x:is>
      </x:c>
      <x:c r="E129" s="49" t="inlineStr">
        <x:is>
          <x:t xml:space="preserve">Париж</x:t>
        </x:is>
      </x:c>
      <x:c r="F129" s="49" t="inlineStr">
        <x:is>
          <x:t xml:space="preserve">Андре-Адольф-Эжен Дисдери</x:t>
        </x:is>
      </x:c>
      <x:c r="G129" s="49" t="inlineStr">
        <x:is>
          <x:t xml:space="preserve">Дисдери патентует carte-de-visite: несколько экспозиций на одной стеклянной пластине позволяют дешево печатать множество маленьких портретов.</x:t>
        </x:is>
      </x:c>
      <x:c r="H129" s="49" t="inlineStr">
        <x:is>
          <x:t xml:space="preserve">Печать / тиражирование</x:t>
        </x:is>
      </x:c>
      <x:c r="I129" s="49" t="inlineStr">
        <x:is>
          <x:t xml:space="preserve">Carte-de-visite / multiple images on one glass negative</x:t>
        </x:is>
      </x:c>
      <x:c r="J129" s="49" t="inlineStr">
        <x:is>
          <x:t xml:space="preserve">Негатив становится производственной матрицей: один лист может давать серию позитивных карточек для обмена и альбомов.</x:t>
        </x:is>
      </x:c>
      <x:c r="K129" s="49" t="inlineStr">
        <x:is>
          <x:t xml:space="preserve">Стеклянный негатив и альбуминовая печать</x:t>
        </x:is>
      </x:c>
      <x:c r="L129" s="49" t="inlineStr">
        <x:is>
          <x:t xml:space="preserve">Массовая портретная культура и семейные фотоальбомы XIX века</x:t>
        </x:is>
      </x:c>
      <x:c r="M129" s="49" t="inlineStr">
        <x:is>
          <x:t xml:space="preserve">Распространение / коммерциализация</x:t>
        </x:is>
      </x:c>
      <x:c r="N129" s="49" t="n">
        <x:v>4</x:v>
      </x:c>
      <x:c r="O129" s="49" t="inlineStr">
        <x:is>
          <x:t xml:space="preserve">PL-013</x:t>
        </x:is>
      </x:c>
      <x:c r="P129" s="49" t="inlineStr">
        <x:is>
          <x:t xml:space="preserve">SRC-090</x:t>
        </x:is>
      </x:c>
      <x:c r="Q129" s="49" t="inlineStr">
        <x:is>
          <x:t xml:space="preserve">The Met — The Industrialization of French Photography after 1860</x:t>
        </x:is>
      </x:c>
      <x:c r="R129" s="49" t="inlineStr">
        <x:is>
          <x:t xml:space="preserve">https://www.metmuseum.org/essays/the-industrialization-of-french-photography-after-1860</x:t>
        </x:is>
      </x:c>
      <x:c r="S129" s="49" t="n">
        <x:v>5</x:v>
      </x:c>
      <x:c r="T129" s="49" t="inlineStr">
        <x:is>
          <x:t xml:space="preserve">Для зрителя: негативно-позитивный процесс — это не только химия, но и экономика фотографии.</x:t>
        </x:is>
      </x:c>
      <x:c r="U129" s="49" t="inlineStr">
        <x:is>
          <x:t xml:space="preserve">Одна стеклянная пластина разделяется на восемь маленьких позитивных карточек.</x:t>
        </x:is>
      </x:c>
      <x:c r="V129" s="49" t="inlineStr">
        <x:is>
          <x:t xml:space="preserve">#PL013 #carte-de-visite #Disderi #mass-printing</x:t>
        </x:is>
      </x:c>
      <x:c r="W129" s="49" t="n"/>
      <x:c r="X129" s="49" t="inlineStr">
        <x:is>
          <x:t xml:space="preserve">48.8566, 2.3522</x:t>
        </x:is>
      </x:c>
      <x:c r="Y129" s="49" t="inlineStr">
        <x:is>
          <x:t xml:space="preserve">Негатив-позитив / массовый портрет</x:t>
        </x:is>
      </x:c>
      <x:c r="Z129" s="49" t="inlineStr">
        <x:is>
          <x:t xml:space="preserve">Распространение / коммерциализация</x:t>
        </x:is>
      </x:c>
      <x:c r="AA129" s="49" t="n"/>
    </x:row>
    <x:row r="130" s="46" customFormat="1" ht="17" customHeight="1">
      <x:c r="A130" s="49" t="inlineStr">
        <x:is>
          <x:t xml:space="preserve">PL-HIST-0129</x:t>
        </x:is>
      </x:c>
      <x:c r="B130" s="49" t="inlineStr">
        <x:is>
          <x:t xml:space="preserve">1889</x:t>
        </x:is>
      </x:c>
      <x:c r="C130" s="49" t="inlineStr">
        <x:is>
          <x:t xml:space="preserve">год</x:t>
        </x:is>
      </x:c>
      <x:c r="D130" s="49" t="inlineStr">
        <x:is>
          <x:t xml:space="preserve">США</x:t>
        </x:is>
      </x:c>
      <x:c r="E130" s="49" t="inlineStr">
        <x:is>
          <x:t xml:space="preserve">Рочестер, Нью-Йорк</x:t>
        </x:is>
      </x:c>
      <x:c r="F130" s="49" t="inlineStr">
        <x:is>
          <x:t xml:space="preserve">Eastman Kodak</x:t>
        </x:is>
      </x:c>
      <x:c r="G130" s="49" t="inlineStr">
        <x:is>
          <x:t xml:space="preserve">Kodak выпускает коммерческую прозрачную рулонную плёнку: гибкий носитель становится новой формой негативной матрицы.</x:t>
        </x:is>
      </x:c>
      <x:c r="H130" s="49" t="inlineStr">
        <x:is>
          <x:t xml:space="preserve">Негатив-позитив</x:t>
        </x:is>
      </x:c>
      <x:c r="I130" s="49" t="inlineStr">
        <x:is>
          <x:t xml:space="preserve">Transparent roll film negative</x:t>
        </x:is>
      </x:c>
      <x:c r="J130" s="49" t="inlineStr">
        <x:is>
          <x:t xml:space="preserve">Негативно-позитивная логика переходит со стекла на гибкую плёнку и становится удобнее для массовой камеры.</x:t>
        </x:is>
      </x:c>
      <x:c r="K130" s="49" t="inlineStr">
        <x:is>
          <x:t xml:space="preserve">Сухие пластины и рулонная бумажная плёнка</x:t>
        </x:is>
      </x:c>
      <x:c r="L130" s="49" t="inlineStr">
        <x:is>
          <x:t xml:space="preserve">35 мм, фотолаборатории, массовая печать и цветная негативная плёнка</x:t>
        </x:is>
      </x:c>
      <x:c r="M130" s="49" t="inlineStr">
        <x:is>
          <x:t xml:space="preserve">Главная линия</x:t>
        </x:is>
      </x:c>
      <x:c r="N130" s="49" t="n">
        <x:v>5</x:v>
      </x:c>
      <x:c r="O130" s="49" t="inlineStr">
        <x:is>
          <x:t xml:space="preserve">PL-013</x:t>
        </x:is>
      </x:c>
      <x:c r="P130" s="49" t="inlineStr">
        <x:is>
          <x:t xml:space="preserve">SRC-031</x:t>
        </x:is>
      </x:c>
      <x:c r="Q130" s="49" t="inlineStr">
        <x:is>
          <x:t xml:space="preserve">Kodak — History</x:t>
        </x:is>
      </x:c>
      <x:c r="R130" s="49" t="inlineStr">
        <x:is>
          <x:t xml:space="preserve">https://www.kodak.com/en/company/page/history/</x:t>
        </x:is>
      </x:c>
      <x:c r="S130" s="49" t="n">
        <x:v>5</x:v>
      </x:c>
      <x:c r="T130" s="49" t="inlineStr">
        <x:is>
          <x:t xml:space="preserve">Связать с предыдущими уроками: плёнка стала не концом негативной логики, а её более удобной формой.</x:t>
        </x:is>
      </x:c>
      <x:c r="U130" s="49" t="inlineStr">
        <x:is>
          <x:t xml:space="preserve">Стеклянная пластина плавно превращается в прозрачную гибкую ленту с негативными кадрами.</x:t>
        </x:is>
      </x:c>
      <x:c r="V130" s="49" t="inlineStr">
        <x:is>
          <x:t xml:space="preserve">#PL013 #Kodak #transparent-film #film-negative</x:t>
        </x:is>
      </x:c>
      <x:c r="W130" s="49" t="n"/>
      <x:c r="X130" s="49" t="inlineStr">
        <x:is>
          <x:t xml:space="preserve">43.1566, -77.6088</x:t>
        </x:is>
      </x:c>
      <x:c r="Y130" s="49" t="inlineStr">
        <x:is>
          <x:t xml:space="preserve">Негатив-позитив / плёночный негатив</x:t>
        </x:is>
      </x:c>
      <x:c r="Z130" s="49" t="inlineStr">
        <x:is>
          <x:t xml:space="preserve">Связь / переход</x:t>
        </x:is>
      </x:c>
      <x:c r="AA130" s="49" t="n"/>
    </x:row>
    <x:row r="131" s="46" customFormat="1" ht="17" customHeight="1">
      <x:c r="A131" s="49" t="inlineStr">
        <x:is>
          <x:t xml:space="preserve">PL-HIST-0130</x:t>
        </x:is>
      </x:c>
      <x:c r="B131" s="49" t="inlineStr">
        <x:is>
          <x:t xml:space="preserve">1890-е – XX век</x:t>
        </x:is>
      </x:c>
      <x:c r="C131" s="49" t="inlineStr">
        <x:is>
          <x:t xml:space="preserve">диапазон</x:t>
        </x:is>
      </x:c>
      <x:c r="D131" s="49" t="inlineStr">
        <x:is>
          <x:t xml:space="preserve">Европа / США</x:t>
        </x:is>
      </x:c>
      <x:c r="E131" s="49" t="inlineStr">
        <x:is>
          <x:t xml:space="preserve">лаборатории и фотопечать</x:t>
        </x:is>
      </x:c>
      <x:c r="F131" s="49" t="inlineStr">
        <x:is>
          <x:t xml:space="preserve">Фотолаборатории и фотографы</x:t>
        </x:is>
      </x:c>
      <x:c r="G131" s="49" t="inlineStr">
        <x:is>
          <x:t xml:space="preserve"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x:t>
        </x:is>
      </x:c>
      <x:c r="H131" s="49" t="inlineStr">
        <x:is>
          <x:t xml:space="preserve">Печать / тиражирование</x:t>
        </x:is>
      </x:c>
      <x:c r="I131" s="49" t="inlineStr">
        <x:is>
          <x:t xml:space="preserve">Gelatin silver print from negative</x:t>
        </x:is>
      </x:c>
      <x:c r="J131" s="49" t="inlineStr">
        <x:is>
          <x:t xml:space="preserve">Позитивный отпечаток становится интерпретацией негатива: можно менять размер, контраст, кадрирование и тональность.</x:t>
        </x:is>
      </x:c>
      <x:c r="K131" s="49" t="inlineStr">
        <x:is>
          <x:t xml:space="preserve">Альбуминовая и контактная печать XIX века</x:t>
        </x:is>
      </x:c>
      <x:c r="L131" s="49" t="inlineStr">
        <x:is>
          <x:t xml:space="preserve">Чёрно-белая лабораторная культура XX века и авторская печать</x:t>
        </x:is>
      </x:c>
      <x:c r="M131" s="49" t="inlineStr">
        <x:is>
          <x:t xml:space="preserve">Главная линия / временная доминирующая линия</x:t>
        </x:is>
      </x:c>
      <x:c r="N131" s="49" t="n">
        <x:v>4</x:v>
      </x:c>
      <x:c r="O131" s="49" t="inlineStr">
        <x:is>
          <x:t xml:space="preserve">PL-013</x:t>
        </x:is>
      </x:c>
      <x:c r="P131" s="49" t="inlineStr">
        <x:is>
          <x:t xml:space="preserve">SRC-080</x:t>
        </x:is>
      </x:c>
      <x:c r="Q131" s="49" t="inlineStr">
        <x:is>
          <x:t xml:space="preserve">MoMA — Gelatin silver print (developing-out paper)</x:t>
        </x:is>
      </x:c>
      <x:c r="R131" s="49" t="inlineStr">
        <x:is>
          <x:t xml:space="preserve">https://www.moma.org/collection/terms/gelatin-silver-print-developing-out-paper</x:t>
        </x:is>
      </x:c>
      <x:c r="S131" s="49" t="n">
        <x:v>5</x:v>
      </x:c>
      <x:c r="T131" s="49" t="inlineStr">
        <x:is>
          <x:t xml:space="preserve">В уроке это мост к практике: негатив хранит информацию, а позитивная печать — это уже выбор автора.</x:t>
        </x:is>
      </x:c>
      <x:c r="U131" s="49" t="inlineStr">
        <x:is>
          <x:t xml:space="preserve">Увеличитель освещает негатив, на бумаге снизу появляется позитивный отпечаток.</x:t>
        </x:is>
      </x:c>
      <x:c r="V131" s="49" t="inlineStr">
        <x:is>
          <x:t xml:space="preserve">#PL013 #gelatin-silver #darkroom #positive-print</x:t>
        </x:is>
      </x:c>
      <x:c r="W131" s="49" t="inlineStr">
        <x:is>
          <x:t xml:space="preserve">Датировка обобщённая; не привязывать к одному городу или году.</x:t>
        </x:is>
      </x:c>
      <x:c r="X131" s="49" t="n"/>
      <x:c r="Y131" s="49" t="inlineStr">
        <x:is>
          <x:t xml:space="preserve">Негатив-позитив / позитив на бумаге</x:t>
        </x:is>
      </x:c>
      <x:c r="Z131" s="49" t="inlineStr">
        <x:is>
          <x:t xml:space="preserve">Тиражирование / публикация</x:t>
        </x:is>
      </x:c>
      <x:c r="AA131" s="49" t="n"/>
    </x:row>
    <x:row r="132" s="46" customFormat="1" ht="17" customHeight="1">
      <x:c r="A132" s="49" t="inlineStr">
        <x:is>
          <x:t xml:space="preserve">PL-HIST-0131</x:t>
        </x:is>
      </x:c>
      <x:c r="B132" s="49" t="inlineStr">
        <x:is>
          <x:t xml:space="preserve">1935</x:t>
        </x:is>
      </x:c>
      <x:c r="C132" s="49" t="inlineStr">
        <x:is>
          <x:t xml:space="preserve">год</x:t>
        </x:is>
      </x:c>
      <x:c r="D132" s="49" t="inlineStr">
        <x:is>
          <x:t xml:space="preserve">США</x:t>
        </x:is>
      </x:c>
      <x:c r="E132" s="49" t="inlineStr">
        <x:is>
          <x:t xml:space="preserve">Рочестер, Нью-Йорк</x:t>
        </x:is>
      </x:c>
      <x:c r="F132" s="49" t="inlineStr">
        <x:is>
          <x:t xml:space="preserve">Eastman Kodak / Leopold Mannes / Leopold Godowsky Jr.</x:t>
        </x:is>
      </x:c>
      <x:c r="G132" s="49" t="inlineStr">
        <x:is>
          <x:t xml:space="preserve">Kodachrome показывает важное исключение: обращаемая плёнка даёт позитивную прозрачность, а не негатив для печати.</x:t>
        </x:is>
      </x:c>
      <x:c r="H132" s="49" t="inlineStr">
        <x:is>
          <x:t xml:space="preserve">Цвет</x:t>
        </x:is>
      </x:c>
      <x:c r="I132" s="49" t="inlineStr">
        <x:is>
          <x:t xml:space="preserve">Color reversal transparency / Kodachrome</x:t>
        </x:is>
      </x:c>
      <x:c r="J132" s="49" t="inlineStr">
        <x:is>
          <x:t xml:space="preserve"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x:t>
        </x:is>
      </x:c>
      <x:c r="K132" s="49" t="inlineStr">
        <x:is>
          <x:t xml:space="preserve">Негативно-позитивная печатная логика</x:t>
        </x:is>
      </x:c>
      <x:c r="L132" s="49" t="inlineStr">
        <x:is>
          <x:t xml:space="preserve">Слайдовая фотография, цветная прозрачность и будущие уроки о цветной плёнке</x:t>
        </x:is>
      </x:c>
      <x:c r="M132" s="49" t="inlineStr">
        <x:is>
          <x:t xml:space="preserve">Исторически важная ограниченная ветка</x:t>
        </x:is>
      </x:c>
      <x:c r="N132" s="49" t="n">
        <x:v>3</x:v>
      </x:c>
      <x:c r="O132" s="49" t="inlineStr">
        <x:is>
          <x:t xml:space="preserve">PL-013</x:t>
        </x:is>
      </x:c>
      <x:c r="P132" s="49" t="inlineStr">
        <x:is>
          <x:t xml:space="preserve">SRC-093</x:t>
        </x:is>
      </x:c>
      <x:c r="Q132" s="49" t="inlineStr">
        <x:is>
          <x:t xml:space="preserve">National Science and Media Museum — A short history of colour photography</x:t>
        </x:is>
      </x:c>
      <x:c r="R132" s="49" t="inlineStr">
        <x:is>
          <x:t xml:space="preserve">https://www.scienceandmediamuseum.org.uk/objects-and-stories/history-colour-photography</x:t>
        </x:is>
      </x:c>
      <x:c r="S132" s="49" t="n">
        <x:v>5</x:v>
      </x:c>
      <x:c r="T132" s="49" t="inlineStr">
        <x:is>
          <x:t xml:space="preserve">В PL-013 это нужно как честная оговорка: негатив/позитив — базовая логика массовой печати, но есть и прямой позитивный путь.</x:t>
        </x:is>
      </x:c>
      <x:c r="U132" s="49" t="inlineStr">
        <x:is>
          <x:t xml:space="preserve">Рядом две ветки: негатив → бумажный позитив и reversal → прозрачный позитив-слайд.</x:t>
        </x:is>
      </x:c>
      <x:c r="V132" s="49" t="inlineStr">
        <x:is>
          <x:t xml:space="preserve">#PL013 #Kodachrome #reversal #positive #slide</x:t>
        </x:is>
      </x:c>
      <x:c r="W132" s="49" t="inlineStr">
        <x:is>
          <x:t xml:space="preserve">Не углубляться в цветную химию до будущего урока о цвете.</x:t>
        </x:is>
      </x:c>
      <x:c r="X132" s="49" t="inlineStr">
        <x:is>
          <x:t xml:space="preserve">43.1566, -77.6088</x:t>
        </x:is>
      </x:c>
      <x:c r="Y132" s="49" t="inlineStr">
        <x:is>
          <x:t xml:space="preserve">Негатив-позитив / позитивная прозрачность</x:t>
        </x:is>
      </x:c>
      <x:c r="Z132" s="49" t="inlineStr">
        <x:is>
          <x:t xml:space="preserve">Связь / переход</x:t>
        </x:is>
      </x:c>
      <x:c r="AA132" s="49" t="n"/>
    </x:row>
    <x:row r="133" s="46" customFormat="1" ht="17" customHeight="1">
      <x:c r="A133" s="49" t="inlineStr">
        <x:is>
          <x:t xml:space="preserve">PL-HIST-0132</x:t>
        </x:is>
      </x:c>
      <x:c r="B133" s="49" t="inlineStr">
        <x:is>
          <x:t xml:space="preserve">1839</x:t>
        </x:is>
      </x:c>
      <x:c r="C133" s="49" t="inlineStr">
        <x:is>
          <x:t xml:space="preserve">год</x:t>
        </x:is>
      </x:c>
      <x:c r="D133" s="49" t="inlineStr">
        <x:is>
          <x:t xml:space="preserve">Франция</x:t>
        </x:is>
      </x:c>
      <x:c r="E133" s="49" t="inlineStr">
        <x:is>
          <x:t xml:space="preserve">Париж</x:t>
        </x:is>
      </x:c>
      <x:c r="F133" s="49" t="inlineStr">
        <x:is>
          <x:t xml:space="preserve">Ипполит Байяр</x:t>
        </x:is>
      </x:c>
      <x:c r="G133" s="49" t="inlineStr">
        <x:is>
          <x:t xml:space="preserve">Разрабатывает прямой позитивный процесс на бумаге: изображение получается сразу читаемым, без отдельного негатива.</x:t>
        </x:is>
      </x:c>
      <x:c r="H133" s="49" t="inlineStr">
        <x:is>
          <x:t xml:space="preserve">Уникальный позитив</x:t>
        </x:is>
      </x:c>
      <x:c r="I133" s="49" t="inlineStr">
        <x:is>
          <x:t xml:space="preserve">Direct positive paper process</x:t>
        </x:is>
      </x:c>
      <x:c r="J133" s="49" t="inlineStr">
        <x:is>
          <x:t xml:space="preserve">Позитив может появляться напрямую, но такой снимок остаётся уникальным и не даёт тиража как негативная матрица.</x:t>
        </x:is>
      </x:c>
      <x:c r="K133" s="49" t="inlineStr">
        <x:is>
          <x:t xml:space="preserve">Светочувствительная бумага и ранние эксперименты 1830-х</x:t>
        </x:is>
      </x:c>
      <x:c r="L133" s="49" t="inlineStr">
        <x:is>
          <x:t xml:space="preserve">Соляная печать и негативно-позитивная система Тальбота</x:t>
        </x:is>
      </x:c>
      <x:c r="M133" s="49" t="inlineStr">
        <x:is>
          <x:t xml:space="preserve">Исторически важная ограниченная ветка</x:t>
        </x:is>
      </x:c>
      <x:c r="N133" s="49" t="n">
        <x:v>4</x:v>
      </x:c>
      <x:c r="O133" s="49" t="inlineStr">
        <x:is>
          <x:t xml:space="preserve">PL-014</x:t>
        </x:is>
      </x:c>
      <x:c r="P133" s="49" t="inlineStr">
        <x:is>
          <x:t xml:space="preserve">SRC-096</x:t>
        </x:is>
      </x:c>
      <x:c r="Q133" s="49" t="inlineStr">
        <x:is>
          <x:t xml:space="preserve">Getty — Hippolyte Bayard: A Persistent Pioneer</x:t>
        </x:is>
      </x:c>
      <x:c r="R133" s="49" t="inlineStr">
        <x:is>
          <x:t xml:space="preserve">https://www.getty.edu/art/exhibitions/bayard/</x:t>
        </x:is>
      </x:c>
      <x:c r="S133" s="49" t="n">
        <x:v>5</x:v>
      </x:c>
      <x:c r="T133" s="49" t="inlineStr">
        <x:is>
          <x:t xml:space="preserve">В PL-014 важно сразу развести два пути: прямой позитив даёт готовую картинку, но негативно-позитивная система даёт тираж.</x:t>
        </x:is>
      </x:c>
      <x:c r="U133" s="49" t="inlineStr">
        <x:is>
          <x:t xml:space="preserve">Две развилки: бумага с прямым позитивом и рядом негатив, из которого печатаются копии.</x:t>
        </x:is>
      </x:c>
      <x:c r="V133" s="49" t="inlineStr">
        <x:is>
          <x:t xml:space="preserve">#PL014 #positive #Bayard #direct-positive</x:t>
        </x:is>
      </x:c>
      <x:c r="W133" s="49" t="n"/>
      <x:c r="X133" s="49" t="inlineStr">
        <x:is>
          <x:t xml:space="preserve">48.8566, 2.3522</x:t>
        </x:is>
      </x:c>
      <x:c r="Y133" s="49" t="inlineStr">
        <x:is>
          <x:t xml:space="preserve">Позитив / прямой позитив</x:t>
        </x:is>
      </x:c>
      <x:c r="Z133" s="49" t="inlineStr">
        <x:is>
          <x:t xml:space="preserve">Технология / процесс</x:t>
        </x:is>
      </x:c>
      <x:c r="AA133" s="49" t="n"/>
    </x:row>
    <x:row r="134" s="46" customFormat="1" ht="17" customHeight="1">
      <x:c r="A134" s="49" t="inlineStr">
        <x:is>
          <x:t xml:space="preserve">PL-HIST-0133</x:t>
        </x:is>
      </x:c>
      <x:c r="B134" s="49" t="inlineStr">
        <x:is>
          <x:t xml:space="preserve">1839–1841</x:t>
        </x:is>
      </x:c>
      <x:c r="C134" s="49" t="inlineStr">
        <x:is>
          <x:t xml:space="preserve">диапазон</x:t>
        </x:is>
      </x:c>
      <x:c r="D134" s="49" t="inlineStr">
        <x:is>
          <x:t xml:space="preserve">Великобритания</x:t>
        </x:is>
      </x:c>
      <x:c r="E134" s="49" t="inlineStr">
        <x:is>
          <x:t xml:space="preserve">Лэкок-Эбби / Лондон</x:t>
        </x:is>
      </x:c>
      <x:c r="F134" s="49" t="inlineStr">
        <x:is>
          <x:t xml:space="preserve">Уильям Генри Фокс Тальбот</x:t>
        </x:is>
      </x:c>
      <x:c r="G134" s="49" t="inlineStr">
        <x:is>
          <x:t xml:space="preserve">Соляная бумажная печать становится первым практически важным способом получать позитивный бумажный отпечаток с негатива.</x:t>
        </x:is>
      </x:c>
      <x:c r="H134" s="49" t="inlineStr">
        <x:is>
          <x:t xml:space="preserve">Печать / тиражирование</x:t>
        </x:is>
      </x:c>
      <x:c r="I134" s="49" t="inlineStr">
        <x:is>
          <x:t xml:space="preserve">Salted paper positive print</x:t>
        </x:is>
      </x:c>
      <x:c r="J134" s="49" t="inlineStr">
        <x:is>
          <x:t xml:space="preserve">Позитив становится читаемым финальным изображением: негатив хранит информацию, а отпечаток показывает её нормальными тонами.</x:t>
        </x:is>
      </x:c>
      <x:c r="K134" s="49" t="inlineStr">
        <x:is>
          <x:t xml:space="preserve">Фотогенные рисунки и бумажные негативы Тальбота</x:t>
        </x:is>
      </x:c>
      <x:c r="L134" s="49" t="inlineStr">
        <x:is>
          <x:t xml:space="preserve">Золотое тонирование и угольная печать как ответ на проблему выцветания позитива</x:t>
        </x:is>
      </x:c>
      <x:c r="M134" s="49" t="inlineStr">
        <x:is>
          <x:t xml:space="preserve">Главная линия</x:t>
        </x:is>
      </x:c>
      <x:c r="N134" s="49" t="n">
        <x:v>5</x:v>
      </x:c>
      <x:c r="O134" s="49" t="inlineStr">
        <x:is>
          <x:t xml:space="preserve">PL-014</x:t>
        </x:is>
      </x:c>
      <x:c r="P134" s="49" t="inlineStr">
        <x:is>
          <x:t xml:space="preserve">SRC-097</x:t>
        </x:is>
      </x:c>
      <x:c r="Q134" s="49" t="inlineStr">
        <x:is>
          <x:t xml:space="preserve">Harvard — Salt Prints at Harvard</x:t>
        </x:is>
      </x:c>
      <x:c r="R134" s="49" t="inlineStr">
        <x:is>
          <x:t xml:space="preserve">https://saltprintsatharvard.hsites.harvard.edu/</x:t>
        </x:is>
      </x:c>
      <x:c r="S134" s="49" t="n">
        <x:v>5</x:v>
      </x:c>
      <x:c r="T134" s="49" t="inlineStr">
        <x:is>
          <x:t xml:space="preserve">Флагманская мысль урока: позитив — это не просто «красивый вариант», а финальная читаемая форма фотографии.</x:t>
        </x:is>
      </x:c>
      <x:c r="U134" s="49" t="inlineStr">
        <x:is>
          <x:t xml:space="preserve">Контактная печать: негатив лежит на светочувствительной бумаге, под ним рождается позитив.</x:t>
        </x:is>
      </x:c>
      <x:c r="V134" s="49" t="inlineStr">
        <x:is>
          <x:t xml:space="preserve">#PL014 #salt-print #positive-print #Talbot</x:t>
        </x:is>
      </x:c>
      <x:c r="W134" s="49" t="n"/>
      <x:c r="X134" s="49" t="inlineStr">
        <x:is>
          <x:t xml:space="preserve">51.4140, -2.1210</x:t>
        </x:is>
      </x:c>
      <x:c r="Y134" s="49" t="inlineStr">
        <x:is>
          <x:t xml:space="preserve">Позитив / соляная печать</x:t>
        </x:is>
      </x:c>
      <x:c r="Z134" s="49" t="inlineStr">
        <x:is>
          <x:t xml:space="preserve">Ключевой исторический узел</x:t>
        </x:is>
      </x:c>
      <x:c r="AA134" s="49" t="inlineStr">
        <x:is>
          <x:t xml:space="preserve">да</x:t>
        </x:is>
      </x:c>
    </x:row>
    <x:row r="135" s="46" customFormat="1" ht="17" customHeight="1">
      <x:c r="A135" s="49" t="inlineStr">
        <x:is>
          <x:t xml:space="preserve">PL-HIST-0134</x:t>
        </x:is>
      </x:c>
      <x:c r="B135" s="49" t="inlineStr">
        <x:is>
          <x:t xml:space="preserve">1840 / 1847</x:t>
        </x:is>
      </x:c>
      <x:c r="C135" s="49" t="inlineStr">
        <x:is>
          <x:t xml:space="preserve">диапазон</x:t>
        </x:is>
      </x:c>
      <x:c r="D135" s="49" t="inlineStr">
        <x:is>
          <x:t xml:space="preserve">Франция / Великобритания</x:t>
        </x:is>
      </x:c>
      <x:c r="E135" s="49" t="inlineStr">
        <x:is>
          <x:t xml:space="preserve">Париж / Лондон</x:t>
        </x:is>
      </x:c>
      <x:c r="F135" s="49" t="inlineStr">
        <x:is>
          <x:t xml:space="preserve">Ипполит Физо</x:t>
        </x:is>
      </x:c>
      <x:c r="G135" s="49" t="inlineStr">
        <x:is>
          <x:t xml:space="preserve"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x:t>
        </x:is>
      </x:c>
      <x:c r="H135" s="49" t="inlineStr">
        <x:is>
          <x:t xml:space="preserve">Печать / тиражирование</x:t>
        </x:is>
      </x:c>
      <x:c r="I135" s="49" t="inlineStr">
        <x:is>
          <x:t xml:space="preserve">Gold toning of positive prints</x:t>
        </x:is>
      </x:c>
      <x:c r="J135" s="49" t="inlineStr">
        <x:is>
          <x:t xml:space="preserve"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x:t>
        </x:is>
      </x:c>
      <x:c r="K135" s="49" t="inlineStr">
        <x:is>
          <x:t xml:space="preserve">Соляная бумажная печать как первый практический позитив</x:t>
        </x:is>
      </x:c>
      <x:c r="L135" s="49" t="inlineStr">
        <x:is>
          <x:t xml:space="preserve">Поиск ещё более стойкого позитива приводит к угольной печати</x:t>
        </x:is>
      </x:c>
      <x:c r="M135" s="49" t="inlineStr">
        <x:is>
          <x:t xml:space="preserve">Главная линия</x:t>
        </x:is>
      </x:c>
      <x:c r="N135" s="49" t="n">
        <x:v>3</x:v>
      </x:c>
      <x:c r="O135" s="49" t="inlineStr">
        <x:is>
          <x:t xml:space="preserve">PL-014</x:t>
        </x:is>
      </x:c>
      <x:c r="P135" s="49" t="inlineStr">
        <x:is>
          <x:t xml:space="preserve">SRC-105</x:t>
        </x:is>
      </x:c>
      <x:c r="Q135" s="49" t="inlineStr">
        <x:is>
          <x:t xml:space="preserve">The Art of the Photogravure — Hippolyte Fizeau (gold toning)</x:t>
        </x:is>
      </x:c>
      <x:c r="R135" s="49" t="inlineStr">
        <x:is>
          <x:t xml:space="preserve">https://photogravure.com/key-figure/hippolyte-fizeau/</x:t>
        </x:is>
      </x:c>
      <x:c r="S135" s="49" t="n">
        <x:v>4</x:v>
      </x:c>
      <x:c r="T135" s="49" t="inlineStr">
        <x:is>
          <x:t xml:space="preserve"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x:t>
        </x:is>
      </x:c>
      <x:c r="U135" s="49" t="inlineStr">
        <x:is>
          <x:t xml:space="preserve">Один и тот же позитив до и после тонирования — сравнение оттенка и стойкости.</x:t>
        </x:is>
      </x:c>
      <x:c r="V135" s="49" t="inlineStr">
        <x:is>
          <x:t xml:space="preserve">#PL014 #gold-toning #Fizeau #permanence #positive</x:t>
        </x:is>
      </x:c>
      <x:c r="W135" s="49" t="n"/>
      <x:c r="X135" s="49" t="n"/>
      <x:c r="Y135" s="49" t="inlineStr">
        <x:is>
          <x:t xml:space="preserve">Позитив / стойкость и тонирование</x:t>
        </x:is>
      </x:c>
      <x:c r="Z135" s="49" t="inlineStr">
        <x:is>
          <x:t xml:space="preserve">Технология / процесс</x:t>
        </x:is>
      </x:c>
      <x:c r="AA135" s="49" t="n"/>
    </x:row>
    <x:row r="136" s="46" customFormat="1" ht="17" customHeight="1">
      <x:c r="A136" s="49" t="inlineStr">
        <x:is>
          <x:t xml:space="preserve">PL-HIST-0135</x:t>
        </x:is>
      </x:c>
      <x:c r="B136" s="49" t="inlineStr">
        <x:is>
          <x:t xml:space="preserve">1855</x:t>
        </x:is>
      </x:c>
      <x:c r="C136" s="49" t="inlineStr">
        <x:is>
          <x:t xml:space="preserve">год</x:t>
        </x:is>
      </x:c>
      <x:c r="D136" s="49" t="inlineStr">
        <x:is>
          <x:t xml:space="preserve">Франция</x:t>
        </x:is>
      </x:c>
      <x:c r="E136" s="49" t="inlineStr">
        <x:is>
          <x:t xml:space="preserve">Париж</x:t>
        </x:is>
      </x:c>
      <x:c r="F136" s="49" t="inlineStr">
        <x:is>
          <x:t xml:space="preserve">Альфонс Пуатвен</x:t>
        </x:is>
      </x:c>
      <x:c r="G136" s="49" t="inlineStr">
        <x:is>
          <x:t xml:space="preserve"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x:t>
        </x:is>
      </x:c>
      <x:c r="H136" s="49" t="inlineStr">
        <x:is>
          <x:t xml:space="preserve">Печать / тиражирование</x:t>
        </x:is>
      </x:c>
      <x:c r="I136" s="49" t="inlineStr">
        <x:is>
          <x:t xml:space="preserve">Carbon (pigment) printing</x:t>
        </x:is>
      </x:c>
      <x:c r="J136" s="49" t="inlineStr">
        <x:is>
          <x:t xml:space="preserve"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x:t>
        </x:is>
      </x:c>
      <x:c r="K136" s="49" t="inlineStr">
        <x:is>
          <x:t xml:space="preserve">Золотое тонирование замедляет, но не решает проблему выцветания серебряных позитивов</x:t>
        </x:is>
      </x:c>
      <x:c r="L136" s="49" t="inlineStr">
        <x:is>
          <x:t xml:space="preserve">Желатино-серебряная printing-out бумага и другие поздние позитивные процессы XIX века</x:t>
        </x:is>
      </x:c>
      <x:c r="M136" s="49" t="inlineStr">
        <x:is>
          <x:t xml:space="preserve">Побочная линия / альтернативный процесс</x:t>
        </x:is>
      </x:c>
      <x:c r="N136" s="49" t="n">
        <x:v>4</x:v>
      </x:c>
      <x:c r="O136" s="49" t="inlineStr">
        <x:is>
          <x:t xml:space="preserve">PL-014</x:t>
        </x:is>
      </x:c>
      <x:c r="P136" s="49" t="inlineStr">
        <x:is>
          <x:t xml:space="preserve">SRC-106</x:t>
        </x:is>
      </x:c>
      <x:c r="Q136" s="49" t="inlineStr">
        <x:is>
          <x:t xml:space="preserve">Royal Collection Trust — Carbon print</x:t>
        </x:is>
      </x:c>
      <x:c r="R136" s="49" t="inlineStr">
        <x:is>
          <x:t xml:space="preserve">https://www.rct.uk/group/381/content/explore/themes/photographic-technologies/carbon-print</x:t>
        </x:is>
      </x:c>
      <x:c r="S136" s="49" t="n">
        <x:v>5</x:v>
      </x:c>
      <x:c r="T136" s="49" t="inlineStr">
        <x:is>
          <x:t xml:space="preserve">Важная развилка для новичка: «позитив» — это не обязательно серебро на бумаге, а любой стойкий материал, способный удержать изображение.</x:t>
        </x:is>
      </x:c>
      <x:c r="U136" s="49" t="inlineStr">
        <x:is>
          <x:t xml:space="preserve">Слой пигмента в желатине, застывающий на свету, пока непроявленная часть смывается тёплой водой.</x:t>
        </x:is>
      </x:c>
      <x:c r="V136" s="49" t="inlineStr">
        <x:is>
          <x:t xml:space="preserve">#PL014 #carbon-print #Poitevin #pigment #permanence</x:t>
        </x:is>
      </x:c>
      <x:c r="W136" s="49" t="n"/>
      <x:c r="X136" s="49" t="inlineStr">
        <x:is>
          <x:t xml:space="preserve">48.8566, 2.3522</x:t>
        </x:is>
      </x:c>
      <x:c r="Y136" s="49" t="inlineStr">
        <x:is>
          <x:t xml:space="preserve">Позитив / угольная печать</x:t>
        </x:is>
      </x:c>
      <x:c r="Z136" s="49" t="inlineStr">
        <x:is>
          <x:t xml:space="preserve">Технология / процесс</x:t>
        </x:is>
      </x:c>
      <x:c r="AA136" s="49" t="n"/>
    </x:row>
    <x:row r="137" s="46" customFormat="1" ht="17" customHeight="1">
      <x:c r="A137" s="49" t="inlineStr">
        <x:is>
          <x:t xml:space="preserve">PL-HIST-0136</x:t>
        </x:is>
      </x:c>
      <x:c r="B137" s="49" t="inlineStr">
        <x:is>
          <x:t xml:space="preserve">1860–1940</x:t>
        </x:is>
      </x:c>
      <x:c r="C137" s="49" t="inlineStr">
        <x:is>
          <x:t xml:space="preserve">диапазон</x:t>
        </x:is>
      </x:c>
      <x:c r="D137" s="49" t="inlineStr">
        <x:is>
          <x:t xml:space="preserve">Европа / США</x:t>
        </x:is>
      </x:c>
      <x:c r="E137" s="49" t="inlineStr">
        <x:is>
          <x:t xml:space="preserve">распределённый процесс</x:t>
        </x:is>
      </x:c>
      <x:c r="F137" s="49" t="inlineStr">
        <x:is>
          <x:t xml:space="preserve">Производители фотобумаги и фотографы</x:t>
        </x:is>
      </x:c>
      <x:c r="G137" s="49" t="inlineStr">
        <x:is>
          <x:t xml:space="preserve">Gelatin silver printing-out paper сохраняет логику контактного позитива: изображение проявляется главным образом светом, без отдельного химического проявления.</x:t>
        </x:is>
      </x:c>
      <x:c r="H137" s="49" t="inlineStr">
        <x:is>
          <x:t xml:space="preserve">Печать / тиражирование</x:t>
        </x:is>
      </x:c>
      <x:c r="I137" s="49" t="inlineStr">
        <x:is>
          <x:t xml:space="preserve">Gelatin silver printing-out paper / POP</x:t>
        </x:is>
      </x:c>
      <x:c r="J137" s="49" t="inlineStr">
        <x:is>
          <x:t xml:space="preserve">Позитив остаётся связанным с размером негатива: бумага и негатив прижимаются друг к другу, а солнечный/UV-свет выводит видимое изображение.</x:t>
        </x:is>
      </x:c>
      <x:c r="K137" s="49" t="inlineStr">
        <x:is>
          <x:t xml:space="preserve">Альбуминовая и соляная контактная печать</x:t>
        </x:is>
      </x:c>
      <x:c r="L137" s="49" t="inlineStr">
        <x:is>
          <x:t xml:space="preserve">Developing-out paper, увеличитель и тёмная комната XX века</x:t>
        </x:is>
      </x:c>
      <x:c r="M137" s="49" t="inlineStr">
        <x:is>
          <x:t xml:space="preserve">Временная доминирующая линия</x:t>
        </x:is>
      </x:c>
      <x:c r="N137" s="49" t="n">
        <x:v>4</x:v>
      </x:c>
      <x:c r="O137" s="49" t="inlineStr">
        <x:is>
          <x:t xml:space="preserve">PL-014</x:t>
        </x:is>
      </x:c>
      <x:c r="P137" s="49" t="inlineStr">
        <x:is>
          <x:t xml:space="preserve">SRC-099</x:t>
        </x:is>
      </x:c>
      <x:c r="Q137" s="49" t="inlineStr">
        <x:is>
          <x:t xml:space="preserve">MoMA — Gelatin silver printing-out-paper print (POP)</x:t>
        </x:is>
      </x:c>
      <x:c r="R137" s="49" t="inlineStr">
        <x:is>
          <x:t xml:space="preserve">https://www.moma.org/collection/terms/gelatin-silver-printing-out-paper-print-pop</x:t>
        </x:is>
      </x:c>
      <x:c r="S137" s="49" t="n">
        <x:v>5</x:v>
      </x:c>
      <x:c r="T137" s="49" t="inlineStr">
        <x:is>
          <x:t xml:space="preserve">В уроке можно объяснить разницу: одни позитивы «выводятся» светом, другие проявляются химически.</x:t>
        </x:is>
      </x:c>
      <x:c r="U137" s="49" t="inlineStr">
        <x:is>
          <x:t xml:space="preserve">Солнце/UV-свет печатает позитив через негатив, как контактную копию.</x:t>
        </x:is>
      </x:c>
      <x:c r="V137" s="49" t="inlineStr">
        <x:is>
          <x:t xml:space="preserve">#PL014 #POP #printing-out-paper #positive</x:t>
        </x:is>
      </x:c>
      <x:c r="W137" s="49" t="inlineStr">
        <x:is>
          <x:t xml:space="preserve">Диапазон 1860–1940 обобщён; не привязывать к одному городу.</x:t>
        </x:is>
      </x:c>
      <x:c r="X137" s="49" t="n"/>
      <x:c r="Y137" s="49" t="inlineStr">
        <x:is>
          <x:t xml:space="preserve">Позитив / printing-out paper</x:t>
        </x:is>
      </x:c>
      <x:c r="Z137" s="49" t="inlineStr">
        <x:is>
          <x:t xml:space="preserve">Технология / процесс</x:t>
        </x:is>
      </x:c>
      <x:c r="AA137" s="49" t="n"/>
    </x:row>
    <x:row r="138" s="46" customFormat="1" ht="17" customHeight="1">
      <x:c r="A138" s="49" t="inlineStr">
        <x:is>
          <x:t xml:space="preserve">PL-HIST-0137</x:t>
        </x:is>
      </x:c>
      <x:c r="B138" s="49" t="inlineStr">
        <x:is>
          <x:t xml:space="preserve">1873 / к 1895</x:t>
        </x:is>
      </x:c>
      <x:c r="C138" s="49" t="inlineStr">
        <x:is>
          <x:t xml:space="preserve">спорно/уточнить</x:t>
        </x:is>
      </x:c>
      <x:c r="D138" s="49" t="inlineStr">
        <x:is>
          <x:t xml:space="preserve">Великобритания</x:t>
        </x:is>
      </x:c>
      <x:c r="E138" s="49" t="inlineStr">
        <x:is>
          <x:t xml:space="preserve">Лондон / Великобритания</x:t>
        </x:is>
      </x:c>
      <x:c r="F138" s="49" t="inlineStr">
        <x:is>
          <x:t xml:space="preserve">Питер Модсли и производители фотобумаги</x:t>
        </x:is>
      </x:c>
      <x:c r="G138" s="49" t="inlineStr">
        <x:is>
          <x:t xml:space="preserve">Желатино-серебряная developing-out paper меняет позитивную печать: изображение появляется после химического проявления в тёмной комнате.</x:t>
        </x:is>
      </x:c>
      <x:c r="H138" s="49" t="inlineStr">
        <x:is>
          <x:t xml:space="preserve">Печать / тиражирование</x:t>
        </x:is>
      </x:c>
      <x:c r="I138" s="49" t="inlineStr">
        <x:is>
          <x:t xml:space="preserve">Gelatin silver developing-out paper / DOP</x:t>
        </x:is>
      </x:c>
      <x:c r="J138" s="49" t="inlineStr">
        <x:is>
          <x:t xml:space="preserve">Позитив становится более быстрым, управляемым и пригодным для увеличения: фотограф может влиять на размер, контраст и тональность отпечатка.</x:t>
        </x:is>
      </x:c>
      <x:c r="K138" s="49" t="inlineStr">
        <x:is>
          <x:t xml:space="preserve">Printing-out paper и контактная печать XIX века</x:t>
        </x:is>
      </x:c>
      <x:c r="L138" s="49" t="inlineStr">
        <x:is>
          <x:t xml:space="preserve">Тёмная комната, увеличитель и авторская чёрно-белая печать XX века</x:t>
        </x:is>
      </x:c>
      <x:c r="M138" s="49" t="inlineStr">
        <x:is>
          <x:t xml:space="preserve">Главная линия / временная доминирующая линия</x:t>
        </x:is>
      </x:c>
      <x:c r="N138" s="49" t="n">
        <x:v>5</x:v>
      </x:c>
      <x:c r="O138" s="49" t="inlineStr">
        <x:is>
          <x:t xml:space="preserve">PL-014</x:t>
        </x:is>
      </x:c>
      <x:c r="P138" s="49" t="inlineStr">
        <x:is>
          <x:t xml:space="preserve">SRC-100</x:t>
        </x:is>
      </x:c>
      <x:c r="Q138" s="49" t="inlineStr">
        <x:is>
          <x:t xml:space="preserve">HNOC — Gelatin Silver Developing-Out Paper Process</x:t>
        </x:is>
      </x:c>
      <x:c r="R138" s="49" t="inlineStr">
        <x:is>
          <x:t xml:space="preserve">https://hnoc.org/virtual-exhibitions/from_daguerreotype_to_digital/gelatin-silver-developing-out-paper-process</x:t>
        </x:is>
      </x:c>
      <x:c r="S138" s="49" t="n">
        <x:v>5</x:v>
      </x:c>
      <x:c r="T138" s="49" t="inlineStr">
        <x:is>
          <x:t xml:space="preserve">Это мост к практической фотографии: позитив можно не просто получить, а печатать как авторское решение.</x:t>
        </x:is>
      </x:c>
      <x:c r="U138" s="49" t="inlineStr">
        <x:is>
          <x:t xml:space="preserve">Красный свет тёмной комнаты, увеличитель, лист фотобумаги в ванночке проявителя.</x:t>
        </x:is>
      </x:c>
      <x:c r="V138" s="49" t="inlineStr">
        <x:is>
          <x:t xml:space="preserve">#PL014 #DOP #gelatin-silver #darkroom-print</x:t>
        </x:is>
      </x:c>
      <x:c r="W138" s="49" t="inlineStr">
        <x:is>
          <x:t xml:space="preserve">Уточнить персональную и географическую привязку Peter Mawdsley при углублении.</x:t>
        </x:is>
      </x:c>
      <x:c r="X138" s="49" t="inlineStr">
        <x:is>
          <x:t xml:space="preserve">51.5074, -0.1278</x:t>
        </x:is>
      </x:c>
      <x:c r="Y138" s="49" t="inlineStr">
        <x:is>
          <x:t xml:space="preserve">Позитив / developing-out paper</x:t>
        </x:is>
      </x:c>
      <x:c r="Z138" s="49" t="inlineStr">
        <x:is>
          <x:t xml:space="preserve">Технология / процесс</x:t>
        </x:is>
      </x:c>
      <x:c r="AA138" s="49" t="n"/>
    </x:row>
    <x:row r="139" s="46" customFormat="1" ht="17" customHeight="1">
      <x:c r="A139" s="49" t="inlineStr">
        <x:is>
          <x:t xml:space="preserve">PL-HIST-0138</x:t>
        </x:is>
      </x:c>
      <x:c r="B139" s="49" t="inlineStr">
        <x:is>
          <x:t xml:space="preserve">1873 / 1880</x:t>
        </x:is>
      </x:c>
      <x:c r="C139" s="49" t="inlineStr">
        <x:is>
          <x:t xml:space="preserve">диапазон</x:t>
        </x:is>
      </x:c>
      <x:c r="D139" s="49" t="inlineStr">
        <x:is>
          <x:t xml:space="preserve">Великобритания</x:t>
        </x:is>
      </x:c>
      <x:c r="E139" s="49" t="inlineStr">
        <x:is>
          <x:t xml:space="preserve">Лондон</x:t>
        </x:is>
      </x:c>
      <x:c r="F139" s="49" t="inlineStr">
        <x:is>
          <x:t xml:space="preserve">Уильям Уиллис</x:t>
        </x:is>
      </x:c>
      <x:c r="G139" s="49" t="inlineStr">
        <x:is>
          <x:t xml:space="preserve"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x:t>
        </x:is>
      </x:c>
      <x:c r="H139" s="49" t="inlineStr">
        <x:is>
          <x:t xml:space="preserve">Печать / тиражирование</x:t>
        </x:is>
      </x:c>
      <x:c r="I139" s="49" t="inlineStr">
        <x:is>
          <x:t xml:space="preserve">Platinum print (platinotype)</x:t>
        </x:is>
      </x:c>
      <x:c r="J139" s="49" t="inlineStr">
        <x:is>
          <x:t xml:space="preserve"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x:t>
        </x:is>
      </x:c>
      <x:c r="K139" s="49" t="inlineStr">
        <x:is>
          <x:t xml:space="preserve">Желатино-серебряная printing-out и developing-out бумага</x:t>
        </x:is>
      </x:c>
      <x:c r="L139" s="49" t="inlineStr">
        <x:is>
          <x:t xml:space="preserve">Autochrome и первые цветные позитивы-прозрачности</x:t>
        </x:is>
      </x:c>
      <x:c r="M139" s="49" t="inlineStr">
        <x:is>
          <x:t xml:space="preserve">Побочная линия / альтернативный процесс</x:t>
        </x:is>
      </x:c>
      <x:c r="N139" s="49" t="n">
        <x:v>3</x:v>
      </x:c>
      <x:c r="O139" s="49" t="inlineStr">
        <x:is>
          <x:t xml:space="preserve">PL-014</x:t>
        </x:is>
      </x:c>
      <x:c r="P139" s="49" t="inlineStr">
        <x:is>
          <x:t xml:space="preserve">SRC-107</x:t>
        </x:is>
      </x:c>
      <x:c r="Q139" s="49" t="inlineStr">
        <x:is>
          <x:t xml:space="preserve">Historic New Orleans Collection — Platinum Process</x:t>
        </x:is>
      </x:c>
      <x:c r="R139" s="49" t="inlineStr">
        <x:is>
          <x:t xml:space="preserve">https://hnoc.org/virtual-exhibitions/from_daguerreotype_to_digital/platinum-process</x:t>
        </x:is>
      </x:c>
      <x:c r="S139" s="49" t="n">
        <x:v>4</x:v>
      </x:c>
      <x:c r="T139" s="49" t="inlineStr">
        <x:is>
          <x:t xml:space="preserve">Хорошо связать с современностью: платиновую печать до сих пор используют художники именно за долговечность и особый матовый тон.</x:t>
        </x:is>
      </x:c>
      <x:c r="U139" s="49" t="inlineStr">
        <x:is>
          <x:t xml:space="preserve">Сравнение поверхности: блестящий серебряный отпечаток рядом с матовым платиновым.</x:t>
        </x:is>
      </x:c>
      <x:c r="V139" s="49" t="inlineStr">
        <x:is>
          <x:t xml:space="preserve">#PL014 #platinotype #WillisPlatinum #tonal-range #positive</x:t>
        </x:is>
      </x:c>
      <x:c r="W139" s="49" t="n"/>
      <x:c r="X139" s="49" t="inlineStr">
        <x:is>
          <x:t xml:space="preserve">51.5074, -0.1278</x:t>
        </x:is>
      </x:c>
      <x:c r="Y139" s="49" t="inlineStr">
        <x:is>
          <x:t xml:space="preserve">Позитив / платиновая печать</x:t>
        </x:is>
      </x:c>
      <x:c r="Z139" s="49" t="inlineStr">
        <x:is>
          <x:t xml:space="preserve">Технология / процесс</x:t>
        </x:is>
      </x:c>
      <x:c r="AA139" s="49" t="n"/>
    </x:row>
    <x:row r="140" s="46" customFormat="1" ht="17" customHeight="1">
      <x:c r="A140" s="49" t="inlineStr">
        <x:is>
          <x:t xml:space="preserve">PL-HIST-0139</x:t>
        </x:is>
      </x:c>
      <x:c r="B140" s="49" t="inlineStr">
        <x:is>
          <x:t xml:space="preserve">1907</x:t>
        </x:is>
      </x:c>
      <x:c r="C140" s="49" t="inlineStr">
        <x:is>
          <x:t xml:space="preserve">год</x:t>
        </x:is>
      </x:c>
      <x:c r="D140" s="49" t="inlineStr">
        <x:is>
          <x:t xml:space="preserve">Франция</x:t>
        </x:is>
      </x:c>
      <x:c r="E140" s="49" t="inlineStr">
        <x:is>
          <x:t xml:space="preserve">Лион / Париж</x:t>
        </x:is>
      </x:c>
      <x:c r="F140" s="49" t="inlineStr">
        <x:is>
          <x:t xml:space="preserve">Братья Люмьер</x:t>
        </x:is>
      </x:c>
      <x:c r="G140" s="49" t="inlineStr">
        <x:is>
          <x:t xml:space="preserve">Autochrome Lumière даёт цветной позитив-прозрачность: изображение смотрят на просвет или проецируют.</x:t>
        </x:is>
      </x:c>
      <x:c r="H140" s="49" t="inlineStr">
        <x:is>
          <x:t xml:space="preserve">Цвет</x:t>
        </x:is>
      </x:c>
      <x:c r="I140" s="49" t="inlineStr">
        <x:is>
          <x:t xml:space="preserve">Autochrome positive transparency</x:t>
        </x:is>
      </x:c>
      <x:c r="J140" s="49" t="inlineStr">
        <x:is>
          <x:t xml:space="preserve">Позитив может быть не только бумажным отпечатком, но и прозрачностью для света, проекции и просмотра цвета.</x:t>
        </x:is>
      </x:c>
      <x:c r="K140" s="49" t="inlineStr">
        <x:is>
          <x:t xml:space="preserve">Чёрно-белые позитивные отпечатки и ранние цветовые опыты</x:t>
        </x:is>
      </x:c>
      <x:c r="L140" s="49" t="inlineStr">
        <x:is>
          <x:t xml:space="preserve">Dye Transfer и другие способы получить цветной позитив на бумаге</x:t>
        </x:is>
      </x:c>
      <x:c r="M140" s="49" t="inlineStr">
        <x:is>
          <x:t xml:space="preserve">Исторически важная ограниченная ветка</x:t>
        </x:is>
      </x:c>
      <x:c r="N140" s="49" t="n">
        <x:v>4</x:v>
      </x:c>
      <x:c r="O140" s="49" t="inlineStr">
        <x:is>
          <x:t xml:space="preserve">PL-014</x:t>
        </x:is>
      </x:c>
      <x:c r="P140" s="49" t="inlineStr">
        <x:is>
          <x:t xml:space="preserve">SRC-104</x:t>
        </x:is>
      </x:c>
      <x:c r="Q140" s="49" t="inlineStr">
        <x:is>
          <x:t xml:space="preserve">National Science and Media Museum — Autochromes: the dawn of colour photography</x:t>
        </x:is>
      </x:c>
      <x:c r="R140" s="49" t="inlineStr">
        <x:is>
          <x:t xml:space="preserve">https://blog.scienceandmediamuseum.org.uk/autochromes-the-dawn-of-colour-photography/</x:t>
        </x:is>
      </x:c>
      <x:c r="S140" s="49" t="n">
        <x:v>5</x:v>
      </x:c>
      <x:c r="T140" s="49" t="inlineStr">
        <x:is>
          <x:t xml:space="preserve">В PL-014 это расширяет понятие: позитив — не всегда бумага; иногда это изображение, которое оживает на просвет.</x:t>
        </x:is>
      </x:c>
      <x:c r="U140" s="49" t="inlineStr">
        <x:is>
          <x:t xml:space="preserve">Стеклянная цветная пластина Autochrome на световом столе.</x:t>
        </x:is>
      </x:c>
      <x:c r="V140" s="49" t="inlineStr">
        <x:is>
          <x:t xml:space="preserve">#PL014 #autochrome #positive-transparency #colour</x:t>
        </x:is>
      </x:c>
      <x:c r="W140" s="49" t="n"/>
      <x:c r="X140" s="49" t="inlineStr">
        <x:is>
          <x:t xml:space="preserve">45.7640, 4.8357</x:t>
        </x:is>
      </x:c>
      <x:c r="Y140" s="49" t="inlineStr">
        <x:is>
          <x:t xml:space="preserve">Позитив / цветная прозрачность</x:t>
        </x:is>
      </x:c>
      <x:c r="Z140" s="49" t="inlineStr">
        <x:is>
          <x:t xml:space="preserve">Технология / процесс</x:t>
        </x:is>
      </x:c>
      <x:c r="AA140" s="49" t="n"/>
    </x:row>
    <x:row r="141" s="46" customFormat="1" ht="17" customHeight="1">
      <x:c r="A141" s="49" t="inlineStr">
        <x:is>
          <x:t xml:space="preserve">PL-HIST-0140</x:t>
        </x:is>
      </x:c>
      <x:c r="B141" s="49" t="inlineStr">
        <x:is>
          <x:t xml:space="preserve">1945 / 1946</x:t>
        </x:is>
      </x:c>
      <x:c r="C141" s="49" t="inlineStr">
        <x:is>
          <x:t xml:space="preserve">диапазон</x:t>
        </x:is>
      </x:c>
      <x:c r="D141" s="49" t="inlineStr">
        <x:is>
          <x:t xml:space="preserve">США</x:t>
        </x:is>
      </x:c>
      <x:c r="E141" s="49" t="inlineStr">
        <x:is>
          <x:t xml:space="preserve">Рочестер, Нью-Йорк</x:t>
        </x:is>
      </x:c>
      <x:c r="F141" s="49" t="inlineStr">
        <x:is>
          <x:t xml:space="preserve">Eastman Kodak</x:t>
        </x:is>
      </x:c>
      <x:c r="G141" s="49" t="inlineStr">
        <x:is>
          <x:t xml:space="preserve"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x:t>
        </x:is>
      </x:c>
      <x:c r="H141" s="49" t="inlineStr">
        <x:is>
          <x:t xml:space="preserve">Цвет</x:t>
        </x:is>
      </x:c>
      <x:c r="I141" s="49" t="inlineStr">
        <x:is>
          <x:t xml:space="preserve">Kodak Dye Transfer (dye imbibition print)</x:t>
        </x:is>
      </x:c>
      <x:c r="J141" s="49" t="inlineStr">
        <x:is>
          <x:t xml:space="preserve"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x:t>
        </x:is>
      </x:c>
      <x:c r="K141" s="49" t="inlineStr">
        <x:is>
          <x:t xml:space="preserve">Autochrome и цветные позитивы-прозрачности начала XX века</x:t>
        </x:is>
      </x:c>
      <x:c r="L141" s="49" t="inlineStr">
        <x:is>
          <x:t xml:space="preserve">Хромогенная цветная печать (C-print) как массовый способ получить цветной позитив</x:t>
        </x:is>
      </x:c>
      <x:c r="M141" s="49" t="inlineStr">
        <x:is>
          <x:t xml:space="preserve">Побочная линия / студийный процесс</x:t>
        </x:is>
      </x:c>
      <x:c r="N141" s="49" t="n">
        <x:v>3</x:v>
      </x:c>
      <x:c r="O141" s="49" t="inlineStr">
        <x:is>
          <x:t xml:space="preserve">PL-014</x:t>
        </x:is>
      </x:c>
      <x:c r="P141" s="49" t="inlineStr">
        <x:is>
          <x:t xml:space="preserve">SRC-108</x:t>
        </x:is>
      </x:c>
      <x:c r="Q141" s="49" t="inlineStr">
        <x:is>
          <x:t xml:space="preserve">George Eastman Museum — Dye-transfer printing (images)</x:t>
        </x:is>
      </x:c>
      <x:c r="R141" s="49" t="inlineStr">
        <x:is>
          <x:t xml:space="preserve">https://www.eastman.org/technicolor/2b-dye-transfer-printing-images</x:t>
        </x:is>
      </x:c>
      <x:c r="S141" s="49" t="n">
        <x:v>4</x:v>
      </x:c>
      <x:c r="T141" s="49" t="inlineStr">
        <x:is>
          <x:t xml:space="preserve"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x:t>
        </x:is>
      </x:c>
      <x:c r="U141" s="49" t="inlineStr">
        <x:is>
          <x:t xml:space="preserve">Три желатиновые матрицы (C/M/Y) поочерёдно прижимаются к бумаге, оставляя слой красителя.</x:t>
        </x:is>
      </x:c>
      <x:c r="V141" s="49" t="inlineStr">
        <x:is>
          <x:t xml:space="preserve">#PL014 #dye-transfer #Kodak #color-print #imbibition</x:t>
        </x:is>
      </x:c>
      <x:c r="W141" s="49" t="n"/>
      <x:c r="X141" s="49" t="inlineStr">
        <x:is>
          <x:t xml:space="preserve">43.1566, -77.6088</x:t>
        </x:is>
      </x:c>
      <x:c r="Y141" s="49" t="inlineStr">
        <x:is>
          <x:t xml:space="preserve">Позитив / цветная печать с матриц</x:t>
        </x:is>
      </x:c>
      <x:c r="Z141" s="49" t="inlineStr">
        <x:is>
          <x:t xml:space="preserve">Технология / процесс</x:t>
        </x:is>
      </x:c>
      <x:c r="AA141" s="49" t="n"/>
    </x:row>
    <x:row r="142" s="46" customFormat="1" ht="17" customHeight="1">
      <x:c r="A142" s="49" t="inlineStr">
        <x:is>
          <x:t xml:space="preserve">PL-HIST-0141</x:t>
        </x:is>
      </x:c>
      <x:c r="B142" s="49" t="inlineStr">
        <x:is>
          <x:t xml:space="preserve">1948</x:t>
        </x:is>
      </x:c>
      <x:c r="C142" s="49" t="inlineStr">
        <x:is>
          <x:t xml:space="preserve">год</x:t>
        </x:is>
      </x:c>
      <x:c r="D142" s="49" t="inlineStr">
        <x:is>
          <x:t xml:space="preserve">США</x:t>
        </x:is>
      </x:c>
      <x:c r="E142" s="49" t="inlineStr">
        <x:is>
          <x:t xml:space="preserve">Кембридж, Массачусетс</x:t>
        </x:is>
      </x:c>
      <x:c r="F142" s="49" t="inlineStr">
        <x:is>
          <x:t xml:space="preserve">Polaroid / Эдвин Лэнд</x:t>
        </x:is>
      </x:c>
      <x:c r="G142" s="49" t="inlineStr">
        <x:is>
          <x:t xml:space="preserve">Polaroid Land Camera Model 95 запускает массовую идею instant-positive: готовый позитивный отпечаток появляется сразу после съёмки.</x:t>
        </x:is>
      </x:c>
      <x:c r="H142" s="49" t="inlineStr">
        <x:is>
          <x:t xml:space="preserve">Уникальный позитив</x:t>
        </x:is>
      </x:c>
      <x:c r="I142" s="49" t="inlineStr">
        <x:is>
          <x:t xml:space="preserve">Instant positive print / Polaroid Model 95</x:t>
        </x:is>
      </x:c>
      <x:c r="J142" s="49" t="inlineStr">
        <x:is>
          <x:t xml:space="preserve">Позитив перестаёт требовать отдельной лабораторной задержки: фотография превращается в мгновенный объект, который можно сразу показать.</x:t>
        </x:is>
      </x:c>
      <x:c r="K142" s="49" t="inlineStr">
        <x:is>
          <x:t xml:space="preserve">Печать позитива в лаборатории и сервисная обработка</x:t>
        </x:is>
      </x:c>
      <x:c r="L142" s="49" t="inlineStr">
        <x:is>
          <x:t xml:space="preserve">Instant photography, SX-70 и современное возвращение мгновенных отпечатков</x:t>
        </x:is>
      </x:c>
      <x:c r="M142" s="49" t="inlineStr">
        <x:is>
          <x:t xml:space="preserve">Исторически важная ограниченная ветка / художественное возрождение</x:t>
        </x:is>
      </x:c>
      <x:c r="N142" s="49" t="n">
        <x:v>5</x:v>
      </x:c>
      <x:c r="O142" s="49" t="inlineStr">
        <x:is>
          <x:t xml:space="preserve">PL-014</x:t>
        </x:is>
      </x:c>
      <x:c r="P142" s="49" t="inlineStr">
        <x:is>
          <x:t xml:space="preserve">SRC-101</x:t>
        </x:is>
      </x:c>
      <x:c r="Q142" s="49" t="inlineStr">
        <x:is>
          <x:t xml:space="preserve">Smithsonian — Polaroid Land Camera Model 95</x:t>
        </x:is>
      </x:c>
      <x:c r="R142" s="49" t="inlineStr">
        <x:is>
          <x:t xml:space="preserve">https://americanhistory.si.edu/collections/object/nmah_1154069</x:t>
        </x:is>
      </x:c>
      <x:c r="S142" s="49" t="n">
        <x:v>5</x:v>
      </x:c>
      <x:c r="T142" s="49" t="inlineStr">
        <x:is>
          <x:t xml:space="preserve">Сильный пример: позитив — это момент, когда изображение становится социальным объектом прямо в руках.</x:t>
        </x:is>
      </x:c>
      <x:c r="U142" s="49" t="inlineStr">
        <x:is>
          <x:t xml:space="preserve">Человек держит только что появившийся Polaroid-отпечаток.</x:t>
        </x:is>
      </x:c>
      <x:c r="V142" s="49" t="inlineStr">
        <x:is>
          <x:t xml:space="preserve">#PL014 #Polaroid #instant-positive #LandCamera</x:t>
        </x:is>
      </x:c>
      <x:c r="W142" s="49" t="n"/>
      <x:c r="X142" s="49" t="inlineStr">
        <x:is>
          <x:t xml:space="preserve">42.3736, -71.1097</x:t>
        </x:is>
      </x:c>
      <x:c r="Y142" s="49" t="inlineStr">
        <x:is>
          <x:t xml:space="preserve">Позитив / instant print</x:t>
        </x:is>
      </x:c>
      <x:c r="Z142" s="49" t="inlineStr">
        <x:is>
          <x:t xml:space="preserve">Технология / процесс</x:t>
        </x:is>
      </x:c>
      <x:c r="AA142" s="49" t="n"/>
    </x:row>
    <x:row r="143" s="46" customFormat="1" ht="17" customHeight="1">
      <x:c r="A143" s="49" t="inlineStr">
        <x:is>
          <x:t xml:space="preserve">PL-HIST-0142</x:t>
        </x:is>
      </x:c>
      <x:c r="B143" s="49" t="inlineStr">
        <x:is>
          <x:t xml:space="preserve">1940-е – XX век</x:t>
        </x:is>
      </x:c>
      <x:c r="C143" s="49" t="inlineStr">
        <x:is>
          <x:t xml:space="preserve">диапазон</x:t>
        </x:is>
      </x:c>
      <x:c r="D143" s="49" t="inlineStr">
        <x:is>
          <x:t xml:space="preserve">США / Европа / глобально</x:t>
        </x:is>
      </x:c>
      <x:c r="E143" s="49" t="inlineStr">
        <x:is>
          <x:t xml:space="preserve">фотолаборатории и архивы</x:t>
        </x:is>
      </x:c>
      <x:c r="F143" s="49" t="inlineStr">
        <x:is>
          <x:t xml:space="preserve">Фотоиндустрия цветной печати</x:t>
        </x:is>
      </x:c>
      <x:c r="G143" s="49" t="inlineStr">
        <x:is>
          <x:t xml:space="preserve">Chromogenic print / C-print становится одной из главных форм цветного позитивного отпечатка XX века.</x:t>
        </x:is>
      </x:c>
      <x:c r="H143" s="49" t="inlineStr">
        <x:is>
          <x:t xml:space="preserve">Печать / тиражирование</x:t>
        </x:is>
      </x:c>
      <x:c r="I143" s="49" t="inlineStr">
        <x:is>
          <x:t xml:space="preserve">Chromogenic print / C-print</x:t>
        </x:is>
      </x:c>
      <x:c r="J143" s="49" t="inlineStr">
        <x:is>
          <x:t xml:space="preserve">Цветной позитив на бумаге становится массовой финальной формой изображения: семейные альбомы, лаборатории, выставочные C-prints и цифровая RA-4 печать.</x:t>
        </x:is>
      </x:c>
      <x:c r="K143" s="49" t="inlineStr">
        <x:is>
          <x:t xml:space="preserve">Kodachrome, Kodacolor и развитие цветной негативной/позитивной системы</x:t>
        </x:is>
      </x:c>
      <x:c r="L143" s="49" t="inlineStr">
        <x:is>
          <x:t xml:space="preserve">Современная фотопечать, цифровой файл → светочувствительная бумага → позитивный отпечаток</x:t>
        </x:is>
      </x:c>
      <x:c r="M143" s="49" t="inlineStr">
        <x:is>
          <x:t xml:space="preserve">Главная линия / временная доминирующая линия</x:t>
        </x:is>
      </x:c>
      <x:c r="N143" s="49" t="n">
        <x:v>4</x:v>
      </x:c>
      <x:c r="O143" s="49" t="inlineStr">
        <x:is>
          <x:t xml:space="preserve">PL-014</x:t>
        </x:is>
      </x:c>
      <x:c r="P143" s="49" t="inlineStr">
        <x:is>
          <x:t xml:space="preserve">SRC-102</x:t>
        </x:is>
      </x:c>
      <x:c r="Q143" s="49" t="inlineStr">
        <x:is>
          <x:t xml:space="preserve">MoMA — Chromogenic print</x:t>
        </x:is>
      </x:c>
      <x:c r="R143" s="49" t="inlineStr">
        <x:is>
          <x:t xml:space="preserve">https://www.moma.org/collection/terms/chromogenic-print</x:t>
        </x:is>
      </x:c>
      <x:c r="S143" s="49" t="n">
        <x:v>5</x:v>
      </x:c>
      <x:c r="T143" s="49" t="inlineStr">
        <x:is>
          <x:t xml:space="preserve">Финальный вывод урока: позитив — это то, как фотография обычно встречается со зрителем: бумага, слайд, instant print или современный цветной отпечаток.</x:t>
        </x:is>
      </x:c>
      <x:c r="U143" s="49" t="inlineStr">
        <x:is>
          <x:t xml:space="preserve">Стена с цветными позитивными отпечатками: от лабораторных фото до выставочного C-print.</x:t>
        </x:is>
      </x:c>
      <x:c r="V143" s="49" t="inlineStr">
        <x:is>
          <x:t xml:space="preserve">#PL014 #chromogenic-print #C-print #positive</x:t>
        </x:is>
      </x:c>
      <x:c r="W143" s="49" t="inlineStr">
        <x:is>
          <x:t xml:space="preserve">Датировка дана как обобщённая; детальную историю цветной негативной плёнки оставить для PL-016.</x:t>
        </x:is>
      </x:c>
      <x:c r="X143" s="49" t="n"/>
      <x:c r="Y143" s="49" t="inlineStr">
        <x:is>
          <x:t xml:space="preserve">Позитив / chromogenic print</x:t>
        </x:is>
      </x:c>
      <x:c r="Z143" s="49" t="inlineStr">
        <x:is>
          <x:t xml:space="preserve">Тиражирование / публикация</x:t>
        </x:is>
      </x:c>
      <x:c r="AA143" s="49" t="n"/>
    </x:row>
    <x:row r="144" s="46" customFormat="1" ht="17" customHeight="1">
      <x:c r="A144" t="str">
        <x:v>PL-HIST-0143</x:v>
      </x:c>
      <x:c r="B144" t="str">
        <x:v>XIX–XX век</x:v>
      </x:c>
      <x:c r="C144" t="str">
        <x:v>диапазон</x:v>
      </x:c>
      <x:c r="D144" t="str">
        <x:v>глобально</x:v>
      </x:c>
      <x:c r="E144" t="str">
        <x:v>распределённый процесс</x:v>
      </x:c>
      <x:c r="F144" t="str">
        <x:v>Фотографы, производители плёнки и лаборатории</x:v>
      </x:c>
      <x:c r="G144" t="str">
        <x:v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x:v>
      </x:c>
      <x:c r="H144" t="str">
        <x:v>Фотохимия</x:v>
      </x:c>
      <x:c r="I144" t="str">
        <x:v>Black-and-white silver halide negative film</x:v>
      </x:c>
      <x:c r="J144" t="str">
        <x:v>Чёрно-белая плёнка показывает фотографию как перевод света в плотность: чем больше света получил участок, тем темнее он становится на негативе.</x:v>
      </x:c>
      <x:c r="K144" t="str">
        <x:v>Общая структура плёнки, эмульсия, негатив и позитив из PL-011–PL-014</x:v>
      </x:c>
      <x:c r="L144" t="str">
        <x:v>Цветная негативная плёнка как следующий тип материала</x:v>
      </x:c>
      <x:c r="M144" t="str">
        <x:v>Главная линия</x:v>
      </x:c>
      <x:c r="N144" t="n">
        <x:v>5</x:v>
      </x:c>
      <x:c r="O144" t="str">
        <x:v>PL-015</x:v>
      </x:c>
      <x:c r="P144" t="str">
        <x:v>SRC-109</x:v>
      </x:c>
      <x:c r="Q144" t="str">
        <x:v>ILFORD Photo — Silver Halide Prints</x:v>
      </x:c>
      <x:c r="R144" t="str">
        <x:v>https://www.ilfordphoto.com/silver-halide/</x:v>
      </x:c>
      <x:c r="S144" t="n">
        <x:v>5</x:v>
      </x:c>
      <x:c r="T144" t="str">
        <x:v>Флагманская мысль урока: ч/б плёнка — это не «без цвета», а отдельный способ видеть свет, форму, тон и контраст.</x:v>
      </x:c>
      <x:c r="U144" t="str">
        <x:v>Разрез плёнки: прозрачная основа, тонкий слой эмульсии и зерна серебра, которые после проявления образуют изображение.</x:v>
      </x:c>
      <x:c r="V144" t="str">
        <x:v>#PL015 #black-and-white-film #silver-halide #gelatin #negative</x:v>
      </x:c>
      <x:c r="W144"/>
      <x:c r="X144"/>
      <x:c r="Y144" t="str">
        <x:v>Чёрно-белая плёнка / серебряно-желатиновая основа</x:v>
      </x:c>
      <x:c r="Z144" t="str">
        <x:v>Ключевой исторический узел</x:v>
      </x:c>
      <x:c r="AA144" t="str">
        <x:v>да</x:v>
      </x:c>
    </x:row>
    <x:row r="145" s="46" customFormat="1" ht="17" customHeight="1">
      <x:c r="A145" t="str">
        <x:v>PL-HIST-0144</x:v>
      </x:c>
      <x:c r="B145" t="str">
        <x:v>конец XIX – начало XX века</x:v>
      </x:c>
      <x:c r="C145" t="str">
        <x:v>диапазон</x:v>
      </x:c>
      <x:c r="D145" t="str">
        <x:v>глобально</x:v>
      </x:c>
      <x:c r="E145" t="str">
        <x:v>распределённый процесс</x:v>
      </x:c>
      <x:c r="F145" t="str">
        <x:v>Производители сухих пластин и плёнки</x:v>
      </x:c>
      <x:c r="G145" t="str">
        <x:v>Ранние чёрно-белые материалы часто были ортохроматическими: хорошо реагировали на синий и зелёный свет, но плохо передавали красный.</x:v>
      </x:c>
      <x:c r="H145" t="str">
        <x:v>Фотохимия</x:v>
      </x:c>
      <x:c r="I145" t="str">
        <x:v>Orthochromatic black-and-white material</x:v>
      </x:c>
      <x:c r="J145" t="str">
        <x:v>Новичок понимает, что «чёрно-белое» изображение не является простым обесцвечиванием мира: разные эмульсии по-разному переводят цвета в серые тона.</x:v>
      </x:c>
      <x:c r="K145" t="str">
        <x:v>Желатиновые сухие пластины и ранние плёночные эмульсии</x:v>
      </x:c>
      <x:c r="L145" t="str">
        <x:v>Панхроматическая ч/б плёнка как более естественная передача тонов</x:v>
      </x:c>
      <x:c r="M145" t="str">
        <x:v>Исторически важная ограниченная ветка</x:v>
      </x:c>
      <x:c r="N145" t="n">
        <x:v>4</x:v>
      </x:c>
      <x:c r="O145" t="str">
        <x:v>PL-015</x:v>
      </x:c>
      <x:c r="P145" t="str">
        <x:v>SRC-111</x:v>
      </x:c>
      <x:c r="Q145" t="str">
        <x:v>Kodak — Processing KODAK Motion Picture Films, Module 15</x:v>
      </x:c>
      <x:c r="R145" t="str">
        <x:v>https://www.kodak.com/content/products-brochures/Film/Processing-KODAK-Motion-Picture-Films-Module-15.pdf</x:v>
      </x:c>
      <x:c r="S145" t="n">
        <x:v>5</x:v>
      </x:c>
      <x:c r="T145" t="str">
        <x:v>Хороший пример для объяснения: красная губная помада или красная ткань на ортохроматическом материале может выйти слишком тёмной.</x:v>
      </x:c>
      <x:c r="U145" t="str">
        <x:v>Две серые шкалы рядом: один и тот же цветной объект на ортохроматической и панхроматической плёнке.</x:v>
      </x:c>
      <x:c r="V145" t="str">
        <x:v>#PL015 #orthochromatic #spectral-sensitivity #bw-film</x:v>
      </x:c>
      <x:c r="W145" t="str">
        <x:v>Не уходить глубоко в цветоделение до уроков о цветной фотографии.</x:v>
      </x:c>
      <x:c r="X145"/>
      <x:c r="Y145" t="str">
        <x:v>Чёрно-белая плёнка / спектральная чувствительность</x:v>
      </x:c>
      <x:c r="Z145" t="str">
        <x:v>Технология / процесс</x:v>
      </x:c>
      <x:c r="AA145"/>
    </x:row>
    <x:row r="146" s="46" customFormat="1" ht="17" customHeight="1">
      <x:c r="A146" t="str">
        <x:v>PL-HIST-0145</x:v>
      </x:c>
      <x:c r="B146" t="str">
        <x:v>XX век</x:v>
      </x:c>
      <x:c r="C146" t="str">
        <x:v>диапазон</x:v>
      </x:c>
      <x:c r="D146" t="str">
        <x:v>глобально</x:v>
      </x:c>
      <x:c r="E146" t="str">
        <x:v>распределённый процесс</x:v>
      </x:c>
      <x:c r="F146" t="str">
        <x:v>Производители фотоплёнки</x:v>
      </x:c>
      <x:c r="G146" t="str">
        <x:v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x:v>
      </x:c>
      <x:c r="H146" t="str">
        <x:v>Фотохимия</x:v>
      </x:c>
      <x:c r="I146" t="str">
        <x:v>Panchromatic black-and-white film</x:v>
      </x:c>
      <x:c r="J146" t="str">
        <x:v>Ч/б фотография начинает точнее передавать относительную яркость разных цветов: не цвет исчезает, а превращается в тон.</x:v>
      </x:c>
      <x:c r="K146" t="str">
        <x:v>Ортохроматические материалы и ограниченная цветочувствительность</x:v>
      </x:c>
      <x:c r="L146" t="str">
        <x:v>Современные ч/б фотоплёнки: FP4, HP5, Tri-X, T-Max, Delta и другие</x:v>
      </x:c>
      <x:c r="M146" t="str">
        <x:v>Главная линия</x:v>
      </x:c>
      <x:c r="N146" t="n">
        <x:v>5</x:v>
      </x:c>
      <x:c r="O146" t="str">
        <x:v>PL-015</x:v>
      </x:c>
      <x:c r="P146" t="str">
        <x:v>SRC-111</x:v>
      </x:c>
      <x:c r="Q146" t="str">
        <x:v>Kodak — Processing KODAK Motion Picture Films, Module 15</x:v>
      </x:c>
      <x:c r="R146" t="str">
        <x:v>https://www.kodak.com/content/products-brochures/Film/Processing-KODAK-Motion-Picture-Films-Module-15.pdf</x:v>
      </x:c>
      <x:c r="S146" t="n">
        <x:v>5</x:v>
      </x:c>
      <x:c r="T146" t="str">
        <x:v>Это ключ к визуальному мышлению: фотограф выбирает не просто цвет/без цвета, а способ перевести цветной мир в тональные отношения.</x:v>
      </x:c>
      <x:c r="U146" t="str">
        <x:v>Цветовой круг превращается в серую шкалу: красный, зелёный и синий уходят в разные плотности.</x:v>
      </x:c>
      <x:c r="V146" t="str">
        <x:v>#PL015 #panchromatic #black-and-white #tones</x:v>
      </x:c>
      <x:c r="W146"/>
      <x:c r="X146"/>
      <x:c r="Y146" t="str">
        <x:v>Чёрно-белая плёнка / панхроматическая чувствительность</x:v>
      </x:c>
      <x:c r="Z146" t="str">
        <x:v>Технология / процесс</x:v>
      </x:c>
      <x:c r="AA146"/>
    </x:row>
    <x:row r="147" s="46" customFormat="1" ht="17" customHeight="1">
      <x:c r="A147" t="str">
        <x:v>PL-HIST-0146</x:v>
      </x:c>
      <x:c r="B147" t="str">
        <x:v>XX век</x:v>
      </x:c>
      <x:c r="C147" t="str">
        <x:v>диапазон</x:v>
      </x:c>
      <x:c r="D147" t="str">
        <x:v>глобально</x:v>
      </x:c>
      <x:c r="E147" t="str">
        <x:v>распределённый процесс</x:v>
      </x:c>
      <x:c r="F147" t="str">
        <x:v>Kodak и другие производители плёнки</x:v>
      </x:c>
      <x:c r="G147" t="str">
        <x:v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x:v>
      </x:c>
      <x:c r="H147" t="str">
        <x:v>Фотохимия</x:v>
      </x:c>
      <x:c r="I147" t="str">
        <x:v>B&amp;W negative film structure / antihalation layer</x:v>
      </x:c>
      <x:c r="J147" t="str">
        <x:v>Плёнка оказывается не одной «чёрной полоской», а инженерным материалом, где каждый слой влияет на резкость, ореолы, плотность и читаемость негатива.</x:v>
      </x:c>
      <x:c r="K147" t="str">
        <x:v>Структура фотоплёнки из PL-011</x:v>
      </x:c>
      <x:c r="L147" t="str">
        <x:v>Зерно, резкость, ореолы и практические различия плёнок в PL-019</x:v>
      </x:c>
      <x:c r="M147" t="str">
        <x:v>Главная линия</x:v>
      </x:c>
      <x:c r="N147" t="n">
        <x:v>4</x:v>
      </x:c>
      <x:c r="O147" t="str">
        <x:v>PL-015</x:v>
      </x:c>
      <x:c r="P147" t="str">
        <x:v>SRC-111</x:v>
      </x:c>
      <x:c r="Q147" t="str">
        <x:v>Kodak — Processing KODAK Motion Picture Films, Module 15</x:v>
      </x:c>
      <x:c r="R147" t="str">
        <x:v>https://www.kodak.com/content/products-brochures/Film/Processing-KODAK-Motion-Picture-Films-Module-15.pdf</x:v>
      </x:c>
      <x:c r="S147" t="n">
        <x:v>5</x:v>
      </x:c>
      <x:c r="T147" t="str">
        <x:v>Связать с реальной кассетой: то, что мы заряжаем в камеру, внутри устроено намного сложнее, чем кажется.</x:v>
      </x:c>
      <x:c r="U147" t="str">
        <x:v>Учебный разрез плёнки: база, антигаляционный слой, эмульсия, защитный слой.</x:v>
      </x:c>
      <x:c r="V147" t="str">
        <x:v>#PL015 #film-structure #antihalation #emulsion</x:v>
      </x:c>
      <x:c r="W147"/>
      <x:c r="X147"/>
      <x:c r="Y147" t="str">
        <x:v>Чёрно-белая плёнка / структура материала</x:v>
      </x:c>
      <x:c r="Z147" t="str">
        <x:v>Технология / процесс</x:v>
      </x:c>
      <x:c r="AA147"/>
    </x:row>
    <x:row r="148" s="46" customFormat="1" ht="17" customHeight="1">
      <x:c r="A148" t="str">
        <x:v>PL-HIST-0147</x:v>
      </x:c>
      <x:c r="B148" t="str">
        <x:v>XX век</x:v>
      </x:c>
      <x:c r="C148" t="str">
        <x:v>диапазон</x:v>
      </x:c>
      <x:c r="D148" t="str">
        <x:v>глобально</x:v>
      </x:c>
      <x:c r="E148" t="str">
        <x:v>тёмная комната / лаборатория</x:v>
      </x:c>
      <x:c r="F148" t="str">
        <x:v>Фотографы и лаборатории</x:v>
      </x:c>
      <x:c r="G148" t="str">
        <x:v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x:v>
      </x:c>
      <x:c r="H148" t="str">
        <x:v>Фотохимия</x:v>
      </x:c>
      <x:c r="I148" t="str">
        <x:v>Black-and-white development / metallic silver image</x:v>
      </x:c>
      <x:c r="J148" t="str">
        <x:v>Чёрно-белая фотография — это изображение из серебра. Тёмные участки негатива соответствуют светлым участкам сцены.</x:v>
      </x:c>
      <x:c r="K148" t="str">
        <x:v>Скрытое изображение и проявление из PL-012</x:v>
      </x:c>
      <x:c r="L148" t="str">
        <x:v>Контроль времени проявления, контраста и зерна</x:v>
      </x:c>
      <x:c r="M148" t="str">
        <x:v>Главная линия</x:v>
      </x:c>
      <x:c r="N148" t="n">
        <x:v>5</x:v>
      </x:c>
      <x:c r="O148" t="str">
        <x:v>PL-015</x:v>
      </x:c>
      <x:c r="P148" t="str">
        <x:v>SRC-110</x:v>
      </x:c>
      <x:c r="Q148" t="str">
        <x:v>Canadian Conservation Institute — Processing Contemporary Black-and-White Photographic Films and Papers for Maximum Permanence</x:v>
      </x:c>
      <x:c r="R148" t="str">
        <x:v>https://www.canada.ca/en/conservation-institute/services/conservation-preservation-publications/canadian-conservation-institute-notes/black-white-photographic-films-papers-permanence.html</x:v>
      </x:c>
      <x:c r="S148" t="n">
        <x:v>5</x:v>
      </x:c>
      <x:c r="T148" t="str">
        <x:v>Здесь важно объяснить без химической перегрузки: свет оставляет невидимый след, проявитель делает этот след серебром.</x:v>
      </x:c>
      <x:c r="U148" t="str">
        <x:v>Ванночка проявителя: светлые невидимые участки на плёнке постепенно превращаются в плотный серебряный негатив.</x:v>
      </x:c>
      <x:c r="V148" t="str">
        <x:v>#PL015 #developer #latent-image #metallic-silver #negative</x:v>
      </x:c>
      <x:c r="W148"/>
      <x:c r="X148" t="str">
        <x:v>45.4215, -75.6972</x:v>
      </x:c>
      <x:c r="Y148" t="str">
        <x:v>Чёрно-белая плёнка / проявление</x:v>
      </x:c>
      <x:c r="Z148" t="str">
        <x:v>Технология / процесс</x:v>
      </x:c>
      <x:c r="AA148"/>
    </x:row>
    <x:row r="149" s="46" customFormat="1" ht="17" customHeight="1">
      <x:c r="A149" t="str">
        <x:v>PL-HIST-0148</x:v>
      </x:c>
      <x:c r="B149" t="str">
        <x:v>XX век</x:v>
      </x:c>
      <x:c r="C149" t="str">
        <x:v>диапазон</x:v>
      </x:c>
      <x:c r="D149" t="str">
        <x:v>глобально</x:v>
      </x:c>
      <x:c r="E149" t="str">
        <x:v>тёмная комната / лаборатория</x:v>
      </x:c>
      <x:c r="F149" t="str">
        <x:v>Фотографы и лаборатории</x:v>
      </x:c>
      <x:c r="G149" t="str">
        <x:v>Фиксаж удаляет оставшиеся неэкспонированные галогениды серебра. После этого негатив становится стабильным и уже не темнеет от обычного света.</x:v>
      </x:c>
      <x:c r="H149" t="str">
        <x:v>Фиксаж / терминология</x:v>
      </x:c>
      <x:c r="I149" t="str">
        <x:v>Fixing black-and-white film</x:v>
      </x:c>
      <x:c r="J149" t="str">
        <x:v>Фиксация — момент, когда изображение становится не просто проявленным, а сохраняемым. Без фиксации плёнка продолжала бы реагировать на свет.</x:v>
      </x:c>
      <x:c r="K149" t="str">
        <x:v>Проявленное, но ещё не закреплённое изображение</x:v>
      </x:c>
      <x:c r="L149" t="str">
        <x:v>Промывка, сушка и архивное хранение негатива</x:v>
      </x:c>
      <x:c r="M149" t="str">
        <x:v>Главная линия</x:v>
      </x:c>
      <x:c r="N149" t="n">
        <x:v>5</x:v>
      </x:c>
      <x:c r="O149" t="str">
        <x:v>PL-015</x:v>
      </x:c>
      <x:c r="P149" t="str">
        <x:v>SRC-110</x:v>
      </x:c>
      <x:c r="Q149" t="str">
        <x:v>Canadian Conservation Institute — Processing Contemporary Black-and-White Photographic Films and Papers for Maximum Permanence</x:v>
      </x:c>
      <x:c r="R149" t="str">
        <x:v>https://www.canada.ca/en/conservation-institute/services/conservation-preservation-publications/canadian-conservation-institute-notes/black-white-photographic-films-papers-permanence.html</x:v>
      </x:c>
      <x:c r="S149" t="n">
        <x:v>5</x:v>
      </x:c>
      <x:c r="T149" t="str">
        <x:v>Это мост к ранней истории фиксации: проблема Гершеля остаётся актуальной и в обычной ч/б плёнке.</x:v>
      </x:c>
      <x:c r="U149" t="str">
        <x:v>До/после фиксации: одна полоска ещё молочная и светочувствительная, другая прозрачная и стабильная.</x:v>
      </x:c>
      <x:c r="V149" t="str">
        <x:v>#PL015 #fixer #hypo #silver-halide #permanence</x:v>
      </x:c>
      <x:c r="W149"/>
      <x:c r="X149" t="str">
        <x:v>45.4215, -75.6972</x:v>
      </x:c>
      <x:c r="Y149" t="str">
        <x:v>Чёрно-белая плёнка / фиксация</x:v>
      </x:c>
      <x:c r="Z149" t="str">
        <x:v>Технология / процесс</x:v>
      </x:c>
      <x:c r="AA149"/>
    </x:row>
    <x:row r="150" s="46" customFormat="1" ht="17" customHeight="1">
      <x:c r="A150" t="str">
        <x:v>PL-HIST-0149</x:v>
      </x:c>
      <x:c r="B150" t="str">
        <x:v>XX–XXI век</x:v>
      </x:c>
      <x:c r="C150" t="str">
        <x:v>диапазон</x:v>
      </x:c>
      <x:c r="D150" t="str">
        <x:v>глобально</x:v>
      </x:c>
      <x:c r="E150" t="str">
        <x:v>домашняя тёмная комната / лаборатория</x:v>
      </x:c>
      <x:c r="F150" t="str">
        <x:v>ILFORD Photo / фотографы</x:v>
      </x:c>
      <x:c r="G150" t="str">
        <x:v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x:v>
      </x:c>
      <x:c r="H150" t="str">
        <x:v>Фотохимия</x:v>
      </x:c>
      <x:c r="I150" t="str">
        <x:v>Small tank black-and-white film processing</x:v>
      </x:c>
      <x:c r="J150" t="str">
        <x:v>Ч/б плёнка остаётся самым доступным материалом для домашнего понимания фотохимии: фотограф может сам увидеть, как свет превращается в негатив.</x:v>
      </x:c>
      <x:c r="K150" t="str">
        <x:v>Проявление и фиксация как химические этапы</x:v>
      </x:c>
      <x:c r="L150" t="str">
        <x:v>Проявка цветной негативной плёнки и лабораторные стандарты C-41</x:v>
      </x:c>
      <x:c r="M150" t="str">
        <x:v>Применение / жанр</x:v>
      </x:c>
      <x:c r="N150" t="n">
        <x:v>4</x:v>
      </x:c>
      <x:c r="O150" t="str">
        <x:v>PL-015</x:v>
      </x:c>
      <x:c r="P150" t="str">
        <x:v>SRC-115</x:v>
      </x:c>
      <x:c r="Q150" t="str">
        <x:v>ILFORD Photo — Beginners Guide: Processing Film</x:v>
      </x:c>
      <x:c r="R150" t="str">
        <x:v>https://www.ilfordphoto.com/beginners-guide-processing-film/</x:v>
      </x:c>
      <x:c r="S150" t="n">
        <x:v>5</x:v>
      </x:c>
      <x:c r="T150" t="str">
        <x:v>Практический смысл урока: ч/б плёнка хороша для первой лабораторной практики, потому что процесс понятен и контролируем.</x:v>
      </x:c>
      <x:c r="U150" t="str">
        <x:v>Спираль, бачок, термометр и три подписанные бутылки: developer / stop / fixer.</x:v>
      </x:c>
      <x:c r="V150" t="str">
        <x:v>#PL015 #darkroom #film-processing #Ilford #practice</x:v>
      </x:c>
      <x:c r="W150"/>
      <x:c r="X150"/>
      <x:c r="Y150" t="str">
        <x:v>Чёрно-белая плёнка / домашняя проявка</x:v>
      </x:c>
      <x:c r="Z150" t="str">
        <x:v>Применение / жанр</x:v>
      </x:c>
      <x:c r="AA150"/>
    </x:row>
    <x:row r="151" s="46" customFormat="1" ht="17" customHeight="1">
      <x:c r="A151" t="str">
        <x:v>PL-HIST-0150</x:v>
      </x:c>
      <x:c r="B151" t="str">
        <x:v>XX–XXI век</x:v>
      </x:c>
      <x:c r="C151" t="str">
        <x:v>диапазон</x:v>
      </x:c>
      <x:c r="D151" t="str">
        <x:v>глобально</x:v>
      </x:c>
      <x:c r="E151" t="str">
        <x:v>тёмная комната / лаборатория</x:v>
      </x:c>
      <x:c r="F151" t="str">
        <x:v>Фотографы и производители химии</x:v>
      </x:c>
      <x:c r="G151" t="str">
        <x:v>Проявитель влияет не только на появление изображения, но и на характер негатива: контраст, зерно, резкость и пригодность к печати или сканированию.</x:v>
      </x:c>
      <x:c r="H151" t="str">
        <x:v>Фотохимия</x:v>
      </x:c>
      <x:c r="I151" t="str">
        <x:v>B&amp;W developers and negative character</x:v>
      </x:c>
      <x:c r="J151" t="str">
        <x:v>Чёрно-белая плёнка даёт фотографу ручку управления: один и тот же кадр можно сделать мягче, жёстче, зернистее или чище через выбор проявки.</x:v>
      </x:c>
      <x:c r="K151" t="str">
        <x:v>Базовая проявка негатива</x:v>
      </x:c>
      <x:c r="L151" t="str">
        <x:v>Push/Pull, зерно и экспозиционная широта в будущих уроках</x:v>
      </x:c>
      <x:c r="M151" t="str">
        <x:v>Главная линия / практическое управление</x:v>
      </x:c>
      <x:c r="N151" t="n">
        <x:v>4</x:v>
      </x:c>
      <x:c r="O151" t="str">
        <x:v>PL-015</x:v>
      </x:c>
      <x:c r="P151" t="str">
        <x:v>SRC-116</x:v>
      </x:c>
      <x:c r="Q151" t="str">
        <x:v>ILFORD Photo — Introduction to ILFORD Film Developers</x:v>
      </x:c>
      <x:c r="R151" t="str">
        <x:v>https://www.ilfordphoto.com/beginners-guide-film-developers/</x:v>
      </x:c>
      <x:c r="S151" t="n">
        <x:v>5</x:v>
      </x:c>
      <x:c r="T151" t="str">
        <x:v>Не перегружать формулами химии. Главное: проявитель — это не просто «жидкость», а часть визуального языка плёнки.</x:v>
      </x:c>
      <x:c r="U151" t="str">
        <x:v>Один негатив в трёх вариантах проявления: мягкий, нормальный, контрастный.</x:v>
      </x:c>
      <x:c r="V151" t="str">
        <x:v>#PL015 #developer #contrast #grain #darkroom</x:v>
      </x:c>
      <x:c r="W151"/>
      <x:c r="X151"/>
      <x:c r="Y151" t="str">
        <x:v>Чёрно-белая плёнка / характер проявления</x:v>
      </x:c>
      <x:c r="Z151" t="str">
        <x:v>Технология / процесс</x:v>
      </x:c>
      <x:c r="AA151"/>
    </x:row>
    <x:row r="152" s="46" customFormat="1" ht="17" customHeight="1">
      <x:c r="A152" t="str">
        <x:v>PL-HIST-0151</x:v>
      </x:c>
      <x:c r="B152" t="str">
        <x:v>1954 / современность</x:v>
      </x:c>
      <x:c r="C152" t="str">
        <x:v>диапазон</x:v>
      </x:c>
      <x:c r="D152" t="str">
        <x:v>США</x:v>
      </x:c>
      <x:c r="E152" t="str">
        <x:v>Рочестер, Нью-Йорк</x:v>
      </x:c>
      <x:c r="F152" t="str">
        <x:v>Eastman Kodak / Kodak Alaris</x:v>
      </x:c>
      <x:c r="G152" t="str">
        <x:v>Kodak TRI-X становится одной из главных культурных моделей чёрно-белой плёнки: ISO 400, классическое зерно, высокая резкость и широкая экспозиционная широта.</x:v>
      </x:c>
      <x:c r="H152" t="str">
        <x:v>Фотохимия</x:v>
      </x:c>
      <x:c r="I152" t="str">
        <x:v>KODAK Professional TRI-X 400</x:v>
      </x:c>
      <x:c r="J152" t="str">
        <x:v>Чёрно-белая плёнка — это не только технология, но и узнаваемый визуальный язык: документальность, репортажность, зерно и тон.</x:v>
      </x:c>
      <x:c r="K152" t="str">
        <x:v>Панхроматическая ч/б плёнка как стандарт</x:v>
      </x:c>
      <x:c r="L152" t="str">
        <x:v>Push/Pull, зерно и репортажная эстетика</x:v>
      </x:c>
      <x:c r="M152" t="str">
        <x:v>Главная линия / визуальный язык</x:v>
      </x:c>
      <x:c r="N152" t="n">
        <x:v>5</x:v>
      </x:c>
      <x:c r="O152" t="str">
        <x:v>PL-015</x:v>
      </x:c>
      <x:c r="P152" t="str">
        <x:v>SRC-113</x:v>
      </x:c>
      <x:c r="Q152" t="str">
        <x:v>Kodak Professional — KODAK PROFESSIONAL TRI-X Films</x:v>
      </x:c>
      <x:c r="R152" t="str">
        <x:v>https://kodakprofessional.com/photographers/film/black-white/kodak-professional-tri-x-films/515</x:v>
      </x:c>
      <x:c r="S152" t="n">
        <x:v>5</x:v>
      </x:c>
      <x:c r="T152" t="str">
        <x:v>TRI-X можно использовать как пример: одни плёнки стали не просто продуктом, а визуальной культурой документальной фотографии.</x:v>
      </x:c>
      <x:c r="U152" t="str">
        <x:v>Кассета TRI-X рядом с контактным листом уличной/репортажной съёмки.</x:v>
      </x:c>
      <x:c r="V152" t="str">
        <x:v>#PL015 #Tri-X #Kodak #ISO400 #grain #photojournalism</x:v>
      </x:c>
      <x:c r="W152"/>
      <x:c r="X152" t="str">
        <x:v>43.1566, -77.6088</x:v>
      </x:c>
      <x:c r="Y152" t="str">
        <x:v>Чёрно-белая плёнка / классическое зерно</x:v>
      </x:c>
      <x:c r="Z152" t="str">
        <x:v>Применение / жанр</x:v>
      </x:c>
      <x:c r="AA152"/>
    </x:row>
    <x:row r="153" s="46" customFormat="1" ht="17" customHeight="1">
      <x:c r="A153" t="str">
        <x:v>PL-HIST-0152</x:v>
      </x:c>
      <x:c r="B153" t="str">
        <x:v>1980-е – современность</x:v>
      </x:c>
      <x:c r="C153" t="str">
        <x:v>диапазон</x:v>
      </x:c>
      <x:c r="D153" t="str">
        <x:v>США</x:v>
      </x:c>
      <x:c r="E153" t="str">
        <x:v>Рочестер, Нью-Йорк</x:v>
      </x:c>
      <x:c r="F153" t="str">
        <x:v>Eastman Kodak / Kodak Alaris</x:v>
      </x:c>
      <x:c r="G153" t="str">
        <x:v>Плёнки Kodak T-MAX показывают другой путь чёрно-белого материала: табличные T-Grain кристаллы дают мелкое зерно, высокую резкость и чистую тональную шкалу.</x:v>
      </x:c>
      <x:c r="H153" t="str">
        <x:v>Фотохимия</x:v>
      </x:c>
      <x:c r="I153" t="str">
        <x:v>KODAK PROFESSIONAL T-MAX / T-Grain technology</x:v>
      </x:c>
      <x:c r="J153" t="str">
        <x:v>Даже внутри чёрно-белой фотографии есть разные «почерки»: классическое зерно и современные мелкозернистые эмульсии ведут себя по-разному.</x:v>
      </x:c>
      <x:c r="K153" t="str">
        <x:v>Классические панхроматические ч/б плёнки</x:v>
      </x:c>
      <x:c r="L153" t="str">
        <x:v>Уроки о зерне, ISO и характере плёнки</x:v>
      </x:c>
      <x:c r="M153" t="str">
        <x:v>Главная линия / технологическое развитие</x:v>
      </x:c>
      <x:c r="N153" t="n">
        <x:v>4</x:v>
      </x:c>
      <x:c r="O153" t="str">
        <x:v>PL-015</x:v>
      </x:c>
      <x:c r="P153" t="str">
        <x:v>SRC-114</x:v>
      </x:c>
      <x:c r="Q153" t="str">
        <x:v>Kodak Professional — KODAK PROFESSIONAL T-MAX 400 Film</x:v>
      </x:c>
      <x:c r="R153" t="str">
        <x:v>https://www.kodakprofessional.com/photographers/film/black-white/kodak-professional-t-max-400-film/526</x:v>
      </x:c>
      <x:c r="S153" t="n">
        <x:v>5</x:v>
      </x:c>
      <x:c r="T153" t="str">
        <x:v>Хорошо показать как сравнение: Tri-X — характерное зерно; T-Max — чистота, детализация, более современный рисунок.</x:v>
      </x:c>
      <x:c r="U153" t="str">
        <x:v>Два увеличенных фрагмента: классическое зерно и более ровная T-Grain структура.</x:v>
      </x:c>
      <x:c r="V153" t="str">
        <x:v>#PL015 #TMAX #T-Grain #fine-grain #Kodak</x:v>
      </x:c>
      <x:c r="W153"/>
      <x:c r="X153" t="str">
        <x:v>43.1566, -77.6088</x:v>
      </x:c>
      <x:c r="Y153" t="str">
        <x:v>Чёрно-белая плёнка / мелкозернистая технология</x:v>
      </x:c>
      <x:c r="Z153" t="str">
        <x:v>Технология / процесс</x:v>
      </x:c>
      <x:c r="AA153"/>
    </x:row>
    <x:row r="154" s="46" customFormat="1" ht="17" customHeight="1">
      <x:c r="A154" t="str">
        <x:v>PL-HIST-0153</x:v>
      </x:c>
      <x:c r="B154" t="str">
        <x:v>XX–XXI век</x:v>
      </x:c>
      <x:c r="C154" t="str">
        <x:v>диапазон</x:v>
      </x:c>
      <x:c r="D154" t="str">
        <x:v>Великобритания</x:v>
      </x:c>
      <x:c r="E154" t="str">
        <x:v>Мобберли, Чешир</x:v>
      </x:c>
      <x:c r="F154" t="str">
        <x:v>ILFORD Photo / HARMAN technology</x:v>
      </x:c>
      <x:c r="G154" t="str">
        <x:v>ILFORD XP2 SUPER показывает исключение: это чёрно-белая плёнка, которую можно проявлять в цветном C-41 процессе вместе с цветной негативной плёнкой.</x:v>
      </x:c>
      <x:c r="H154" t="str">
        <x:v>Фотохимия</x:v>
      </x:c>
      <x:c r="I154" t="str">
        <x:v>Chromogenic black-and-white film / ILFORD XP2 SUPER</x:v>
      </x:c>
      <x:c r="J154" t="str">
        <x:v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x:v>
      </x:c>
      <x:c r="K154" t="str">
        <x:v>Традиционная ч/б проявка в бачке</x:v>
      </x:c>
      <x:c r="L154" t="str">
        <x:v>Цветная негативная плёнка и процесс C-41 в PL-016</x:v>
      </x:c>
      <x:c r="M154" t="str">
        <x:v>Связь / переход</x:v>
      </x:c>
      <x:c r="N154" t="n">
        <x:v>4</x:v>
      </x:c>
      <x:c r="O154" t="str">
        <x:v>PL-015</x:v>
      </x:c>
      <x:c r="P154" t="str">
        <x:v>SRC-117</x:v>
      </x:c>
      <x:c r="Q154" t="str">
        <x:v>ILFORD Photo — XP2 SUPER 35mm</x:v>
      </x:c>
      <x:c r="R154" t="str">
        <x:v>https://www.ilfordphoto.com/xp2-super-35mm</x:v>
      </x:c>
      <x:c r="S154" t="n">
        <x:v>5</x:v>
      </x:c>
      <x:c r="T154" t="str">
        <x:v>Идеальный мост к PL-016: внешне это ч/б фотография, но лабораторно она связана с цветной негативной системой.</x:v>
      </x:c>
      <x:c r="U154" t="str">
        <x:v>Кассета XP2 рядом с цветными C-41 химикатами и чёрно-белым отпечатком.</x:v>
      </x:c>
      <x:c r="V154" t="str">
        <x:v>#PL015 #XP2 #C41 #chromogenic #black-and-white</x:v>
      </x:c>
      <x:c r="W154"/>
      <x:c r="X154" t="str">
        <x:v>53.3180, -2.3160</x:v>
      </x:c>
      <x:c r="Y154" t="str">
        <x:v>Чёрно-белая плёнка / chromogenic B&amp;W</x:v>
      </x:c>
      <x:c r="Z154" t="str">
        <x:v>Связь / переход</x:v>
      </x:c>
      <x:c r="AA154"/>
    </x:row>
    <x:row r="155" s="46" customFormat="1" ht="17" customHeight="1">
      <x:c r="A155" t="str">
        <x:v>PL-HIST-0154</x:v>
      </x:c>
      <x:c r="B155" t="str">
        <x:v>1942</x:v>
      </x:c>
      <x:c r="C155" t="str">
        <x:v>год</x:v>
      </x:c>
      <x:c r="D155" t="str">
        <x:v>США</x:v>
      </x:c>
      <x:c r="E155" t="str">
        <x:v>Рочестер, Нью-Йорк</x:v>
      </x:c>
      <x:c r="F155" t="str">
        <x:v>Eastman Kodak Company</x:v>
      </x:c>
      <x:c r="G155" t="str">
        <x:v>Kodak объявляет KODACOLOR Film для отпечатков — первый настоящий цветной негативный фильм для фотографии.</x:v>
      </x:c>
      <x:c r="H155" t="str">
        <x:v>Цвет</x:v>
      </x:c>
      <x:c r="I155" t="str">
        <x:v>KODACOLOR / color negative film</x:v>
      </x:c>
      <x:c r="J155" t="str">
        <x:v>Цветная фотография получает привычную для массового пользователя логику: снять негатив, а затем получить цветные позитивные отпечатки на бумаге.</x:v>
      </x:c>
      <x:c r="K155" t="str">
        <x:v>Чёрно-белая негативная плёнка и ранние цветные позитивные процессы</x:v>
      </x:c>
      <x:c r="L155" t="str">
        <x:v>Цветная негативная плёнка как стандарт семейной, любительской и лабораторной фотографии</x:v>
      </x:c>
      <x:c r="M155" t="str">
        <x:v>Главная линия</x:v>
      </x:c>
      <x:c r="N155" t="n">
        <x:v>5</x:v>
      </x:c>
      <x:c r="O155" t="str">
        <x:v>PL-016</x:v>
      </x:c>
      <x:c r="P155" t="str">
        <x:v>SRC-120</x:v>
      </x:c>
      <x:c r="Q155" t="str">
        <x:v>Kodak — Photography History</x:v>
      </x:c>
      <x:c r="R155" t="str">
        <x:v>https://www.kodak.com/en/company/page/photography-history/</x:v>
      </x:c>
      <x:c r="S155" t="str">
        <x:v>5</x:v>
      </x:c>
      <x:c r="T155" t="str">
        <x:v>Флагманская мысль урока: цветной негатив — это не «цветная картинка сразу», а цветная матрица для будущего отпечатка.</x:v>
      </x:c>
      <x:c r="U155" t="str">
        <x:v>Кассета Kodacolor и рядом оранжевый негатив, из которого появляется цветной семейный отпечаток.</x:v>
      </x:c>
      <x:c r="V155" t="str">
        <x:v>#PL016 #Kodacolor #color-negative #Kodak #prints</x:v>
      </x:c>
      <x:c r="W155"/>
      <x:c r="X155" t="str">
        <x:v>43.1566, -77.6088</x:v>
      </x:c>
      <x:c r="Y155" t="str">
        <x:v>Цветная негативная плёнка / Kodacolor</x:v>
      </x:c>
      <x:c r="Z155" t="str">
        <x:v>Ключевой исторический узел</x:v>
      </x:c>
      <x:c r="AA155" t="str">
        <x:v>да</x:v>
      </x:c>
    </x:row>
    <x:row r="156" s="46" customFormat="1" ht="17" customHeight="1">
      <x:c r="A156" t="str">
        <x:v>PL-HIST-0155</x:v>
      </x:c>
      <x:c r="B156" t="str">
        <x:v>1942</x:v>
      </x:c>
      <x:c r="C156" t="str">
        <x:v>год</x:v>
      </x:c>
      <x:c r="D156" t="str">
        <x:v>США</x:v>
      </x:c>
      <x:c r="E156" t="str">
        <x:v>распределённый процесс</x:v>
      </x:c>
      <x:c r="F156" t="str">
        <x:v>Eastman Kodak Company / фотолаборатории</x:v>
      </x:c>
      <x:c r="G156" t="str">
        <x:v>Kodacolor закрепляет отрицательно-положительную цветную систему: цветной негатив предназначен не для прямого просмотра, а для печати позитивов.</x:v>
      </x:c>
      <x:c r="H156" t="str">
        <x:v>Негатив-позитив</x:v>
      </x:c>
      <x:c r="I156" t="str">
        <x:v>Color negative / positive print process</x:v>
      </x:c>
      <x:c r="J156" t="str">
        <x:v>Пользователь начинает мыслить цветную фотографию как маршрут: экспонировать плёнку → проявить цветной негатив → напечатать цветной позитив.</x:v>
      </x:c>
      <x:c r="K156" t="str">
        <x:v>Классическая чёрно-белая система «негатив → позитив»</x:v>
      </x:c>
      <x:c r="L156" t="str">
        <x:v>Цветная лабораторная печать, Ektacolor и массовые семейные отпечатки</x:v>
      </x:c>
      <x:c r="M156" t="str">
        <x:v>Главная линия</x:v>
      </x:c>
      <x:c r="N156" t="n">
        <x:v>5</x:v>
      </x:c>
      <x:c r="O156" t="str">
        <x:v>PL-016</x:v>
      </x:c>
      <x:c r="P156" t="str">
        <x:v>SRC-121</x:v>
      </x:c>
      <x:c r="Q156" t="str">
        <x:v>Library of Congress — Dye coupler negatives</x:v>
      </x:c>
      <x:c r="R156" t="str">
        <x:v>https://www.loc.gov/pictures/item/tgm003415/</x:v>
      </x:c>
      <x:c r="S156" t="str">
        <x:v>5</x:v>
      </x:c>
      <x:c r="T156" t="str">
        <x:v>Связать PL-016 с PL-013: принцип «негатив-позитив» остаётся тем же, но теперь каждый канал цвета записывается отдельной красочной информацией.</x:v>
      </x:c>
      <x:c r="U156" t="str">
        <x:v>Схема из трёх шагов: цветная сцена → оранжевый негатив → нормальный цветной отпечаток.</x:v>
      </x:c>
      <x:c r="V156" t="str">
        <x:v>#PL016 #negative-positive #Kodacolor #color-print</x:v>
      </x:c>
      <x:c r="W156" t="str">
        <x:v>Проверить, как детально показывать Ektacolor — лучше оставить для печати или лаборатории.</x:v>
      </x:c>
      <x:c r="X156"/>
      <x:c r="Y156" t="str">
        <x:v>Цветная негативная плёнка / негатив-позитив</x:v>
      </x:c>
      <x:c r="Z156" t="str">
        <x:v>Связь / переход</x:v>
      </x:c>
      <x:c r="AA156"/>
    </x:row>
    <x:row r="157" s="46" customFormat="1" ht="17" customHeight="1">
      <x:c r="A157" t="str">
        <x:v>PL-HIST-0156</x:v>
      </x:c>
      <x:c r="B157" t="str">
        <x:v>1940-е – XX век</x:v>
      </x:c>
      <x:c r="C157" t="str">
        <x:v>диапазон</x:v>
      </x:c>
      <x:c r="D157" t="str">
        <x:v>глобально</x:v>
      </x:c>
      <x:c r="E157" t="str">
        <x:v>распределённый процесс</x:v>
      </x:c>
      <x:c r="F157" t="str">
        <x:v>Производители цветной плёнки</x:v>
      </x:c>
      <x:c r="G157" t="str">
        <x:v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x:v>
      </x:c>
      <x:c r="H157" t="str">
        <x:v>Цвет</x:v>
      </x:c>
      <x:c r="I157" t="str">
        <x:v>Cyan / magenta / yellow dye layers</x:v>
      </x:c>
      <x:c r="J157" t="str">
        <x:v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x:v>
      </x:c>
      <x:c r="K157" t="str">
        <x:v>Серебряно-желатиновая эмульсия и чёрно-белый негатив</x:v>
      </x:c>
      <x:c r="L157" t="str">
        <x:v>Многослойная цветная негативная плёнка и цветное проявление</x:v>
      </x:c>
      <x:c r="M157" t="str">
        <x:v>Главная линия</x:v>
      </x:c>
      <x:c r="N157" t="n">
        <x:v>5</x:v>
      </x:c>
      <x:c r="O157" t="str">
        <x:v>PL-016</x:v>
      </x:c>
      <x:c r="P157" t="str">
        <x:v>SRC-122</x:v>
      </x:c>
      <x:c r="Q157" t="str">
        <x:v>National Archives — Identifying Motion Picture Film Formats</x:v>
      </x:c>
      <x:c r="R157" t="str">
        <x:v>https://www.archives.gov/preservation/formats/motion-picture-film-identify-formats.html</x:v>
      </x:c>
      <x:c r="S157" t="str">
        <x:v>5</x:v>
      </x:c>
      <x:c r="T157" t="str">
        <x:v>Новичку важно увидеть: цвет на плёнке строится из нескольких слоёв, а не появляется как один готовый «цветной пиксель».</x:v>
      </x:c>
      <x:c r="U157" t="str">
        <x:v>Разрез цветной плёнки с тремя условными слоями: yellow, magenta, cyan.</x:v>
      </x:c>
      <x:c r="V157" t="str">
        <x:v>#PL016 #CMY #dye-layers #color-film</x:v>
      </x:c>
      <x:c r="W157"/>
      <x:c r="X157"/>
      <x:c r="Y157" t="str">
        <x:v>Цветная негативная плёнка / слои красителей</x:v>
      </x:c>
      <x:c r="Z157" t="str">
        <x:v>Технология / процесс</x:v>
      </x:c>
      <x:c r="AA157"/>
    </x:row>
    <x:row r="158" s="46" customFormat="1" ht="17" customHeight="1">
      <x:c r="A158" t="str">
        <x:v>PL-HIST-0157</x:v>
      </x:c>
      <x:c r="B158" t="str">
        <x:v>1940-е – XX век</x:v>
      </x:c>
      <x:c r="C158" t="str">
        <x:v>диапазон</x:v>
      </x:c>
      <x:c r="D158" t="str">
        <x:v>глобально</x:v>
      </x:c>
      <x:c r="E158" t="str">
        <x:v>распределённый процесс</x:v>
      </x:c>
      <x:c r="F158" t="str">
        <x:v>Kodak и другие производители цветных материалов</x:v>
      </x:c>
      <x:c r="G158" t="str">
        <x:v>В цветной негативной плёнке светочувствительные слои содержат цветообразующие компоненты — couplers; во время проявления они формируют красители.</x:v>
      </x:c>
      <x:c r="H158" t="str">
        <x:v>Фотохимия</x:v>
      </x:c>
      <x:c r="I158" t="str">
        <x:v>Color couplers / chromogenic development</x:v>
      </x:c>
      <x:c r="J158" t="str">
        <x:v>Проявление цветной плёнки становится не просто проявлением серебра: химия создаёт красочное изображение из скрытой цветовой записи.</x:v>
      </x:c>
      <x:c r="K158" t="str">
        <x:v>Скрытое изображение и серебряное проявление в PL-012 / PL-015</x:v>
      </x:c>
      <x:c r="L158" t="str">
        <x:v>C-41 как стандартизированный цветной негативный процесс</x:v>
      </x:c>
      <x:c r="M158" t="str">
        <x:v>Главная линия</x:v>
      </x:c>
      <x:c r="N158" t="n">
        <x:v>5</x:v>
      </x:c>
      <x:c r="O158" t="str">
        <x:v>PL-016</x:v>
      </x:c>
      <x:c r="P158" t="str">
        <x:v>SRC-123</x:v>
      </x:c>
      <x:c r="Q158" t="str">
        <x:v>Kodak — Essential Reference Guide for Filmmakers</x:v>
      </x:c>
      <x:c r="R158" t="str">
        <x:v>https://www.kodak.com/content/products-brochures/Film/kodak-essential-reference-guide-for-filmmakers.pdf</x:v>
      </x:c>
      <x:c r="S158" t="str">
        <x:v>5</x:v>
      </x:c>
      <x:c r="T158" t="str">
        <x:v>Объяснять просто: свет оставляет след, проявитель запускает реакцию, а couplers помогают родиться цветным красителям.</x:v>
      </x:c>
      <x:c r="U158" t="str">
        <x:v>Микро-схема: кристалл серебра + проявитель + coupler → цветной краситель.</x:v>
      </x:c>
      <x:c r="V158" t="str">
        <x:v>#PL016 #color-couplers #chromogenic #developer</x:v>
      </x:c>
      <x:c r="W158"/>
      <x:c r="X158"/>
      <x:c r="Y158" t="str">
        <x:v>Цветная негативная плёнка / color couplers</x:v>
      </x:c>
      <x:c r="Z158" t="str">
        <x:v>Технология / процесс</x:v>
      </x:c>
      <x:c r="AA158"/>
    </x:row>
    <x:row r="159" s="46" customFormat="1" ht="17" customHeight="1">
      <x:c r="A159" t="str">
        <x:v>PL-HIST-0158</x:v>
      </x:c>
      <x:c r="B159" t="str">
        <x:v>XX век</x:v>
      </x:c>
      <x:c r="C159" t="str">
        <x:v>диапазон</x:v>
      </x:c>
      <x:c r="D159" t="str">
        <x:v>глобально</x:v>
      </x:c>
      <x:c r="E159" t="str">
        <x:v>распределённый процесс</x:v>
      </x:c>
      <x:c r="F159" t="str">
        <x:v>Производители цветных негативных плёнок</x:v>
      </x:c>
      <x:c r="G159" t="str">
        <x:v>Цветной негатив получает характерную оранжевую маску: напрямую он выглядит странно, но эта маска помогает корректнее воспроизводить цвет при печати.</x:v>
      </x:c>
      <x:c r="H159" t="str">
        <x:v>Цвет</x:v>
      </x:c>
      <x:c r="I159" t="str">
        <x:v>Orange mask in color negative film</x:v>
      </x:c>
      <x:c r="J159" t="str">
        <x:v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x:v>
      </x:c>
      <x:c r="K159" t="str">
        <x:v>Цветные слои и красители в негативной плёнке</x:v>
      </x:c>
      <x:c r="L159" t="str">
        <x:v>Печать и цифровая инверсия цветного негатива</x:v>
      </x:c>
      <x:c r="M159" t="str">
        <x:v>Главная линия</x:v>
      </x:c>
      <x:c r="N159" t="n">
        <x:v>5</x:v>
      </x:c>
      <x:c r="O159" t="str">
        <x:v>PL-016</x:v>
      </x:c>
      <x:c r="P159" t="str">
        <x:v>SRC-124</x:v>
      </x:c>
      <x:c r="Q159" t="str">
        <x:v>Kodak — Processing KODAK Motion Picture Films, Module 7</x:v>
      </x:c>
      <x:c r="R159" t="str">
        <x:v>https://www.kodak.com/content/products-brochures/Film/Processing-KODAK-Motion-Picture-Films-Module-7.pdf</x:v>
      </x:c>
      <x:c r="S159" t="str">
        <x:v>5</x:v>
      </x:c>
      <x:c r="T159" t="str">
        <x:v>Это один из самых полезных моментов урока: оранжевый цвет плёнки — не ошибка и не брак, а часть системы цветокоррекции.</x:v>
      </x:c>
      <x:c r="U159" t="str">
        <x:v>Оранжевая полоска негатива на световом столе; рядом правильно отпечатанный цветной кадр.</x:v>
      </x:c>
      <x:c r="V159" t="str">
        <x:v>#PL016 #orange-mask #color-negative #printing #scan</x:v>
      </x:c>
      <x:c r="W159"/>
      <x:c r="X159"/>
      <x:c r="Y159" t="str">
        <x:v>Цветная негативная плёнка / оранжевая маска</x:v>
      </x:c>
      <x:c r="Z159" t="str">
        <x:v>Технология / процесс</x:v>
      </x:c>
      <x:c r="AA159"/>
    </x:row>
    <x:row r="160" s="46" customFormat="1" ht="17" customHeight="1">
      <x:c r="A160" t="str">
        <x:v>PL-HIST-0159</x:v>
      </x:c>
      <x:c r="B160" t="str">
        <x:v>1940-е – XX век</x:v>
      </x:c>
      <x:c r="C160" t="str">
        <x:v>диапазон</x:v>
      </x:c>
      <x:c r="D160" t="str">
        <x:v>США / глобально</x:v>
      </x:c>
      <x:c r="E160" t="str">
        <x:v>фотолаборатории</x:v>
      </x:c>
      <x:c r="F160" t="str">
        <x:v>Фотоиндустрия и фотолаборатории</x:v>
      </x:c>
      <x:c r="G160" t="str">
        <x:v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x:v>
      </x:c>
      <x:c r="H160" t="str">
        <x:v>Печать / тиражирование</x:v>
      </x:c>
      <x:c r="I160" t="str">
        <x:v>Chromogenic color print from color negative</x:v>
      </x:c>
      <x:c r="J160" t="str">
        <x:v>Цветной негатив становится основой массового фотосервиса: человек приносит плёнку и получает готовые цветные фотографии.</x:v>
      </x:c>
      <x:c r="K160" t="str">
        <x:v>Kodacolor как первый массовый цветной негатив для отпечатков</x:v>
      </x:c>
      <x:c r="L160" t="str">
        <x:v>RA-4, минилабы, семейные альбомы и современные лабораторные отпечатки</x:v>
      </x:c>
      <x:c r="M160" t="str">
        <x:v>Главная линия / временная доминирующая линия</x:v>
      </x:c>
      <x:c r="N160" t="n">
        <x:v>4</x:v>
      </x:c>
      <x:c r="O160" t="str">
        <x:v>PL-016</x:v>
      </x:c>
      <x:c r="P160" t="str">
        <x:v>SRC-125</x:v>
      </x:c>
      <x:c r="Q160" t="str">
        <x:v>National Archives — Photographic Prints in the Still Picture Branch</x:v>
      </x:c>
      <x:c r="R160" t="str">
        <x:v>https://www.archives.gov/research/still-pictures/still-picture-photographic-prints</x:v>
      </x:c>
      <x:c r="S160" t="str">
        <x:v>5</x:v>
      </x:c>
      <x:c r="T160" t="str">
        <x:v>Связать с опытом зрителя: многие семейные фото XX века — это не «файл», а результат цепочки цветной негатив + цветная бумага.</x:v>
      </x:c>
      <x:c r="U160" t="str">
        <x:v>Увеличитель или минилаб: цветной негатив проецируется на бумагу, рядом появляются отпечатки 10×15.</x:v>
      </x:c>
      <x:c r="V160" t="str">
        <x:v>#PL016 #chromogenic-print #color-lab #family-prints</x:v>
      </x:c>
      <x:c r="W160"/>
      <x:c r="X160"/>
      <x:c r="Y160" t="str">
        <x:v>Цветная негативная плёнка / печать позитивов</x:v>
      </x:c>
      <x:c r="Z160" t="str">
        <x:v>Тиражирование / публикация</x:v>
      </x:c>
      <x:c r="AA160"/>
    </x:row>
    <x:row r="161" s="46" customFormat="1" ht="17" customHeight="1">
      <x:c r="A161" t="str">
        <x:v>PL-HIST-0160</x:v>
      </x:c>
      <x:c r="B161" t="str">
        <x:v>1970-е – XXI век</x:v>
      </x:c>
      <x:c r="C161" t="str">
        <x:v>диапазон</x:v>
      </x:c>
      <x:c r="D161" t="str">
        <x:v>глобально</x:v>
      </x:c>
      <x:c r="E161" t="str">
        <x:v>фотолаборатории</x:v>
      </x:c>
      <x:c r="F161" t="str">
        <x:v>Kodak / фотолаборатории</x:v>
      </x:c>
      <x:c r="G161" t="str">
        <x:v>Процесс C-41 становится стандартной лабораторной логикой для большинства цветных негативных фотоплёнок.</x:v>
      </x:c>
      <x:c r="H161" t="str">
        <x:v>Фотохимия</x:v>
      </x:c>
      <x:c r="I161" t="str">
        <x:v>C-41 color negative process</x:v>
      </x:c>
      <x:c r="J161" t="str">
        <x:v>Цветная негативная плёнка получает промышленную повторяемость: разные плёнки можно обрабатывать по единому температурному и химическому маршруту.</x:v>
      </x:c>
      <x:c r="K161" t="str">
        <x:v>Ранние цветные негативные процессы</x:v>
      </x:c>
      <x:c r="L161" t="str">
        <x:v>Современная проявка цветной негативной плёнки в лаборатории или домашнем наборе C-41</x:v>
      </x:c>
      <x:c r="M161" t="str">
        <x:v>Главная линия</x:v>
      </x:c>
      <x:c r="N161" t="n">
        <x:v>5</x:v>
      </x:c>
      <x:c r="O161" t="str">
        <x:v>PL-016</x:v>
      </x:c>
      <x:c r="P161" t="str">
        <x:v>SRC-126</x:v>
      </x:c>
      <x:c r="Q161" t="str">
        <x:v>Kodak — C-41 Color Negative Control Strips</x:v>
      </x:c>
      <x:c r="R161" t="str">
        <x:v>https://www.kodak.com/en/motion/page/c-41-control-strips/</x:v>
      </x:c>
      <x:c r="S161" t="str">
        <x:v>5</x:v>
      </x:c>
      <x:c r="T161" t="str">
        <x:v>Главная практическая формула: если на коробке написано C-41, это цветная негативная плёнка под стандартный цветной процесс.</x:v>
      </x:c>
      <x:c r="U161" t="str">
        <x:v>Коробка с надписью Process C-41, контрольная полоска и термостатированная ванна.</x:v>
      </x:c>
      <x:c r="V161" t="str">
        <x:v>#PL016 #C41 #color-negative-processing #lab</x:v>
      </x:c>
      <x:c r="W161" t="str">
        <x:v>Точную дату внедрения C-41 можно уточнить отдельно; в карте пока важнее современная стандартная роль процесса.</x:v>
      </x:c>
      <x:c r="X161"/>
      <x:c r="Y161" t="str">
        <x:v>Цветная негативная плёнка / C-41</x:v>
      </x:c>
      <x:c r="Z161" t="str">
        <x:v>Технология / процесс</x:v>
      </x:c>
      <x:c r="AA161"/>
    </x:row>
    <x:row r="162" s="46" customFormat="1" ht="17" customHeight="1">
      <x:c r="A162" t="str">
        <x:v>PL-HIST-0161</x:v>
      </x:c>
      <x:c r="B162" t="str">
        <x:v>XX–XXI век</x:v>
      </x:c>
      <x:c r="C162" t="str">
        <x:v>диапазон</x:v>
      </x:c>
      <x:c r="D162" t="str">
        <x:v>глобально</x:v>
      </x:c>
      <x:c r="E162" t="str">
        <x:v>фотолаборатории и производители химии</x:v>
      </x:c>
      <x:c r="F162" t="str">
        <x:v>Kodak / Kodak Alaris / фотолаборатории</x:v>
      </x:c>
      <x:c r="G162" t="str">
        <x:v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x:v>
      </x:c>
      <x:c r="H162" t="str">
        <x:v>Фотохимия</x:v>
      </x:c>
      <x:c r="I162" t="str">
        <x:v>KODAK FLEXICOLOR / C-41 compatible workflow</x:v>
      </x:c>
      <x:c r="J162" t="str">
        <x:v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x:v>
      </x:c>
      <x:c r="K162" t="str">
        <x:v>Процесс C-41 как лабораторный стандарт</x:v>
      </x:c>
      <x:c r="L162" t="str">
        <x:v>Минилабы, профессиональные лаборатории и домашние C-41 наборы</x:v>
      </x:c>
      <x:c r="M162" t="str">
        <x:v>Распространение / коммерциализация</x:v>
      </x:c>
      <x:c r="N162" t="n">
        <x:v>4</x:v>
      </x:c>
      <x:c r="O162" t="str">
        <x:v>PL-016</x:v>
      </x:c>
      <x:c r="P162" t="str">
        <x:v>SRC-127</x:v>
      </x:c>
      <x:c r="Q162" t="str">
        <x:v>Kodak Alaris — Chemicals: Color Negative Film Processing Cycles (C-41)</x:v>
      </x:c>
      <x:c r="R162" t="str">
        <x:v>https://www.kodakprofessional.com/en-gb/taxonomy/term/245</x:v>
      </x:c>
      <x:c r="S162" t="str">
        <x:v>5</x:v>
      </x:c>
      <x:c r="T162" t="str">
        <x:v>Пояснить отличие от ч/б: C-41 гораздо чувствительнее к температуре и стандарту процесса, поэтому цвет чаще отдавали в лабораторию.</x:v>
      </x:c>
      <x:c r="U162" t="str">
        <x:v>Цветная лаборатория: термостат, C-41 химия, кассеты разных брендов и одинаковый маршрут обработки.</x:v>
      </x:c>
      <x:c r="V162" t="str">
        <x:v>#PL016 #Flexicolor #C41 #photolab #processing</x:v>
      </x:c>
      <x:c r="W162"/>
      <x:c r="X162"/>
      <x:c r="Y162" t="str">
        <x:v>Цветная негативная плёнка / лабораторный стандарт</x:v>
      </x:c>
      <x:c r="Z162" t="str">
        <x:v>Распространение / коммерциализация</x:v>
      </x:c>
      <x:c r="AA162"/>
    </x:row>
    <x:row r="163" s="46" customFormat="1" ht="17" customHeight="1">
      <x:c r="A163" t="str">
        <x:v>PL-HIST-0162</x:v>
      </x:c>
      <x:c r="B163" t="str">
        <x:v>XX–XXI век</x:v>
      </x:c>
      <x:c r="C163" t="str">
        <x:v>диапазон</x:v>
      </x:c>
      <x:c r="D163" t="str">
        <x:v>глобально</x:v>
      </x:c>
      <x:c r="E163" t="str">
        <x:v>распределённый процесс</x:v>
      </x:c>
      <x:c r="F163" t="str">
        <x:v>Фотографы и производители плёнки</x:v>
      </x:c>
      <x:c r="G163" t="str">
        <x:v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x:v>
      </x:c>
      <x:c r="H163" t="str">
        <x:v>Цвет</x:v>
      </x:c>
      <x:c r="I163" t="str">
        <x:v>Color negative exposure latitude / print flexibility</x:v>
      </x:c>
      <x:c r="J163" t="str">
        <x:v>Фотограф получает более прощающий материал для повседневной съёмки: особенно важно для семьи, улицы, путешествий и портрета.</x:v>
      </x:c>
      <x:c r="K163" t="str">
        <x:v>C-41 как устойчивый стандарт обработки</x:v>
      </x:c>
      <x:c r="L163" t="str">
        <x:v>Слайдовая плёнка как более требовательный материал в PL-017</x:v>
      </x:c>
      <x:c r="M163" t="str">
        <x:v>Главная линия / практическое управление</x:v>
      </x:c>
      <x:c r="N163" t="n">
        <x:v>4</x:v>
      </x:c>
      <x:c r="O163" t="str">
        <x:v>PL-016</x:v>
      </x:c>
      <x:c r="P163" t="str">
        <x:v>SRC-128</x:v>
      </x:c>
      <x:c r="Q163" t="str">
        <x:v>Kodak Professional — Color Films</x:v>
      </x:c>
      <x:c r="R163" t="str">
        <x:v>https://kodakprofessional.com/photographers/film/color</x:v>
      </x:c>
      <x:c r="S163" t="str">
        <x:v>5</x:v>
      </x:c>
      <x:c r="T163" t="str">
        <x:v>Важно не противопоставлять грубо: цветной негатив гибче, а слайд точнее показывает итог сразу и требует аккуратной экспозиции.</x:v>
      </x:c>
      <x:c r="U163" t="str">
        <x:v>Сравнение двух полосок: цветной негатив с запасом по экспозиции и слайд с узким допуском.</x:v>
      </x:c>
      <x:c r="V163" t="str">
        <x:v>#PL016 #exposure-latitude #color-negative #print-film</x:v>
      </x:c>
      <x:c r="W163" t="str">
        <x:v>Формулировать аккуратно: конкретная широта зависит от плёнки, экспозиции, проявки и сканирования.</x:v>
      </x:c>
      <x:c r="X163"/>
      <x:c r="Y163" t="str">
        <x:v>Цветная негативная плёнка / экспозиционная гибкость</x:v>
      </x:c>
      <x:c r="Z163" t="str">
        <x:v>Применение / жанр</x:v>
      </x:c>
      <x:c r="AA163"/>
    </x:row>
    <x:row r="164" s="46" customFormat="1" ht="17" customHeight="1">
      <x:c r="A164" t="str">
        <x:v>PL-HIST-0163</x:v>
      </x:c>
      <x:c r="B164" t="str">
        <x:v>1990-е – XXI век</x:v>
      </x:c>
      <x:c r="C164" t="str">
        <x:v>диапазон</x:v>
      </x:c>
      <x:c r="D164" t="str">
        <x:v>глобально</x:v>
      </x:c>
      <x:c r="E164" t="str">
        <x:v>профессиональная и любительская фотография</x:v>
      </x:c>
      <x:c r="F164" t="str">
        <x:v>Kodak Professional / фотографы</x:v>
      </x:c>
      <x:c r="G164" t="str">
        <x:v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x:v>
      </x:c>
      <x:c r="H164" t="str">
        <x:v>Цвет</x:v>
      </x:c>
      <x:c r="I164" t="str">
        <x:v>KODAK PROFESSIONAL PORTRA / modern color negative film</x:v>
      </x:c>
      <x:c r="J164" t="str">
        <x:v>Цветной негатив закрепляет собственный визуальный язык: мягкие тона кожи, управляемый контраст, сканируемость и большой запас для печати.</x:v>
      </x:c>
      <x:c r="K164" t="str">
        <x:v>Массовая C-41 система и цветная лаборатория</x:v>
      </x:c>
      <x:c r="L164" t="str">
        <x:v>Современный гибридный процесс: плёнка → проявка → скан → печать</x:v>
      </x:c>
      <x:c r="M164" t="str">
        <x:v>Главная линия / визуальный язык</x:v>
      </x:c>
      <x:c r="N164" t="n">
        <x:v>4</x:v>
      </x:c>
      <x:c r="O164" t="str">
        <x:v>PL-016</x:v>
      </x:c>
      <x:c r="P164" t="str">
        <x:v>SRC-129</x:v>
      </x:c>
      <x:c r="Q164" t="str">
        <x:v>Kodak Professional — PORTRA 400 Film</x:v>
      </x:c>
      <x:c r="R164" t="str">
        <x:v>https://kodakprofessional.com/photographers/film/color/kodak-professional-portra-400-film/516</x:v>
      </x:c>
      <x:c r="S164" t="str">
        <x:v>5</x:v>
      </x:c>
      <x:c r="T164" t="str">
        <x:v>PORTRA можно использовать как современный пример: цветной негатив сегодня жив не как ностальгия, а как осознанный выбор тона и пластики.</x:v>
      </x:c>
      <x:c r="U164" t="str">
        <x:v>Кассеты Portra, контактные отпечатки и портрет с мягким естественным цветом.</x:v>
      </x:c>
      <x:c r="V164" t="str">
        <x:v>#PL016 #Portra #color-negative #portrait #hybrid-workflow</x:v>
      </x:c>
      <x:c r="W164"/>
      <x:c r="X164"/>
      <x:c r="Y164" t="str">
        <x:v>Цветная негативная плёнка / современный профессиональный материал</x:v>
      </x:c>
      <x:c r="Z164" t="str">
        <x:v>Применение / жанр</x:v>
      </x:c>
      <x:c r="AA164"/>
    </x:row>
    <x:row r="165" s="46" customFormat="1" ht="17" customHeight="1">
      <x:c r="A165" t="str">
        <x:v>PL-HIST-0164</x:v>
      </x:c>
      <x:c r="B165" t="str">
        <x:v>XX–XXI век</x:v>
      </x:c>
      <x:c r="C165" t="str">
        <x:v>диапазон</x:v>
      </x:c>
      <x:c r="D165" t="str">
        <x:v>глобально</x:v>
      </x:c>
      <x:c r="E165" t="str">
        <x:v>архивы и лаборатории</x:v>
      </x:c>
      <x:c r="F165" t="str">
        <x:v>Архивисты, музеи и фотолаборатории</x:v>
      </x:c>
      <x:c r="G165" t="str">
        <x:v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x:v>
      </x:c>
      <x:c r="H165" t="str">
        <x:v>Цвет</x:v>
      </x:c>
      <x:c r="I165" t="str">
        <x:v>Color film preservation / dye image stability</x:v>
      </x:c>
      <x:c r="J165" t="str">
        <x:v>Цветная плёнка даёт массовую память XX века, но эта память хрупкая: негатив нужно не только проявить, но и сохранить.</x:v>
      </x:c>
      <x:c r="K165" t="str">
        <x:v>Цветной негатив как семейный и профессиональный архив</x:v>
      </x:c>
      <x:c r="L165" t="str">
        <x:v>Будущие уроки о сканировании, печати и хранении плёнки</x:v>
      </x:c>
      <x:c r="M165" t="str">
        <x:v>Применение / жанр</x:v>
      </x:c>
      <x:c r="N165" t="n">
        <x:v>4</x:v>
      </x:c>
      <x:c r="O165" t="str">
        <x:v>PL-016</x:v>
      </x:c>
      <x:c r="P165" t="str">
        <x:v>SRC-130</x:v>
      </x:c>
      <x:c r="Q165" t="str">
        <x:v>National Archives — Film-Based Negatives and Positives</x:v>
      </x:c>
      <x:c r="R165" t="str">
        <x:v>https://www.archives.gov/preservation/holdings-maintenance/film-based</x:v>
      </x:c>
      <x:c r="S165" t="str">
        <x:v>5</x:v>
      </x:c>
      <x:c r="T165" t="str">
        <x:v>Финальный мост: цветной негатив — это архив. Если его потерять, потеряется не один отпечаток, а источник для множества будущих интерпретаций.</x:v>
      </x:c>
      <x:c r="U165" t="str">
        <x:v>Архивная коробка с цветными негативами в прозрачных рукавах; рядом сканер и отпечаток.</x:v>
      </x:c>
      <x:c r="V165" t="str">
        <x:v>#PL016 #color-negative #archive #preservation #film-storage</x:v>
      </x:c>
      <x:c r="W165"/>
      <x:c r="X165"/>
      <x:c r="Y165" t="str">
        <x:v>Цветная негативная плёнка / хранение и архив</x:v>
      </x:c>
      <x:c r="Z165" t="str">
        <x:v>Применение / жанр</x:v>
      </x:c>
      <x:c r="AA165"/>
    </x:row>
    <x:row r="166" s="46" customFormat="1" ht="17" customHeight="1">
      <x:c r="A166" s="62" t="str">
        <x:v>PL-HIST-0165</x:v>
      </x:c>
      <x:c r="B166" s="62" t="str">
        <x:v>1907</x:v>
      </x:c>
      <x:c r="C166" s="62" t="str">
        <x:v>год</x:v>
      </x:c>
      <x:c r="D166" s="62" t="str">
        <x:v>Франция</x:v>
      </x:c>
      <x:c r="E166" s="62" t="str">
        <x:v>Лион / Париж</x:v>
      </x:c>
      <x:c r="F166" s="62" t="str">
        <x:v>Огюст и Луи Люмьер</x:v>
      </x:c>
      <x:c r="G166" s="62" t="str">
        <x:v>Autochrome Lumière становится первым практически и коммерчески успешным способом цветной фотографии: изображение получается как прозрачный позитив, который нужно смотреть на просвет.</x:v>
      </x:c>
      <x:c r="H166" s="62" t="str">
        <x:v>Цвет</x:v>
      </x:c>
      <x:c r="I166" s="62" t="str">
        <x:v>Autochrome Lumière / color transparency plate</x:v>
      </x:c>
      <x:c r="J166" s="62" t="str">
        <x:v>Цвет перестаёт быть ручной раскраской и становится фотографическим результатом, но пока остаётся уникальной прозрачностью, а не тиражируемым негативом.</x:v>
      </x:c>
      <x:c r="K166" s="62" t="str">
        <x:v>Позитив и прямые позитивные процессы в PL-014</x:v>
      </x:c>
      <x:c r="L166" s="62" t="str">
        <x:v>Рулонная цветная реверсивная плёнка и Kodachrome</x:v>
      </x:c>
      <x:c r="M166" s="62" t="str">
        <x:v>Исторически важная ограниченная ветка</x:v>
      </x:c>
      <x:c r="N166" s="62" t="n">
        <x:v>5</x:v>
      </x:c>
      <x:c r="O166" s="62" t="str">
        <x:v>PL-017</x:v>
      </x:c>
      <x:c r="P166" s="62" t="str">
        <x:v>SRC-131</x:v>
      </x:c>
      <x:c r="Q166" s="62" t="str">
        <x:v>National Science and Media Museum — A short history of colour photography</x:v>
      </x:c>
      <x:c r="R166" s="62" t="str">
        <x:v>https://www.scienceandmediamuseum.org.uk/objects-and-stories/history-colour-photography</x:v>
      </x:c>
      <x:c r="S166" s="62" t="n">
        <x:v>5</x:v>
      </x:c>
      <x:c r="T166" s="62" t="str">
        <x:v>Начать урок можно с парадокса: первый успешный массовый цвет был не негативом, а прозрачным позитивом для просмотра на свет.</x:v>
      </x:c>
      <x:c r="U166" s="62" t="str">
        <x:v>Автохромная стеклянная пластина на световом столе; зёрна крахмала как цветной экран.</x:v>
      </x:c>
      <x:c r="V166" s="62" t="str">
        <x:v>#PL017 #Autochrome #colour #transparency #Lumiere</x:v>
      </x:c>
      <x:c r="W166" s="62"/>
      <x:c r="X166" s="62" t="str">
        <x:v>45.7640, 4.8357</x:v>
      </x:c>
      <x:c r="Y166" s="62" t="str">
        <x:v>Слайдовая плёнка / ранний цветной позитив</x:v>
      </x:c>
      <x:c r="Z166" s="62" t="str">
        <x:v>Ключевой исторический узел</x:v>
      </x:c>
      <x:c r="AA166" s="62"/>
    </x:row>
    <x:row r="167" s="46" customFormat="1" ht="17" customHeight="1">
      <x:c r="A167" s="62" t="str">
        <x:v>PL-HIST-0166</x:v>
      </x:c>
      <x:c r="B167" s="62" t="str">
        <x:v>1923</x:v>
      </x:c>
      <x:c r="C167" s="62" t="str">
        <x:v>год</x:v>
      </x:c>
      <x:c r="D167" s="62" t="str">
        <x:v>США</x:v>
      </x:c>
      <x:c r="E167" s="62" t="str">
        <x:v>Рочестер, Нью-Йорк</x:v>
      </x:c>
      <x:c r="F167" s="62" t="str">
        <x:v>Eastman Kodak Company</x:v>
      </x:c>
      <x:c r="G167" s="62" t="str">
        <x:v>Kodak вводит 16-мм reversal film на безопасной ацетатной основе вместе с камерой Cine-Kodak и проектором Kodascope.</x:v>
      </x:c>
      <x:c r="H167" s="62" t="str">
        <x:v>Проекция / распространение</x:v>
      </x:c>
      <x:c r="I167" s="62" t="str">
        <x:v>16mm reversal film / projected positive</x:v>
      </x:c>
      <x:c r="J167" s="62" t="str">
        <x:v>Реверсивный материал закрепляет простую логику показа: снятая плёнка после обработки становится позитивом, который можно проецировать.</x:v>
      </x:c>
      <x:c r="K167" s="62" t="str">
        <x:v>Autochrome как ранняя цветная прозрачность</x:v>
      </x:c>
      <x:c r="L167" s="62" t="str">
        <x:v>Kodachrome как цветная реверсивная плёнка</x:v>
      </x:c>
      <x:c r="M167" s="62" t="str">
        <x:v>Связь / переход</x:v>
      </x:c>
      <x:c r="N167" s="62" t="n">
        <x:v>4</x:v>
      </x:c>
      <x:c r="O167" s="62" t="str">
        <x:v>PL-017</x:v>
      </x:c>
      <x:c r="P167" s="62" t="str">
        <x:v>SRC-133</x:v>
      </x:c>
      <x:c r="Q167" s="62" t="str">
        <x:v>Kodak — 100 Years of 16mm Film</x:v>
      </x:c>
      <x:c r="R167" s="62" t="str">
        <x:v>https://www.kodak.com/en/motion/page/100-years-of-16mm-film/</x:v>
      </x:c>
      <x:c r="S167" s="62" t="n">
        <x:v>5</x:v>
      </x:c>
      <x:c r="T167" s="62" t="str">
        <x:v>Это важный мост: слайдовая логика связана не только с фотоальбомом, но и с проектором, показом, лекцией, семейным просмотром.</x:v>
      </x:c>
      <x:c r="U167" s="62" t="str">
        <x:v>Домашний проектор Kodascope, катушка 16 мм и световой конус на экран.</x:v>
      </x:c>
      <x:c r="V167" s="62" t="str">
        <x:v>#PL017 #reversal #16mm #projection #Kodak</x:v>
      </x:c>
      <x:c r="W167" s="62"/>
      <x:c r="X167" s="62" t="str">
        <x:v>43.1566, -77.6088</x:v>
      </x:c>
      <x:c r="Y167" s="62" t="str">
        <x:v>Слайдовая плёнка / reversal и проекция</x:v>
      </x:c>
      <x:c r="Z167" s="62" t="str">
        <x:v>Связь / переход</x:v>
      </x:c>
      <x:c r="AA167" s="62"/>
    </x:row>
    <x:row r="168" s="46" customFormat="1" ht="17" customHeight="1">
      <x:c r="A168" s="62" t="str">
        <x:v>PL-HIST-0167</x:v>
      </x:c>
      <x:c r="B168" s="62" t="str">
        <x:v>1935</x:v>
      </x:c>
      <x:c r="C168" s="62" t="str">
        <x:v>год</x:v>
      </x:c>
      <x:c r="D168" s="62" t="str">
        <x:v>США</x:v>
      </x:c>
      <x:c r="E168" s="62" t="str">
        <x:v>Рочестер, Нью-Йорк</x:v>
      </x:c>
      <x:c r="F168" s="62" t="str">
        <x:v>Leopold Mannes, Leopold Godowsky Jr. / Eastman Kodak Company</x:v>
      </x:c>
      <x:c r="G168" s="62" t="str">
        <x:v>Kodak представляет Kodachrome — первый коммерчески успешный любительский цветной фильм, первоначально для 16-мм кино.</x:v>
      </x:c>
      <x:c r="H168" s="62" t="str">
        <x:v>Цвет</x:v>
      </x:c>
      <x:c r="I168" s="62" t="str">
        <x:v>KODACHROME / color reversal film</x:v>
      </x:c>
      <x:c r="J168" s="62" t="str">
        <x:v>Качественная цветная прозрачность становится промышленным продуктом: слайдовая эстетика начинает входить в массовую и профессиональную культуру.</x:v>
      </x:c>
      <x:c r="K168" s="62" t="str">
        <x:v>Autochrome и ранние цветные прозрачности</x:v>
      </x:c>
      <x:c r="L168" s="62" t="str">
        <x:v>Kodachrome 35 мм для фотокамер и слайдов</x:v>
      </x:c>
      <x:c r="M168" s="62" t="str">
        <x:v>Главная линия</x:v>
      </x:c>
      <x:c r="N168" s="62" t="n">
        <x:v>5</x:v>
      </x:c>
      <x:c r="O168" s="62" t="str">
        <x:v>PL-017</x:v>
      </x:c>
      <x:c r="P168" s="62" t="str">
        <x:v>SRC-134</x:v>
      </x:c>
      <x:c r="Q168" s="62" t="str">
        <x:v>Kodak — History of Film</x:v>
      </x:c>
      <x:c r="R168" s="62" t="str">
        <x:v>https://www.kodak.com/en/motion/page/chronology-of-film/</x:v>
      </x:c>
      <x:c r="S168" s="62" t="n">
        <x:v>5</x:v>
      </x:c>
      <x:c r="T168" s="62" t="str">
        <x:v>Флагман урока: Kodachrome сделал цветной слайд узнаваемым визуальным языком XX века.</x:v>
      </x:c>
      <x:c r="U168" s="62" t="str">
        <x:v>Коробка Kodachrome, цветная прозрачность в рамке и яркий луч проектора.</x:v>
      </x:c>
      <x:c r="V168" s="62" t="str">
        <x:v>#PL017 #Kodachrome #slide-film #color-reversal #Kodak</x:v>
      </x:c>
      <x:c r="W168" s="62"/>
      <x:c r="X168" s="62" t="str">
        <x:v>43.1566, -77.6088</x:v>
      </x:c>
      <x:c r="Y168" s="62" t="str">
        <x:v>Слайдовая плёнка / Kodachrome</x:v>
      </x:c>
      <x:c r="Z168" s="62" t="str">
        <x:v>Ключевой исторический узел</x:v>
      </x:c>
      <x:c r="AA168" s="62" t="str">
        <x:v>да</x:v>
      </x:c>
    </x:row>
    <x:row r="169" s="46" customFormat="1" ht="17" customHeight="1">
      <x:c r="A169" s="62" t="str">
        <x:v>PL-HIST-0168</x:v>
      </x:c>
      <x:c r="B169" s="62" t="str">
        <x:v>1936</x:v>
      </x:c>
      <x:c r="C169" s="62" t="str">
        <x:v>год</x:v>
      </x:c>
      <x:c r="D169" s="62" t="str">
        <x:v>США / глобально</x:v>
      </x:c>
      <x:c r="E169" s="62" t="str">
        <x:v>Рочестер, Нью-Йорк / фотомагазины</x:v>
      </x:c>
      <x:c r="F169" s="62" t="str">
        <x:v>Eastman Kodak Company</x:v>
      </x:c>
      <x:c r="G169" s="62" t="str">
        <x:v>После 16-мм Kodachrome появляются 35-мм слайды и 8-мм домашнее кино, что переносит цветную реверсивную логику в фотографическую и бытовую практику.</x:v>
      </x:c>
      <x:c r="H169" s="62" t="str">
        <x:v>Цвет</x:v>
      </x:c>
      <x:c r="I169" s="62" t="str">
        <x:v>35mm Kodachrome slides / 8mm home movies</x:v>
      </x:c>
      <x:c r="J169" s="62" t="str">
        <x:v>Цветной позитив становится не только киноформатом, но и форматом маленькой фотографии: кадр можно монтировать в рамку, смотреть через лупу или проецировать.</x:v>
      </x:c>
      <x:c r="K169" s="62" t="str">
        <x:v>Kodachrome 1935</x:v>
      </x:c>
      <x:c r="L169" s="62" t="str">
        <x:v>Профессиональная и любительская культура цветных слайдов</x:v>
      </x:c>
      <x:c r="M169" s="62" t="str">
        <x:v>Главная линия</x:v>
      </x:c>
      <x:c r="N169" s="62" t="n">
        <x:v>5</x:v>
      </x:c>
      <x:c r="O169" s="62" t="str">
        <x:v>PL-017</x:v>
      </x:c>
      <x:c r="P169" s="62" t="str">
        <x:v>SRC-134</x:v>
      </x:c>
      <x:c r="Q169" s="62" t="str">
        <x:v>Kodak — History of Film</x:v>
      </x:c>
      <x:c r="R169" s="62" t="str">
        <x:v>https://www.kodak.com/en/motion/page/chronology-of-film/</x:v>
      </x:c>
      <x:c r="S169" s="62" t="n">
        <x:v>5</x:v>
      </x:c>
      <x:c r="T169" s="62" t="str">
        <x:v>Связать с PL-009: 35 мм становится не только чёрно-белым и негативным форматом, но и цветным слайдом.</x:v>
      </x:c>
      <x:c r="U169" s="62" t="str">
        <x:v>35-мм слайд в картонной рамке рядом с кассетой плёнки и лупой.</x:v>
      </x:c>
      <x:c r="V169" s="62" t="str">
        <x:v>#PL017 #35mm #slides #Kodachrome #transparency</x:v>
      </x:c>
      <x:c r="W169" s="62"/>
      <x:c r="X169" s="62" t="str">
        <x:v>43.1566, -77.6088</x:v>
      </x:c>
      <x:c r="Y169" s="62" t="str">
        <x:v>Слайдовая плёнка / 35 мм слайды</x:v>
      </x:c>
      <x:c r="Z169" s="62" t="str">
        <x:v>Распространение / коммерциализация</x:v>
      </x:c>
      <x:c r="AA169" s="62"/>
    </x:row>
    <x:row r="170" s="46" customFormat="1" ht="17" customHeight="1">
      <x:c r="A170" s="62" t="str">
        <x:v>PL-HIST-0169</x:v>
      </x:c>
      <x:c r="B170" s="62" t="str">
        <x:v>1930-е – XX век</x:v>
      </x:c>
      <x:c r="C170" s="62" t="str">
        <x:v>диапазон</x:v>
      </x:c>
      <x:c r="D170" s="62" t="str">
        <x:v>глобально</x:v>
      </x:c>
      <x:c r="E170" s="62" t="str">
        <x:v>распределённый процесс</x:v>
      </x:c>
      <x:c r="F170" s="62" t="str">
        <x:v>Фотографы, редакции, лекторы, семьи</x:v>
      </x:c>
      <x:c r="G170" s="62" t="str">
        <x:v>Цветной слайд закрепляется как позитивная прозрачность: итоговое изображение находится прямо на плёнке и читается при проходящем свете.</x:v>
      </x:c>
      <x:c r="H170" s="62" t="str">
        <x:v>Проекция / распространение</x:v>
      </x:c>
      <x:c r="I170" s="62" t="str">
        <x:v>Mounted slide / transparency viewing</x:v>
      </x:c>
      <x:c r="J170" s="62" t="str">
        <x:v>В отличие от цветного негатива, слайд уже выглядит как готовая картинка: его можно положить на световой стол, рассмотреть в лупу или показать проектором.</x:v>
      </x:c>
      <x:c r="K170" s="62" t="str">
        <x:v>35-мм Kodachrome и культура проекции</x:v>
      </x:c>
      <x:c r="L170" s="62" t="str">
        <x:v>Реверсивный химический процесс</x:v>
      </x:c>
      <x:c r="M170" s="62" t="str">
        <x:v>Главная линия / практическое управление</x:v>
      </x:c>
      <x:c r="N170" s="62" t="n">
        <x:v>4</x:v>
      </x:c>
      <x:c r="O170" s="62" t="str">
        <x:v>PL-017</x:v>
      </x:c>
      <x:c r="P170" s="62" t="str">
        <x:v>SRC-139</x:v>
      </x:c>
      <x:c r="Q170" s="62" t="str">
        <x:v>National Archives — Photographs</x:v>
      </x:c>
      <x:c r="R170" s="62" t="str">
        <x:v>https://www.archives.gov/preservation/holdings-maintenance/photographs</x:v>
      </x:c>
      <x:c r="S170" s="62" t="n">
        <x:v>4</x:v>
      </x:c>
      <x:c r="T170" s="62" t="str">
        <x:v>Это центральное отличие для новичка: негатив нужно инвертировать/печатать, а слайд сам является позитивом.</x:v>
      </x:c>
      <x:c r="U170" s="62" t="str">
        <x:v>Световой стол с mounted slides, лупой и проектором на заднем плане.</x:v>
      </x:c>
      <x:c r="V170" s="62" t="str">
        <x:v>#PL017 #slide #transparency #projection #positive</x:v>
      </x:c>
      <x:c r="W170" s="62" t="str">
        <x:v>Найти отдельный музейный источник по культуре слайд-проекций и редакционной работе со слайдами.</x:v>
      </x:c>
      <x:c r="X170" s="62"/>
      <x:c r="Y170" s="62" t="str">
        <x:v>Слайдовая плёнка / просмотр на просвет</x:v>
      </x:c>
      <x:c r="Z170" s="62" t="str">
        <x:v>Применение / жанр</x:v>
      </x:c>
      <x:c r="AA170" s="62"/>
    </x:row>
    <x:row r="171" s="46" customFormat="1" ht="17" customHeight="1">
      <x:c r="A171" s="62" t="str">
        <x:v>PL-HIST-0170</x:v>
      </x:c>
      <x:c r="B171" s="62" t="str">
        <x:v>XX век</x:v>
      </x:c>
      <x:c r="C171" s="62" t="str">
        <x:v>диапазон</x:v>
      </x:c>
      <x:c r="D171" s="62" t="str">
        <x:v>глобально</x:v>
      </x:c>
      <x:c r="E171" s="62" t="str">
        <x:v>распределённый процесс</x:v>
      </x:c>
      <x:c r="F171" s="62" t="str">
        <x:v>Производители реверсивных материалов и лаборатории</x:v>
      </x:c>
      <x:c r="G171" s="62" t="str">
        <x:v>Реверсивный материал при съёмке в камере после обработки даёт позитив, а не негатив: это и есть базовый принцип slide / transparency film.</x:v>
      </x:c>
      <x:c r="H171" s="62" t="str">
        <x:v>Фотохимия</x:v>
      </x:c>
      <x:c r="I171" s="62" t="str">
        <x:v>Reversal stock / direct positive development</x:v>
      </x:c>
      <x:c r="J171" s="62" t="str">
        <x:v>Маршрут изображения меняется: вместо «негатив → позитив» появляется «экспозиция → реверсивная обработка → готовый позитив на плёнке».</x:v>
      </x:c>
      <x:c r="K171" s="62" t="str">
        <x:v>Негативно-позитивная система PL-013 / PL-016</x:v>
      </x:c>
      <x:c r="L171" s="62" t="str">
        <x:v>Ektachrome и стандартизированный E-6 процесс</x:v>
      </x:c>
      <x:c r="M171" s="62" t="str">
        <x:v>Главная линия</x:v>
      </x:c>
      <x:c r="N171" s="62" t="n">
        <x:v>5</x:v>
      </x:c>
      <x:c r="O171" s="62" t="str">
        <x:v>PL-017</x:v>
      </x:c>
      <x:c r="P171" s="62" t="str">
        <x:v>SRC-137</x:v>
      </x:c>
      <x:c r="Q171" s="62" t="str">
        <x:v>National Archives — Archival Formats: Glossary of Terms</x:v>
      </x:c>
      <x:c r="R171" s="62" t="str">
        <x:v>https://www.archives.gov/preservation/formats/glossary.html</x:v>
      </x:c>
      <x:c r="S171" s="62" t="n">
        <x:v>5</x:v>
      </x:c>
      <x:c r="T171" s="62" t="str">
        <x:v>Объяснять через схему: цветной негатив — матрица для будущего изображения, слайд — само изображение.</x:v>
      </x:c>
      <x:c r="U171" s="62" t="str">
        <x:v>Две дорожки процесса: слева негатив превращается в отпечаток, справа слайд сразу становится позитивом.</x:v>
      </x:c>
      <x:c r="V171" s="62" t="str">
        <x:v>#PL017 #reversal #positive #transparency #process</x:v>
      </x:c>
      <x:c r="W171" s="62"/>
      <x:c r="X171" s="62"/>
      <x:c r="Y171" s="62" t="str">
        <x:v>Слайдовая плёнка / reversal-процесс</x:v>
      </x:c>
      <x:c r="Z171" s="62" t="str">
        <x:v>Технология / процесс</x:v>
      </x:c>
      <x:c r="AA171" s="62"/>
    </x:row>
    <x:row r="172" s="46" customFormat="1" ht="17" customHeight="1">
      <x:c r="A172" s="62" t="str">
        <x:v>PL-HIST-0171</x:v>
      </x:c>
      <x:c r="B172" s="62" t="str">
        <x:v>1946</x:v>
      </x:c>
      <x:c r="C172" s="62" t="str">
        <x:v>год</x:v>
      </x:c>
      <x:c r="D172" s="62" t="str">
        <x:v>США</x:v>
      </x:c>
      <x:c r="E172" s="62" t="str">
        <x:v>Рочестер, Нью-Йорк</x:v>
      </x:c>
      <x:c r="F172" s="62" t="str">
        <x:v>Eastman Kodak Company</x:v>
      </x:c>
      <x:c r="G172" s="62" t="str">
        <x:v>Kodak выпускает KODAK EKTACHROME Transparency Sheet Film — цветную прозрачную плёнку, которую фотографы могли обрабатывать сами с помощью химических наборов.</x:v>
      </x:c>
      <x:c r="H172" s="62" t="str">
        <x:v>Цвет</x:v>
      </x:c>
      <x:c r="I172" s="62" t="str">
        <x:v>KODAK EKTACHROME Transparency Sheet Film</x:v>
      </x:c>
      <x:c r="J172" s="62" t="str">
        <x:v>Цветной слайд становится более доступным для контролируемой обработки: Ektachrome отделяется от сложной сервисной модели Kodachrome.</x:v>
      </x:c>
      <x:c r="K172" s="62" t="str">
        <x:v>Kodachrome как промышленный цветной слайд</x:v>
      </x:c>
      <x:c r="L172" s="62" t="str">
        <x:v>Стандартизация Ektachrome и E-6</x:v>
      </x:c>
      <x:c r="M172" s="62" t="str">
        <x:v>Главная линия</x:v>
      </x:c>
      <x:c r="N172" s="62" t="n">
        <x:v>5</x:v>
      </x:c>
      <x:c r="O172" s="62" t="str">
        <x:v>PL-017</x:v>
      </x:c>
      <x:c r="P172" s="62" t="str">
        <x:v>SRC-135</x:v>
      </x:c>
      <x:c r="Q172" s="62" t="str">
        <x:v>Kodak — Milestones</x:v>
      </x:c>
      <x:c r="R172" s="62" t="str">
        <x:v>https://www.kodak.com/en/company/page/milestones/</x:v>
      </x:c>
      <x:c r="S172" s="62" t="n">
        <x:v>5</x:v>
      </x:c>
      <x:c r="T172" s="62" t="str">
        <x:v>Важно: Ektachrome — это шаг к большей самостоятельности фотографа и лаборатории.</x:v>
      </x:c>
      <x:c r="U172" s="62" t="str">
        <x:v>Листовая Ektachrome, химический набор и проявочный бачок на лабораторном столе.</x:v>
      </x:c>
      <x:c r="V172" s="62" t="str">
        <x:v>#PL017 #Ektachrome #transparency #Kodak #processing</x:v>
      </x:c>
      <x:c r="W172" s="62"/>
      <x:c r="X172" s="62" t="str">
        <x:v>43.1566, -77.6088</x:v>
      </x:c>
      <x:c r="Y172" s="62" t="str">
        <x:v>Слайдовая плёнка / Ektachrome</x:v>
      </x:c>
      <x:c r="Z172" s="62" t="str">
        <x:v>Распространение / коммерциализация</x:v>
      </x:c>
      <x:c r="AA172" s="62"/>
    </x:row>
    <x:row r="173" s="46" customFormat="1" ht="17" customHeight="1">
      <x:c r="A173" s="62" t="str">
        <x:v>PL-HIST-0172</x:v>
      </x:c>
      <x:c r="B173" s="62" t="str">
        <x:v>1970-е – XXI век</x:v>
      </x:c>
      <x:c r="C173" s="62" t="str">
        <x:v>диапазон</x:v>
      </x:c>
      <x:c r="D173" s="62" t="str">
        <x:v>глобально</x:v>
      </x:c>
      <x:c r="E173" s="62" t="str">
        <x:v>фотолаборатории</x:v>
      </x:c>
      <x:c r="F173" s="62" t="str">
        <x:v>Kodak / фотолаборатории</x:v>
      </x:c>
      <x:c r="G173" s="62" t="str">
        <x:v>Process E-6 закрепляется как стандартная логика обработки современных цветных реверсивных плёнок семейства Ektachrome и совместимых материалов.</x:v>
      </x:c>
      <x:c r="H173" s="62" t="str">
        <x:v>Фотохимия</x:v>
      </x:c>
      <x:c r="I173" s="62" t="str">
        <x:v>E-6 color reversal process</x:v>
      </x:c>
      <x:c r="J173" s="62" t="str">
        <x:v>Слайдовая плёнка получает понятную лабораторную метку: если материал рассчитан на E-6, значит это цветной reversal / slide-процесс.</x:v>
      </x:c>
      <x:c r="K173" s="62" t="str">
        <x:v>Ektachrome как более доступная реверсивная система</x:v>
      </x:c>
      <x:c r="L173" s="62" t="str">
        <x:v>Современные слайдовые материалы и гибридное сканирование</x:v>
      </x:c>
      <x:c r="M173" s="62" t="str">
        <x:v>Главная линия</x:v>
      </x:c>
      <x:c r="N173" s="62" t="n">
        <x:v>5</x:v>
      </x:c>
      <x:c r="O173" s="62" t="str">
        <x:v>PL-017</x:v>
      </x:c>
      <x:c r="P173" s="62" t="str">
        <x:v>SRC-138</x:v>
      </x:c>
      <x:c r="Q173" s="62" t="str">
        <x:v>Kodak — EKTACHROME Color Reversal Control Strips Process E-6</x:v>
      </x:c>
      <x:c r="R173" s="62" t="str">
        <x:v>https://www.kodak.com/en/motion/page/ektachrome-color-reversal-control-strips/</x:v>
      </x:c>
      <x:c r="S173" s="62" t="n">
        <x:v>5</x:v>
      </x:c>
      <x:c r="T173" s="62" t="str">
        <x:v>Практическая формула для ученика: C-41 — цветной негатив; E-6 — цветной слайд / reversal.</x:v>
      </x:c>
      <x:c r="U173" s="62" t="str">
        <x:v>Две коробки химии: C-41 и E-6; рядом две полоски плёнки — оранжевый негатив и прозрачный слайд.</x:v>
      </x:c>
      <x:c r="V173" s="62" t="str">
        <x:v>#PL017 #E6 #color-reversal #processing #Ektachrome</x:v>
      </x:c>
      <x:c r="W173" s="62" t="str">
        <x:v>Точную историческую дату введения E-6 при необходимости уточнить отдельно; для урока важнее современная маркировка процесса.</x:v>
      </x:c>
      <x:c r="X173" s="62"/>
      <x:c r="Y173" s="62" t="str">
        <x:v>Слайдовая плёнка / E-6</x:v>
      </x:c>
      <x:c r="Z173" s="62" t="str">
        <x:v>Технология / процесс</x:v>
      </x:c>
      <x:c r="AA173" s="62"/>
    </x:row>
    <x:row r="174" s="46" customFormat="1" ht="17" customHeight="1">
      <x:c r="A174" s="62" t="str">
        <x:v>PL-HIST-0173</x:v>
      </x:c>
      <x:c r="B174" s="62" t="str">
        <x:v>XX–XXI век</x:v>
      </x:c>
      <x:c r="C174" s="62" t="str">
        <x:v>диапазон</x:v>
      </x:c>
      <x:c r="D174" s="62" t="str">
        <x:v>глобально</x:v>
      </x:c>
      <x:c r="E174" s="62" t="str">
        <x:v>практика фотографов</x:v>
      </x:c>
      <x:c r="F174" s="62" t="str">
        <x:v>Фотографы, лаборатории, производители плёнки</x:v>
      </x:c>
      <x:c r="G174" s="62" t="str">
        <x:v>Слайдовая плёнка требует более точной экспозиции, потому что итоговый позитив находится прямо на плёнке и даёт меньше места для исправления, чем негатив.</x:v>
      </x:c>
      <x:c r="H174" s="62" t="str">
        <x:v>Цвет</x:v>
      </x:c>
      <x:c r="I174" s="62" t="str">
        <x:v>Slide film exposure precision / narrow exposure range</x:v>
      </x:c>
      <x:c r="J174" s="62" t="str">
        <x:v>Фотограф учится измерять свет внимательнее: ошибка экспозиции видна сразу на самом слайде, а не компенсируется при печати с негатива.</x:v>
      </x:c>
      <x:c r="K174" s="62" t="str">
        <x:v>Цветной негатив с большой практической гибкостью PL-016</x:v>
      </x:c>
      <x:c r="L174" s="62" t="str">
        <x:v>Экспозиционная широта PL-020</x:v>
      </x:c>
      <x:c r="M174" s="62" t="str">
        <x:v>Главная линия / практическое управление</x:v>
      </x:c>
      <x:c r="N174" s="62" t="n">
        <x:v>5</x:v>
      </x:c>
      <x:c r="O174" s="62" t="str">
        <x:v>PL-017</x:v>
      </x:c>
      <x:c r="P174" s="62" t="str">
        <x:v>SRC-141</x:v>
      </x:c>
      <x:c r="Q174" s="62" t="str">
        <x:v>Kodak Moments — Ektachrome 120 FAQs</x:v>
      </x:c>
      <x:c r="R174" s="62" t="str">
        <x:v>https://business.kodakmoments.com/sites/default/files/files/products/Ektachrome_120_FAQs_English.pdf</x:v>
      </x:c>
      <x:c r="S174" s="62" t="n">
        <x:v>4</x:v>
      </x:c>
      <x:c r="T174" s="62" t="str">
        <x:v>Это мост к PL-020: слайдовая плёнка идеально объясняет, что такое экспозиционная широта и почему у разных материалов она разная.</x:v>
      </x:c>
      <x:c r="U174" s="62" t="str">
        <x:v>Одна сцена снята на негатив и слайд: у слайда выбитые света и плотные тени показывают меньший запас.</x:v>
      </x:c>
      <x:c r="V174" s="62" t="str">
        <x:v>#PL017 #exposure #latitude #slide-film #Ektachrome</x:v>
      </x:c>
      <x:c r="W174" s="62" t="str">
        <x:v>Формулировать без абсолютов: точная широта зависит от конкретной плёнки и обработки.</x:v>
      </x:c>
      <x:c r="X174" s="62"/>
      <x:c r="Y174" s="62" t="str">
        <x:v>Слайдовая плёнка / точность экспозиции</x:v>
      </x:c>
      <x:c r="Z174" s="62" t="str">
        <x:v>Применение / жанр</x:v>
      </x:c>
      <x:c r="AA174" s="62"/>
    </x:row>
    <x:row r="175" s="46" customFormat="1" ht="17" customHeight="1">
      <x:c r="A175" s="62" t="str">
        <x:v>PL-HIST-0174</x:v>
      </x:c>
      <x:c r="B175" s="62" t="str">
        <x:v>XXI век</x:v>
      </x:c>
      <x:c r="C175" s="62" t="str">
        <x:v>диапазон</x:v>
      </x:c>
      <x:c r="D175" s="62" t="str">
        <x:v>США / глобально</x:v>
      </x:c>
      <x:c r="E175" s="62" t="str">
        <x:v>Рочестер / современные рынки плёнки</x:v>
      </x:c>
      <x:c r="F175" s="62" t="str">
        <x:v>Kodak / Kodak licensees / современные фотографы</x:v>
      </x:c>
      <x:c r="G175" s="62" t="str">
        <x:v>KODAK EKTACHROME E100 остаётся современным примером слайдовой плёнки: daylight-balanced color reversal film ISO 100, рассчитанная на процесс E-6.</x:v>
      </x:c>
      <x:c r="H175" s="62" t="str">
        <x:v>Цвет</x:v>
      </x:c>
      <x:c r="I175" s="62" t="str">
        <x:v>KODAK EKTACHROME E100 / modern slide film</x:v>
      </x:c>
      <x:c r="J175" s="62" t="str">
        <x:v>Слайдовая плёнка не только исторический материал: она остаётся живым выбором для тех, кому нужен готовый позитив, чистый цвет и характерная визуальная дисциплина.</x:v>
      </x:c>
      <x:c r="K175" s="62" t="str">
        <x:v>E-6 как современный стандарт обработки</x:v>
      </x:c>
      <x:c r="L175" s="62" t="str">
        <x:v>Гибридный путь: слайд → световой стол / скан → печать</x:v>
      </x:c>
      <x:c r="M175" s="62" t="str">
        <x:v>Главная линия / визуальный язык</x:v>
      </x:c>
      <x:c r="N175" s="62" t="n">
        <x:v>4</x:v>
      </x:c>
      <x:c r="O175" s="62" t="str">
        <x:v>PL-017</x:v>
      </x:c>
      <x:c r="P175" s="62" t="str">
        <x:v>SRC-140</x:v>
      </x:c>
      <x:c r="Q175" s="62" t="str">
        <x:v>Kodak — EKTACHROME E100 Film</x:v>
      </x:c>
      <x:c r="R175" s="62" t="str">
        <x:v>https://www.kodak.com/en/still-film/product/professional/ektachrome-e100-film/</x:v>
      </x:c>
      <x:c r="S175" s="62" t="n">
        <x:v>5</x:v>
      </x:c>
      <x:c r="T175" s="62" t="str">
        <x:v>Можно показать современную связь: Ektachrome сегодня — это не массовый семейный материал, а осознанный визуальный выбор.</x:v>
      </x:c>
      <x:c r="U175" s="62" t="str">
        <x:v>Современная коробка Ektachrome E100, mounted slide и сканер/световой стол.</x:v>
      </x:c>
      <x:c r="V175" s="62" t="str">
        <x:v>#PL017 #EktachromeE100 #E6 #slide-film #modern-film</x:v>
      </x:c>
      <x:c r="W175" s="62"/>
      <x:c r="X175" s="62" t="str">
        <x:v>43.1566, -77.6088</x:v>
      </x:c>
      <x:c r="Y175" s="62" t="str">
        <x:v>Слайдовая плёнка / современный материал</x:v>
      </x:c>
      <x:c r="Z175" s="62" t="str">
        <x:v>Применение / жанр</x:v>
      </x:c>
      <x:c r="AA175" s="62"/>
    </x:row>
    <x:row r="176" s="46" customFormat="1" ht="17" customHeight="1">
      <x:c r="A176" s="62" t="str">
        <x:v>PL-HIST-0175</x:v>
      </x:c>
      <x:c r="B176" s="62" t="str">
        <x:v>XX–XXI век</x:v>
      </x:c>
      <x:c r="C176" s="62" t="str">
        <x:v>диапазон</x:v>
      </x:c>
      <x:c r="D176" s="62" t="str">
        <x:v>глобально</x:v>
      </x:c>
      <x:c r="E176" s="62" t="str">
        <x:v>архивы, музеи, частные коллекции</x:v>
      </x:c>
      <x:c r="F176" s="62" t="str">
        <x:v>Архивисты, музеи, фотографы</x:v>
      </x:c>
      <x:c r="G176" s="62" t="str">
        <x:v>Слайды и прозрачности требуют аккуратного хранения: материалы должны быть архивного качества, а оригиналы лучше защищать от света, тепла и неподходящих оболочек.</x:v>
      </x:c>
      <x:c r="H176" s="62" t="str">
        <x:v>Проекция / распространение</x:v>
      </x:c>
      <x:c r="I176" s="62" t="str">
        <x:v>Transparency preservation / slide archive</x:v>
      </x:c>
      <x:c r="J176" s="62" t="str">
        <x:v>Слайд — это не промежуточная рабочая матрица, а сам оригинальный позитив. Потеря или выцветание слайда означает потерю финального изображения.</x:v>
      </x:c>
      <x:c r="K176" s="62" t="str">
        <x:v>Современная слайдовая плёнка и световой стол</x:v>
      </x:c>
      <x:c r="L176" s="62" t="str">
        <x:v>Будущие уроки о сканировании, хранении и отпечатке</x:v>
      </x:c>
      <x:c r="M176" s="62" t="str">
        <x:v>Применение / жанр</x:v>
      </x:c>
      <x:c r="N176" s="62" t="n">
        <x:v>4</x:v>
      </x:c>
      <x:c r="O176" s="62" t="str">
        <x:v>PL-017</x:v>
      </x:c>
      <x:c r="P176" s="62" t="str">
        <x:v>SRC-142</x:v>
      </x:c>
      <x:c r="Q176" s="62" t="str">
        <x:v>National Archives — What is the Best Way to Store Negatives and Transparencies?</x:v>
      </x:c>
      <x:c r="R176" s="62" t="str">
        <x:v>https://www.archives.gov/preservation/storage/negatives-transparencies.html</x:v>
      </x:c>
      <x:c r="S176" s="62" t="n">
        <x:v>5</x:v>
      </x:c>
      <x:c r="T176" s="62" t="str">
        <x:v>Финальный вывод: слайдовая плёнка красива, но требует дисциплины не только при съёмке, но и при хранении.</x:v>
      </x:c>
      <x:c r="U176" s="62" t="str">
        <x:v>Архивная коробка с рамками слайдов, перчатки, световой стол и холодное хранилище.</x:v>
      </x:c>
      <x:c r="V176" s="62" t="str">
        <x:v>#PL017 #slides #transparencies #archive #preservation</x:v>
      </x:c>
      <x:c r="W176" s="62"/>
      <x:c r="X176" s="62"/>
      <x:c r="Y176" s="62" t="str">
        <x:v>Слайдовая плёнка / хранение и архив</x:v>
      </x:c>
      <x:c r="Z176" s="62" t="str">
        <x:v>Применение / жанр</x:v>
      </x:c>
      <x:c r="AA176" s="62"/>
    </x:row>
    <x:row r="177" s="46" customFormat="1" ht="17" customHeight="1"/>
    <x:row r="178" s="46" customFormat="1" ht="17" customHeight="1"/>
    <x:row r="179" s="46" customFormat="1" ht="17" customHeight="1"/>
    <x:row r="180" s="46" customFormat="1" ht="17" customHeight="1"/>
    <x:row r="181" s="46" customFormat="1" ht="17" customHeight="1"/>
    <x:row r="182" s="46" customFormat="1" ht="17" customHeight="1"/>
    <x:row r="183" s="46" customFormat="1" ht="17" customHeight="1"/>
    <x:row r="184" s="46" customFormat="1" ht="17" customHeight="1"/>
    <x:row r="185" s="46" customFormat="1" ht="17" customHeight="1"/>
    <x:row r="186" s="46" customFormat="1" ht="17" customHeight="1"/>
    <x:row r="187" s="46" customFormat="1" ht="17" customHeight="1"/>
    <x:row r="188" s="46" customFormat="1" ht="17" customHeight="1"/>
    <x:row r="189" s="46" customFormat="1" ht="17" customHeight="1"/>
    <x:row r="190" s="46" customFormat="1" ht="17" customHeight="1"/>
    <x:row r="191" s="46" customFormat="1" ht="17" customHeight="1"/>
    <x:row r="192" s="46" customFormat="1" ht="17" customHeight="1"/>
    <x:row r="193" s="46" customFormat="1" ht="17" customHeight="1"/>
    <x:row r="194" s="46" customFormat="1" ht="17" customHeight="1"/>
    <x:row r="195" s="46" customFormat="1" ht="17" customHeight="1"/>
    <x:row r="196" s="46" customFormat="1" ht="17" customHeight="1"/>
    <x:row r="197" s="46" customFormat="1" ht="17" customHeight="1"/>
    <x:row r="198" s="46" customFormat="1" ht="17" customHeight="1"/>
    <x:row r="199" s="46" customFormat="1" ht="17" customHeight="1"/>
    <x:row r="200" s="46" customFormat="1" ht="17" customHeight="1"/>
    <x:row r="201" s="46" customFormat="1" ht="17" customHeight="1"/>
    <x:row r="202" s="46" customFormat="1" ht="17" customHeight="1"/>
    <x:row r="203" s="46" customFormat="1" ht="17" customHeight="1"/>
    <x:row r="204" s="46" customFormat="1" ht="17" customHeight="1"/>
    <x:row r="205" s="46" customFormat="1" ht="17" customHeight="1"/>
    <x:row r="206" s="46" customFormat="1" ht="17" customHeight="1"/>
    <x:row r="207" s="46" customFormat="1" ht="17" customHeight="1"/>
    <x:row r="208" s="46" customFormat="1" ht="17" customHeight="1"/>
    <x:row r="209" s="46" customFormat="1" ht="17" customHeight="1"/>
    <x:row r="210" s="46" customFormat="1" ht="17" customHeight="1"/>
    <x:row r="211" s="46" customFormat="1" ht="17" customHeight="1"/>
    <x:row r="212" s="46" customFormat="1" ht="17" customHeight="1"/>
    <x:row r="213" s="46" customFormat="1" ht="17" customHeight="1"/>
    <x:row r="214" s="46" customFormat="1" ht="17" customHeight="1"/>
    <x:row r="215" s="46" customFormat="1" ht="17" customHeight="1"/>
    <x:row r="216" s="46" customFormat="1" ht="17" customHeight="1"/>
    <x:row r="217" s="46" customFormat="1" ht="17" customHeight="1"/>
    <x:row r="218" s="46" customFormat="1" ht="17" customHeight="1"/>
    <x:row r="219" s="46" customFormat="1" ht="17" customHeight="1"/>
    <x:row r="220" s="46" customFormat="1" ht="17" customHeight="1"/>
    <x:row r="221" s="46" customFormat="1" ht="17" customHeight="1"/>
    <x:row r="222" s="46" customFormat="1" ht="17" customHeight="1"/>
    <x:row r="223" s="46" customFormat="1" ht="17" customHeight="1"/>
    <x:row r="224" s="46" customFormat="1" ht="17" customHeight="1"/>
    <x:row r="225" s="46" customFormat="1" ht="17" customHeight="1"/>
    <x:row r="226" s="46" customFormat="1" ht="17" customHeight="1"/>
    <x:row r="227" s="46" customFormat="1" ht="17" customHeight="1"/>
    <x:row r="228" s="46" customFormat="1" ht="17" customHeight="1"/>
    <x:row r="229" s="46" customFormat="1" ht="17" customHeight="1"/>
    <x:row r="230" s="46" customFormat="1" ht="17" customHeight="1"/>
    <x:row r="231" s="46" customFormat="1" ht="17" customHeight="1"/>
    <x:row r="232" s="46" customFormat="1" ht="17" customHeight="1"/>
    <x:row r="233" s="46" customFormat="1" ht="17" customHeight="1"/>
    <x:row r="234" s="46" customFormat="1" ht="17" customHeight="1"/>
    <x:row r="235" s="46" customFormat="1" ht="17" customHeight="1"/>
    <x:row r="236" s="46" customFormat="1" ht="17" customHeight="1"/>
    <x:row r="237" s="46" customFormat="1" ht="17" customHeight="1"/>
    <x:row r="238" s="46" customFormat="1" ht="17" customHeight="1"/>
    <x:row r="239" s="46" customFormat="1" ht="17" customHeight="1"/>
    <x:row r="240" s="46" customFormat="1" ht="17" customHeight="1"/>
    <x:row r="241" s="46" customFormat="1" ht="17" customHeight="1"/>
    <x:row r="242" s="46" customFormat="1" ht="17" customHeight="1"/>
    <x:row r="243" s="46" customFormat="1" ht="17" customHeight="1"/>
    <x:row r="244" s="46" customFormat="1" ht="17" customHeight="1"/>
    <x:row r="245" s="46" customFormat="1" ht="17" customHeight="1"/>
    <x:row r="246" s="46" customFormat="1" ht="17" customHeight="1"/>
    <x:row r="247" s="46" customFormat="1" ht="17" customHeight="1"/>
    <x:row r="248" s="46" customFormat="1" ht="17" customHeight="1"/>
    <x:row r="249" s="46" customFormat="1" ht="17" customHeight="1"/>
    <x:row r="250" s="46" customFormat="1" ht="17" customHeight="1"/>
    <x:row r="251" s="46" customFormat="1" ht="17" customHeight="1"/>
    <x:row r="252" s="46" customFormat="1" ht="17" customHeight="1"/>
    <x:row r="253" s="46" customFormat="1" ht="17" customHeight="1"/>
    <x:row r="254" s="46" customFormat="1" ht="17" customHeight="1"/>
    <x:row r="255" s="46" customFormat="1" ht="17" customHeight="1"/>
    <x:row r="256" s="46" customFormat="1" ht="17" customHeight="1"/>
    <x:row r="257" s="46" customFormat="1" ht="17" customHeight="1"/>
    <x:row r="258" s="46" customFormat="1" ht="17" customHeight="1"/>
    <x:row r="259" s="46" customFormat="1" ht="17" customHeight="1"/>
    <x:row r="260" s="46" customFormat="1" ht="17" customHeight="1"/>
    <x:row r="261" s="46" customFormat="1" ht="17" customHeight="1"/>
    <x:row r="262" s="46" customFormat="1" ht="17" customHeight="1"/>
    <x:row r="263" s="46" customFormat="1" ht="17" customHeight="1"/>
    <x:row r="264" s="46" customFormat="1" ht="17" customHeight="1"/>
    <x:row r="265" s="46" customFormat="1" ht="17" customHeight="1"/>
    <x:row r="266" s="46" customFormat="1" ht="17" customHeight="1"/>
    <x:row r="267" s="46" customFormat="1" ht="17" customHeight="1"/>
    <x:row r="268" s="46" customFormat="1" ht="17" customHeight="1"/>
    <x:row r="269" s="46" customFormat="1" ht="17" customHeight="1"/>
    <x:row r="270" s="46" customFormat="1" ht="17" customHeight="1"/>
    <x:row r="271" s="46" customFormat="1" ht="17" customHeight="1"/>
    <x:row r="272" s="46" customFormat="1" ht="17" customHeight="1"/>
    <x:row r="273" s="46" customFormat="1" ht="17" customHeight="1"/>
    <x:row r="274" s="46" customFormat="1" ht="17" customHeight="1"/>
    <x:row r="275" s="46" customFormat="1" ht="17" customHeight="1"/>
    <x:row r="276" s="46" customFormat="1" ht="17" customHeight="1"/>
    <x:row r="277" s="46" customFormat="1" ht="17" customHeight="1"/>
    <x:row r="278" s="46" customFormat="1" ht="17" customHeight="1"/>
    <x:row r="279" s="46" customFormat="1" ht="17" customHeight="1"/>
    <x:row r="280" s="46" customFormat="1" ht="17" customHeight="1"/>
    <x:row r="281" s="46" customFormat="1" ht="17" customHeight="1"/>
    <x:row r="282" s="46" customFormat="1" ht="17" customHeight="1"/>
    <x:row r="283" s="46" customFormat="1" ht="17" customHeight="1"/>
    <x:row r="284" s="46" customFormat="1" ht="17" customHeight="1"/>
    <x:row r="285" s="46" customFormat="1" ht="17" customHeight="1"/>
    <x:row r="286" s="46" customFormat="1" ht="17" customHeight="1"/>
    <x:row r="287" s="46" customFormat="1" ht="17" customHeight="1"/>
    <x:row r="288" s="46" customFormat="1" ht="17" customHeight="1"/>
    <x:row r="289" s="46" customFormat="1" ht="17" customHeight="1"/>
    <x:row r="290" s="46" customFormat="1" ht="17" customHeight="1"/>
    <x:row r="291" s="46" customFormat="1" ht="17" customHeight="1"/>
    <x:row r="292" s="46" customFormat="1" ht="17" customHeight="1"/>
    <x:row r="293" s="46" customFormat="1" ht="17" customHeight="1"/>
    <x:row r="294" s="46" customFormat="1" ht="17" customHeight="1"/>
    <x:row r="295" s="46" customFormat="1" ht="17" customHeight="1"/>
    <x:row r="296" s="46" customFormat="1" ht="17" customHeight="1"/>
    <x:row r="297" s="46" customFormat="1" ht="17" customHeight="1"/>
    <x:row r="298" s="46" customFormat="1" ht="17" customHeight="1"/>
    <x:row r="299" s="46" customFormat="1" ht="17" customHeight="1"/>
    <x:row r="300" s="46" customFormat="1" ht="17" customHeight="1"/>
    <x:row r="301" s="46" customFormat="1" ht="17" customHeight="1"/>
    <x:row r="302" s="46" customFormat="1" ht="17" customHeight="1"/>
    <x:row r="303" s="46" customFormat="1" ht="17" customHeight="1"/>
    <x:row r="304" s="46" customFormat="1" ht="17" customHeight="1"/>
    <x:row r="305" s="46" customFormat="1" ht="17" customHeight="1"/>
    <x:row r="306" s="46" customFormat="1" ht="17" customHeight="1"/>
    <x:row r="307" s="46" customFormat="1" ht="17" customHeight="1"/>
    <x:row r="308" s="46" customFormat="1" ht="17" customHeight="1"/>
    <x:row r="309" s="46" customFormat="1" ht="17" customHeight="1"/>
    <x:row r="310" s="46" customFormat="1" ht="17" customHeight="1"/>
    <x:row r="311" s="46" customFormat="1" ht="17" customHeight="1"/>
    <x:row r="312" s="46" customFormat="1" ht="17" customHeight="1"/>
    <x:row r="313" s="46" customFormat="1" ht="17" customHeight="1"/>
    <x:row r="314" s="46" customFormat="1" ht="17" customHeight="1"/>
    <x:row r="315" s="46" customFormat="1" ht="17" customHeight="1"/>
    <x:row r="316" s="46" customFormat="1" ht="17" customHeight="1"/>
    <x:row r="317" s="46" customFormat="1" ht="17" customHeight="1"/>
    <x:row r="318" s="46" customFormat="1" ht="17" customHeight="1"/>
    <x:row r="319" s="46" customFormat="1" ht="17" customHeight="1"/>
    <x:row r="320" s="46" customFormat="1" ht="17" customHeight="1"/>
    <x:row r="321" s="46" customFormat="1" ht="17" customHeight="1"/>
    <x:row r="322" s="46" customFormat="1" ht="17" customHeight="1"/>
    <x:row r="323" s="46" customFormat="1" ht="17" customHeight="1"/>
    <x:row r="324" s="46" customFormat="1" ht="17" customHeight="1"/>
    <x:row r="325" s="46" customFormat="1" ht="17" customHeight="1"/>
    <x:row r="326" s="46" customFormat="1" ht="17" customHeight="1"/>
    <x:row r="327" s="46" customFormat="1" ht="17" customHeight="1"/>
    <x:row r="328" s="46" customFormat="1" ht="17" customHeight="1"/>
    <x:row r="329" s="46" customFormat="1" ht="17" customHeight="1"/>
    <x:row r="330" s="46" customFormat="1" ht="17" customHeight="1"/>
    <x:row r="331" s="46" customFormat="1" ht="17" customHeight="1"/>
    <x:row r="332" s="46" customFormat="1" ht="17" customHeight="1"/>
    <x:row r="333" s="46" customFormat="1" ht="17" customHeight="1"/>
    <x:row r="334" s="46" customFormat="1" ht="17" customHeight="1"/>
    <x:row r="335" s="46" customFormat="1" ht="17" customHeight="1"/>
    <x:row r="336" s="46" customFormat="1" ht="17" customHeight="1"/>
    <x:row r="337" s="46" customFormat="1" ht="17" customHeight="1"/>
    <x:row r="338" s="46" customFormat="1" ht="17" customHeight="1"/>
    <x:row r="339" s="46" customFormat="1" ht="17" customHeight="1"/>
    <x:row r="340" s="46" customFormat="1" ht="17" customHeight="1"/>
    <x:row r="341" s="46" customFormat="1" ht="17" customHeight="1"/>
    <x:row r="342" s="46" customFormat="1" ht="17" customHeight="1"/>
    <x:row r="343" s="46" customFormat="1" ht="17" customHeight="1"/>
    <x:row r="344" s="46" customFormat="1" ht="17" customHeight="1"/>
    <x:row r="345" s="46" customFormat="1" ht="17" customHeight="1"/>
    <x:row r="346" s="46" customFormat="1" ht="17" customHeight="1"/>
    <x:row r="347" s="46" customFormat="1" ht="17" customHeight="1"/>
    <x:row r="348" s="46" customFormat="1" ht="17" customHeight="1"/>
    <x:row r="349" s="46" customFormat="1" ht="17" customHeight="1"/>
    <x:row r="350" s="46" customFormat="1" ht="17" customHeight="1"/>
    <x:row r="351" s="46" customFormat="1" ht="17" customHeight="1"/>
    <x:row r="352" s="46" customFormat="1" ht="17" customHeight="1"/>
    <x:row r="353" s="46" customFormat="1" ht="17" customHeight="1"/>
    <x:row r="354" s="46" customFormat="1" ht="17" customHeight="1"/>
    <x:row r="355" s="46" customFormat="1" ht="17" customHeight="1"/>
    <x:row r="356" s="46" customFormat="1" ht="17" customHeight="1"/>
    <x:row r="357" s="46" customFormat="1" ht="17" customHeight="1"/>
    <x:row r="358" s="46" customFormat="1" ht="17" customHeight="1"/>
    <x:row r="359" s="46" customFormat="1" ht="17" customHeight="1"/>
    <x:row r="360" s="46" customFormat="1" ht="17" customHeight="1"/>
    <x:row r="361" s="46" customFormat="1" ht="17" customHeight="1"/>
    <x:row r="362" s="46" customFormat="1" ht="17" customHeight="1"/>
    <x:row r="363" s="46" customFormat="1" ht="17" customHeight="1"/>
    <x:row r="364" s="46" customFormat="1" ht="17" customHeight="1"/>
    <x:row r="365" s="46" customFormat="1" ht="17" customHeight="1"/>
    <x:row r="366" s="46" customFormat="1" ht="17" customHeight="1"/>
    <x:row r="367" s="46" customFormat="1" ht="17" customHeight="1"/>
    <x:row r="368" s="46" customFormat="1" ht="17" customHeight="1"/>
    <x:row r="369" s="46" customFormat="1" ht="17" customHeight="1"/>
    <x:row r="370" s="46" customFormat="1" ht="17" customHeight="1"/>
    <x:row r="371" s="46" customFormat="1" ht="17" customHeight="1"/>
    <x:row r="372" s="46" customFormat="1" ht="17" customHeight="1"/>
    <x:row r="373" s="46" customFormat="1" ht="17" customHeight="1"/>
    <x:row r="374" s="46" customFormat="1" ht="17" customHeight="1"/>
    <x:row r="375" s="46" customFormat="1" ht="17" customHeight="1"/>
    <x:row r="376" s="46" customFormat="1" ht="17" customHeight="1"/>
    <x:row r="377" s="46" customFormat="1" ht="17" customHeight="1"/>
    <x:row r="378" s="46" customFormat="1" ht="17" customHeight="1"/>
    <x:row r="379" s="46" customFormat="1" ht="17" customHeight="1"/>
    <x:row r="380" s="46" customFormat="1" ht="17" customHeight="1"/>
    <x:row r="381" s="46" customFormat="1" ht="17" customHeight="1"/>
    <x:row r="382" s="46" customFormat="1" ht="17" customHeight="1"/>
    <x:row r="383" s="46" customFormat="1" ht="17" customHeight="1"/>
    <x:row r="384" s="46" customFormat="1" ht="17" customHeight="1"/>
    <x:row r="385" s="46" customFormat="1" ht="17" customHeight="1"/>
    <x:row r="386" s="46" customFormat="1" ht="17" customHeight="1"/>
    <x:row r="387" s="46" customFormat="1" ht="17" customHeight="1"/>
    <x:row r="388" s="46" customFormat="1" ht="17" customHeight="1"/>
    <x:row r="389" s="46" customFormat="1" ht="17" customHeight="1"/>
    <x:row r="390" s="46" customFormat="1" ht="17" customHeight="1"/>
    <x:row r="391" s="46" customFormat="1" ht="17" customHeight="1"/>
    <x:row r="392" s="46" customFormat="1" ht="17" customHeight="1"/>
    <x:row r="393" s="46" customFormat="1" ht="17" customHeight="1"/>
    <x:row r="394" s="46" customFormat="1" ht="17" customHeight="1"/>
    <x:row r="395" s="46" customFormat="1" ht="17" customHeight="1"/>
    <x:row r="396" s="46" customFormat="1" ht="17" customHeight="1"/>
    <x:row r="397" s="46" customFormat="1" ht="17" customHeight="1"/>
    <x:row r="398" s="46" customFormat="1" ht="17" customHeight="1"/>
    <x:row r="399" s="46" customFormat="1" ht="17" customHeight="1"/>
    <x:row r="400" s="46" customFormat="1" ht="17" customHeight="1"/>
    <x:row r="401" s="46" customFormat="1" ht="17" customHeight="1"/>
    <x:row r="402" s="46" customFormat="1" ht="17" customHeight="1"/>
    <x:row r="403" s="46" customFormat="1" ht="17" customHeight="1"/>
    <x:row r="404" s="46" customFormat="1" ht="17" customHeight="1"/>
    <x:row r="405" s="46" customFormat="1" ht="17" customHeight="1"/>
    <x:row r="406" s="46" customFormat="1" ht="17" customHeight="1"/>
    <x:row r="407" s="46" customFormat="1" ht="17" customHeight="1"/>
    <x:row r="408" s="46" customFormat="1" ht="17" customHeight="1"/>
    <x:row r="409" s="46" customFormat="1" ht="17" customHeight="1"/>
    <x:row r="410" s="46" customFormat="1" ht="17" customHeight="1"/>
    <x:row r="411" s="46" customFormat="1" ht="17" customHeight="1"/>
    <x:row r="412" s="46" customFormat="1" ht="17" customHeight="1"/>
    <x:row r="413" s="46" customFormat="1" ht="17" customHeight="1"/>
    <x:row r="414" s="46" customFormat="1" ht="17" customHeight="1"/>
    <x:row r="415" s="46" customFormat="1" ht="17" customHeight="1"/>
    <x:row r="416" s="46" customFormat="1" ht="17" customHeight="1"/>
    <x:row r="417" s="46" customFormat="1" ht="17" customHeight="1"/>
    <x:row r="418" s="46" customFormat="1" ht="17" customHeight="1"/>
    <x:row r="419" s="46" customFormat="1" ht="17" customHeight="1"/>
    <x:row r="420" s="46" customFormat="1" ht="17" customHeight="1"/>
    <x:row r="421" s="46" customFormat="1" ht="17" customHeight="1"/>
    <x:row r="422" s="46" customFormat="1" ht="17" customHeight="1"/>
    <x:row r="423" s="46" customFormat="1" ht="17" customHeight="1"/>
    <x:row r="424" s="46" customFormat="1" ht="17" customHeight="1"/>
    <x:row r="425" s="46" customFormat="1" ht="17" customHeight="1"/>
    <x:row r="426" s="46" customFormat="1" ht="17" customHeight="1"/>
    <x:row r="427" s="46" customFormat="1" ht="17" customHeight="1"/>
    <x:row r="428" s="46" customFormat="1" ht="17" customHeight="1"/>
    <x:row r="429" s="46" customFormat="1" ht="17" customHeight="1"/>
    <x:row r="430" s="46" customFormat="1" ht="17" customHeight="1"/>
    <x:row r="431" s="46" customFormat="1" ht="17" customHeight="1"/>
    <x:row r="432" s="46" customFormat="1" ht="17" customHeight="1"/>
    <x:row r="433" s="46" customFormat="1" ht="17" customHeight="1"/>
    <x:row r="434" s="46" customFormat="1" ht="17" customHeight="1"/>
    <x:row r="435" s="46" customFormat="1" ht="17" customHeight="1"/>
    <x:row r="436" s="46" customFormat="1" ht="17" customHeight="1"/>
    <x:row r="437" s="46" customFormat="1" ht="17" customHeight="1"/>
    <x:row r="438" s="46" customFormat="1" ht="17" customHeight="1"/>
    <x:row r="439" s="46" customFormat="1" ht="17" customHeight="1"/>
    <x:row r="440" s="46" customFormat="1" ht="17" customHeight="1"/>
    <x:row r="441" s="46" customFormat="1" ht="17" customHeight="1"/>
    <x:row r="442" s="46" customFormat="1" ht="17" customHeight="1"/>
    <x:row r="443" s="46" customFormat="1" ht="17" customHeight="1"/>
    <x:row r="444" s="46" customFormat="1" ht="17" customHeight="1"/>
    <x:row r="445" s="46" customFormat="1" ht="17" customHeight="1"/>
    <x:row r="446" s="46" customFormat="1" ht="17" customHeight="1"/>
    <x:row r="447" s="46" customFormat="1" ht="17" customHeight="1"/>
    <x:row r="448" s="46" customFormat="1" ht="17" customHeight="1"/>
    <x:row r="449" s="46" customFormat="1" ht="17" customHeight="1"/>
    <x:row r="450" s="46" customFormat="1" ht="17" customHeight="1"/>
    <x:row r="451" s="46" customFormat="1" ht="17" customHeight="1"/>
    <x:row r="452" s="46" customFormat="1" ht="17" customHeight="1"/>
    <x:row r="453" s="46" customFormat="1" ht="17" customHeight="1"/>
    <x:row r="454" s="46" customFormat="1" ht="17" customHeight="1"/>
    <x:row r="455" s="46" customFormat="1" ht="17" customHeight="1"/>
    <x:row r="456" s="46" customFormat="1" ht="17" customHeight="1"/>
    <x:row r="457" s="46" customFormat="1" ht="17" customHeight="1"/>
    <x:row r="458" s="46" customFormat="1" ht="17" customHeight="1"/>
    <x:row r="459" s="46" customFormat="1" ht="17" customHeight="1"/>
    <x:row r="460" s="46" customFormat="1" ht="17" customHeight="1"/>
    <x:row r="461" s="46" customFormat="1" ht="17" customHeight="1"/>
    <x:row r="462" s="46" customFormat="1" ht="17" customHeight="1"/>
    <x:row r="463" s="46" customFormat="1" ht="17" customHeight="1"/>
    <x:row r="464" s="46" customFormat="1" ht="17" customHeight="1"/>
    <x:row r="465" s="46" customFormat="1" ht="17" customHeight="1"/>
    <x:row r="466" s="46" customFormat="1" ht="17" customHeight="1"/>
    <x:row r="467" s="46" customFormat="1" ht="17" customHeight="1"/>
    <x:row r="468" s="46" customFormat="1" ht="17" customHeight="1"/>
    <x:row r="469" s="46" customFormat="1" ht="17" customHeight="1"/>
    <x:row r="470" s="46" customFormat="1" ht="17" customHeight="1"/>
    <x:row r="471" s="46" customFormat="1" ht="17" customHeight="1"/>
    <x:row r="472" s="46" customFormat="1" ht="17" customHeight="1"/>
    <x:row r="473" s="46" customFormat="1" ht="17" customHeight="1"/>
    <x:row r="474" s="46" customFormat="1" ht="17" customHeight="1"/>
    <x:row r="475" s="46" customFormat="1" ht="17" customHeight="1"/>
    <x:row r="476" s="46" customFormat="1" ht="17" customHeight="1"/>
    <x:row r="477" s="46" customFormat="1" ht="17" customHeight="1"/>
    <x:row r="478" s="46" customFormat="1" ht="17" customHeight="1"/>
    <x:row r="479" s="46" customFormat="1" ht="17" customHeight="1"/>
    <x:row r="480" s="46" customFormat="1" ht="17" customHeight="1"/>
    <x:row r="481" s="46" customFormat="1" ht="17" customHeight="1"/>
    <x:row r="482" s="46" customFormat="1" ht="17" customHeight="1"/>
    <x:row r="483" s="46" customFormat="1" ht="17" customHeight="1"/>
    <x:row r="484" s="46" customFormat="1" ht="17" customHeight="1"/>
    <x:row r="485" s="46" customFormat="1" ht="17" customHeight="1"/>
    <x:row r="486" s="46" customFormat="1" ht="17" customHeight="1"/>
    <x:row r="487" s="46" customFormat="1" ht="17" customHeight="1"/>
    <x:row r="488" s="46" customFormat="1" ht="17" customHeight="1"/>
    <x:row r="489" s="46" customFormat="1" ht="17" customHeight="1"/>
    <x:row r="490" s="46" customFormat="1" ht="17" customHeight="1"/>
    <x:row r="491" s="46" customFormat="1" ht="17" customHeight="1"/>
    <x:row r="492" s="46" customFormat="1" ht="17" customHeight="1"/>
    <x:row r="493" s="46" customFormat="1" ht="17" customHeight="1"/>
    <x:row r="494" s="46" customFormat="1" ht="17" customHeight="1"/>
    <x:row r="495" s="46" customFormat="1" ht="17" customHeight="1"/>
    <x:row r="496" s="46" customFormat="1" ht="17" customHeight="1"/>
    <x:row r="497" s="46" customFormat="1" ht="17" customHeight="1"/>
    <x:row r="498" s="46" customFormat="1" ht="17" customHeight="1"/>
    <x:row r="499" s="46" customFormat="1" ht="17" customHeight="1"/>
    <x:row r="500" s="46" customFormat="1" ht="17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allowBlank="0" showDropDown="0" showInputMessage="0" showErrorMessage="0" sqref="AA2:AA500">
      <x:formula1>"да"</x:formula1>
    </x:dataValidation>
    <x:dataValidation type="list" allowBlank="0" showDropDown="0" showInputMessage="0" showErrorMessage="0" sqref="C2:C500">
      <x:formula1>'06_Lists'!$A$2:$A$6</x:formula1>
    </x:dataValidation>
    <x:dataValidation type="list" allowBlank="0" showDropDown="0" showInputMessage="0" showErrorMessage="0" sqref="M2:M500">
      <x:formula1>'06_Lists'!$B$2:$B$11</x:formula1>
    </x:dataValidation>
    <x:dataValidation type="list" allowBlank="0" showDropDown="0" showInputMessage="0" showErrorMessage="0" sqref="O2:O500">
      <x:formula1>'06_Lists'!$C$2:$C$18</x:formula1>
    </x:dataValidation>
    <x:dataValidation type="list" allowBlank="0" showDropDown="0" showInputMessage="0" showErrorMessage="0" sqref="H2:H500">
      <x:formula1>'06_Lists'!$D$2:$D$14</x:formula1>
    </x:dataValidation>
    <x:dataValidation type="list" allowBlank="0" showDropDown="0" showInputMessage="0" showErrorMessage="0" sqref="N2:N500">
      <x:formula1>'06_Lists'!$E$2:$E$6</x:formula1>
    </x:dataValidation>
    <x:dataValidation type="list" allowBlank="0" showDropDown="0" showInputMessage="0" showErrorMessage="0" sqref="S2:S500">
      <x:formula1>'06_Lists'!$F$2:$F$6</x:formula1>
    </x:dataValidation>
    <x:dataValidation type="list" allowBlank="0" showDropDown="0" showInputMessage="0" showErrorMessage="0" sqref="Z2:Z500">
      <x:formula1>'06_Lists'!$G$2:$G$12</x:formula1>
    </x:dataValidation>
    <x:dataValidation type="list" allowBlank="0" showDropDown="0" showInputMessage="0" showErrorMessage="0" sqref="Y2:Y500">
      <x:formula1>'06_Lists'!$H$2:$H$119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47169601ab4dc3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style="46" customWidth="1"/>
    <x:col min="2" max="2" width="44" style="46" customWidth="1"/>
    <x:col min="3" max="3" width="22" style="46" customWidth="1"/>
    <x:col min="4" max="4" width="20" style="46" customWidth="1"/>
    <x:col min="5" max="5" width="42" style="46" customWidth="1"/>
  </x:cols>
  <x:sheetData>
    <x:row r="1" s="46" customFormat="1" ht="37" customHeight="1">
      <x:c r="A1" s="53" t="inlineStr">
        <x:is>
          <x:t xml:space="preserve">Ветка</x:t>
        </x:is>
      </x:c>
      <x:c r="B1" s="53" t="inlineStr">
        <x:is>
          <x:t xml:space="preserve">Что включает</x:t>
        </x:is>
      </x:c>
      <x:c r="C1" s="53" t="inlineStr">
        <x:is>
          <x:t xml:space="preserve">Для каких уроков</x:t>
        </x:is>
      </x:c>
      <x:c r="D1" s="53" t="inlineStr">
        <x:is>
          <x:t xml:space="preserve">Визуальный цвет/код</x:t>
        </x:is>
      </x:c>
      <x:c r="E1" s="53" t="inlineStr">
        <x:is>
          <x:t xml:space="preserve">Комментарий</x:t>
        </x:is>
      </x:c>
    </x:row>
    <x:row r="2" s="46" customFormat="1" ht="42" customHeight="1">
      <x:c r="A2" s="50" t="inlineStr">
        <x:is>
          <x:t xml:space="preserve">Оптика / камера-обскура</x:t>
        </x:is>
      </x:c>
      <x:c r="B2" s="50" t="inlineStr">
        <x:is>
          <x:t xml:space="preserve">свет, тёмная комната, pinhole, линзы</x:t>
        </x:is>
      </x:c>
      <x:c r="C2" s="50" t="inlineStr">
        <x:is>
          <x:t xml:space="preserve">PL-001</x:t>
        </x:is>
      </x:c>
      <x:c r="D2" s="50" t="inlineStr">
        <x:is>
          <x:t xml:space="preserve">синий</x:t>
        </x:is>
      </x:c>
      <x:c r="E2" s="50" t="inlineStr">
        <x:is>
          <x:t xml:space="preserve">Это предпосылка фотографии, не сама фотография.</x:t>
        </x:is>
      </x:c>
    </x:row>
    <x:row r="3" s="46" customFormat="1" ht="42" customHeight="1">
      <x:c r="A3" s="50" t="inlineStr">
        <x:is>
          <x:t xml:space="preserve">Оптические инструменты</x:t>
        </x:is>
      </x:c>
      <x:c r="B3" s="50" t="inlineStr">
        <x:is>
          <x:t xml:space="preserve">camera lucida, stereoscope, portable camera obscura, compact 35mm cameras, Leica I, Leica system, rangefinder lineage</x:t>
        </x:is>
      </x:c>
      <x:c r="C3" s="50" t="inlineStr">
        <x:is>
          <x:t xml:space="preserve">PL-001 / PL-009 / PL-010 / будущие PL</x:t>
        </x:is>
      </x:c>
      <x:c r="D3" s="50" t="inlineStr">
        <x:is>
          <x:t xml:space="preserve">голубой</x:t>
        </x:is>
      </x:c>
      <x:c r="E3" s="50" t="inlineStr">
        <x:is>
          <x:t xml:space="preserve">Помогает объяснить, что люди стремились к точному изображению до химии.</x:t>
        </x:is>
      </x:c>
    </x:row>
    <x:row r="4" s="46" customFormat="1" ht="21" customHeight="1">
      <x:c r="A4" s="50" t="inlineStr">
        <x:is>
          <x:t xml:space="preserve">Фотохимия</x:t>
        </x:is>
      </x:c>
      <x:c r="B4" s="50" t="str">
        <x:v>серебряные соли, желатиновые эмульсии, скрытое изображение, проявление, чувствительность, спектральная чувствительность, зерно, цветные слои, color couplers, C-41, E-6, reversal-процесс</x:v>
      </x:c>
      <x:c r="C4" s="50" t="str">
        <x:v>PL-002 / PL-006 / PL-011 / PL-012 / PL-015 / PL-016 / PL-017</x:v>
      </x:c>
      <x:c r="D4" s="50" t="str">
        <x:v>жёлтый</x:v>
      </x:c>
      <x:c r="E4" s="50" t="str">
        <x:v>Химическая половина рождения фотографии: от серебряного изображения к цветным красителям.</x:v>
      </x:c>
    </x:row>
    <x:row r="5" s="46" customFormat="1" ht="21" customHeight="1">
      <x:c r="A5" s="50" t="inlineStr">
        <x:is>
          <x:t xml:space="preserve">Гелиография</x:t>
        </x:is>
      </x:c>
      <x:c r="B5" s="50" t="inlineStr">
        <x:is>
          <x:t xml:space="preserve">Ньепс, битум, первое сохранившееся изображение</x:t>
        </x:is>
      </x:c>
      <x:c r="C5" s="50" t="inlineStr">
        <x:is>
          <x:t xml:space="preserve">PL-002</x:t>
        </x:is>
      </x:c>
      <x:c r="D5" s="50" t="inlineStr">
        <x:is>
          <x:t xml:space="preserve">золотой</x:t>
        </x:is>
      </x:c>
      <x:c r="E5" s="50" t="inlineStr">
        <x:is>
          <x:t xml:space="preserve">Путь к постоянному изображению.</x:t>
        </x:is>
      </x:c>
    </x:row>
    <x:row r="6" s="46" customFormat="1" ht="42" customHeight="1">
      <x:c r="A6" s="50" t="inlineStr">
        <x:is>
          <x:t xml:space="preserve">Дагеротип</x:t>
        </x:is>
      </x:c>
      <x:c r="B6" s="50" t="inlineStr">
        <x:is>
          <x:t xml:space="preserve">прямой позитив на серебряной пластине</x:t>
        </x:is>
      </x:c>
      <x:c r="C6" s="50" t="inlineStr">
        <x:is>
          <x:t xml:space="preserve">PL-003</x:t>
        </x:is>
      </x:c>
      <x:c r="D6" s="50" t="inlineStr">
        <x:is>
          <x:t xml:space="preserve">серебряный</x:t>
        </x:is>
      </x:c>
      <x:c r="E6" s="50" t="inlineStr">
        <x:is>
          <x:t xml:space="preserve">Резкость и публичный эффект, но уникальный экземпляр.</x:t>
        </x:is>
      </x:c>
    </x:row>
    <x:row r="7" s="46" customFormat="1" ht="42" customHeight="1">
      <x:c r="A7" s="50" t="inlineStr">
        <x:is>
          <x:t xml:space="preserve">Фотогенный рисунок / фотограмма</x:t>
        </x:is>
      </x:c>
      <x:c r="B7" s="50" t="inlineStr">
        <x:is>
          <x:t xml:space="preserve">контактные изображения объектов на бумаге</x:t>
        </x:is>
      </x:c>
      <x:c r="C7" s="50" t="inlineStr">
        <x:is>
          <x:t xml:space="preserve">PL-004</x:t>
        </x:is>
      </x:c>
      <x:c r="D7" s="50" t="inlineStr">
        <x:is>
          <x:t xml:space="preserve">зелёный</x:t>
        </x:is>
      </x:c>
      <x:c r="E7" s="50" t="inlineStr">
        <x:is>
          <x:t xml:space="preserve">Британская линия Тальбота.</x:t>
        </x:is>
      </x:c>
    </x:row>
    <x:row r="8" s="46" customFormat="1" ht="21" customHeight="1">
      <x:c r="A8" s="50" t="inlineStr">
        <x:is>
          <x:t xml:space="preserve">Негатив-позитив</x:t>
        </x:is>
      </x:c>
      <x:c r="B8" s="50" t="str">
        <x:v>бумажный негатив, калотип, стеклянный негатив, сухая пластина, плёночный негатив, чёрно-белый негатив, цветной негатив, позитивный отпечаток</x:v>
      </x:c>
      <x:c r="C8" s="50" t="str">
        <x:v>PL-004 / PL-006 / PL-013 / PL-014 / PL-015 / PL-016</x:v>
      </x:c>
      <x:c r="D8" s="50" t="str">
        <x:v>зелёный тёмный</x:v>
      </x:c>
      <x:c r="E8" s="50" t="str">
        <x:v>Главная идея, которая победила исторически: негатив становится матрицей для будущего позитива.</x:v>
      </x:c>
    </x:row>
    <x:row r="9" s="46" customFormat="1" ht="21" customHeight="1">
      <x:c r="A9" s="50" t="inlineStr">
        <x:is>
          <x:t xml:space="preserve">Фиксаж / терминология</x:t>
        </x:is>
      </x:c>
      <x:c r="B9" s="50" t="str">
        <x:v>Herschel, hypo, terms photography/negative/positive, фиксация серебряно-желатиновых материалов и ч/б плёнки</x:v>
      </x:c>
      <x:c r="C9" s="50" t="str">
        <x:v>PL-004 / PL-012 / PL-013 / PL-015</x:v>
      </x:c>
      <x:c r="D9" s="50" t="inlineStr">
        <x:is>
          <x:t xml:space="preserve">фиолетовый</x:t>
        </x:is>
      </x:c>
      <x:c r="E9" s="50" t="inlineStr">
        <x:is>
          <x:t xml:space="preserve">Фотография нуждается в языке и стабильности.</x:t>
        </x:is>
      </x:c>
    </x:row>
    <x:row r="10" s="46" customFormat="1" ht="21" customHeight="1">
      <x:c r="A10" s="50" t="inlineStr">
        <x:is>
          <x:t xml:space="preserve">Печать / тиражирование</x:t>
        </x:is>
      </x:c>
      <x:c r="B10" s="50" t="str">
        <x:v>salt print, albumen print, gelatin silver print, POP/DOP, chromogenic print, фотокнига, лабораторная и сервисная печать, цветная печать с негатива</x:v>
      </x:c>
      <x:c r="C10" s="50" t="str">
        <x:v>PL-004 / PL-013 / PL-014 / PL-015 / PL-016</x:v>
      </x:c>
      <x:c r="D10" s="50" t="str">
        <x:v>оранжевый</x:v>
      </x:c>
      <x:c r="E10" s="50" t="str">
        <x:v>Ветка распространения изображений: от единичного отпечатка к массовому фотосервису.</x:v>
      </x:c>
    </x:row>
    <x:row r="11" s="46" customFormat="1" ht="21" customHeight="1">
      <x:c r="A11" s="50" t="inlineStr">
        <x:is>
          <x:t xml:space="preserve">Мокрый коллодий</x:t>
        </x:is>
      </x:c>
      <x:c r="B11" s="50" t="inlineStr">
        <x:is>
          <x:t xml:space="preserve">стеклянный негатив, коллодий, нитрат серебра</x:t>
        </x:is>
      </x:c>
      <x:c r="C11" s="50" t="inlineStr">
        <x:is>
          <x:t xml:space="preserve">PL-005</x:t>
        </x:is>
      </x:c>
      <x:c r="D11" s="50" t="inlineStr">
        <x:is>
          <x:t xml:space="preserve">красный</x:t>
        </x:is>
      </x:c>
      <x:c r="E11" s="50" t="inlineStr">
        <x:is>
          <x:t xml:space="preserve">Мост между резкостью и тиражом.</x:t>
        </x:is>
      </x:c>
    </x:row>
    <x:row r="12" s="46" customFormat="1" ht="21" customHeight="1">
      <x:c r="A12" s="50" t="inlineStr">
        <x:is>
          <x:t xml:space="preserve">Уникальный позитив</x:t>
        </x:is>
      </x:c>
      <x:c r="B12" s="50" t="str">
        <x:v>ранний цвет, Autochrome, Kodachrome, Kodacolor, Ektachrome, цветная негативная и слайдовая плёнка, chromogenic print, C-41, E-6</x:v>
      </x:c>
      <x:c r="C12" s="50" t="str">
        <x:v>PL-014 / PL-016 / PL-017 / будущие PL</x:v>
      </x:c>
      <x:c r="D12" s="50" t="inlineStr">
        <x:is>
          <x:t xml:space="preserve">серый</x:t>
        </x:is>
      </x:c>
      <x:c r="E12" s="50" t="inlineStr">
        <x:is>
          <x:t xml:space="preserve">Важные, но технологически ограниченные ветки.</x:t>
        </x:is>
      </x:c>
    </x:row>
    <x:row r="13" s="46" customFormat="1" ht="21" customHeight="1">
      <x:c r="A13" s="50" t="inlineStr">
        <x:is>
          <x:t xml:space="preserve">Цвет</x:t>
        </x:is>
      </x:c>
      <x:c r="B13" s="50" t="str">
        <x:v>lantern slides, слайды, прозрачности, projected positive, публичный и семейный показ</x:v>
      </x:c>
      <x:c r="C13" s="50" t="str">
        <x:v>PL-017 / будущие PL</x:v>
      </x:c>
      <x:c r="D13" s="50" t="str">
        <x:v>радужный</x:v>
      </x:c>
      <x:c r="E13" s="50" t="str">
        <x:v>Цветная фотография как отдельная технологическая и визуальная линия.</x:v>
      </x:c>
    </x:row>
    <x:row r="14" s="46" customFormat="1" ht="21" customHeight="1">
      <x:c r="A14" s="50" t="inlineStr">
        <x:is>
          <x:t xml:space="preserve">Проекция / распространение</x:t>
        </x:is>
      </x:c>
      <x:c r="B14" s="50" t="inlineStr">
        <x:is>
          <x:t xml:space="preserve">lantern slides, публичный показ</x:t>
        </x:is>
      </x:c>
      <x:c r="C14" s="50" t="inlineStr">
        <x:is>
          <x:t xml:space="preserve">будущие PL</x:t>
        </x:is>
      </x:c>
      <x:c r="D14" s="50" t="inlineStr">
        <x:is>
          <x:t xml:space="preserve">бирюзовый</x:t>
        </x:is>
      </x:c>
      <x:c r="E14" s="50" t="inlineStr">
        <x:is>
          <x:t xml:space="preserve">Мост к обучению, лекциям, презентациям.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9823732918734044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style="46" customWidth="1"/>
    <x:col min="2" max="2" width="27.33203125" style="46" customWidth="1"/>
    <x:col min="3" max="3" width="42" style="46" customWidth="1"/>
    <x:col min="4" max="4" width="76.1640625" style="46" customWidth="1"/>
    <x:col min="5" max="5" width="11.33203125" style="46" customWidth="1"/>
    <x:col min="6" max="6" width="28" style="46" customWidth="1"/>
  </x:cols>
  <x:sheetData>
    <x:row r="1" s="46" customFormat="1" ht="37" customHeight="1">
      <x:c r="A1" s="47" t="inlineStr">
        <x:is>
          <x:t xml:space="preserve">Урок</x:t>
        </x:is>
      </x:c>
      <x:c r="B1" s="47" t="inlineStr">
        <x:is>
          <x:t xml:space="preserve">Главная тема</x:t>
        </x:is>
      </x:c>
      <x:c r="C1" s="47" t="inlineStr">
        <x:is>
          <x:t xml:space="preserve">Исторические узлы</x:t>
        </x:is>
      </x:c>
      <x:c r="D1" s="47" t="inlineStr">
        <x:is>
          <x:t xml:space="preserve">Что должен понять новичок</x:t>
        </x:is>
      </x:c>
      <x:c r="E1" s="47" t="inlineStr">
        <x:is>
          <x:t xml:space="preserve">Статус</x:t>
        </x:is>
      </x:c>
      <x:c r="F1" s="49" t="inlineStr">
        <x:is>
          <x:t xml:space="preserve">Ссылка на урок (Telegram)</x:t>
        </x:is>
      </x:c>
    </x:row>
    <x:row r="2" s="46" customFormat="1" ht="42" customHeight="1">
      <x:c r="A2" s="50" t="inlineStr">
        <x:is>
          <x:t xml:space="preserve">PL-001</x:t>
        </x:is>
      </x:c>
      <x:c r="B2" s="50" t="inlineStr">
        <x:is>
          <x:t xml:space="preserve">Камера-обскура и оптика</x:t>
        </x:is>
      </x:c>
      <x:c r="C2" s="50" t="inlineStr">
        <x:is>
          <x:t xml:space="preserve">PL-HIST-0001…0008, 0013, 0028</x:t>
        </x:is>
      </x:c>
      <x:c r="D2" s="50" t="inlineStr">
        <x:is>
          <x:t xml:space="preserve">Свет умеет строить изображение, но ещё не сохраняет его.</x:t>
        </x:is>
      </x:c>
      <x:c r="E2" s="50" t="inlineStr">
        <x:is>
          <x:t xml:space="preserve">основа готова</x:t>
        </x:is>
      </x:c>
      <x:c r="F2" s="49" t="inlineStr">
        <x:is>
          <x:t xml:space="preserve">https://t.me/photolab_vf_pro/4/40</x:t>
        </x:is>
      </x:c>
    </x:row>
    <x:row r="3" s="46" customFormat="1" ht="42" customHeight="1">
      <x:c r="A3" s="50" t="inlineStr">
        <x:is>
          <x:t xml:space="preserve">PL-002</x:t>
        </x:is>
      </x:c>
      <x:c r="B3" s="50" t="inlineStr">
        <x:is>
          <x:t xml:space="preserve">Ньепс и первая фиксация</x:t>
        </x:is>
      </x:c>
      <x:c r="C3" s="50" t="inlineStr">
        <x:is>
          <x:t xml:space="preserve">PL-HIST-0009…0016</x:t>
        </x:is>
      </x:c>
      <x:c r="D3" s="50" t="inlineStr">
        <x:is>
          <x:t xml:space="preserve">Недостаточно увидеть изображение — его нужно зафиксировать.</x:t>
        </x:is>
      </x:c>
      <x:c r="E3" s="50" t="inlineStr">
        <x:is>
          <x:t xml:space="preserve">основа готова</x:t>
        </x:is>
      </x:c>
      <x:c r="F3" s="49" t="inlineStr">
        <x:is>
          <x:t xml:space="preserve">https://t.me/photolab_vf_pro/4/54</x:t>
        </x:is>
      </x:c>
    </x:row>
    <x:row r="4" s="46" customFormat="1" ht="42" customHeight="1">
      <x:c r="A4" s="50" t="inlineStr">
        <x:is>
          <x:t xml:space="preserve">PL-003</x:t>
        </x:is>
      </x:c>
      <x:c r="B4" s="50" t="inlineStr">
        <x:is>
          <x:t xml:space="preserve">Дагеротип</x:t>
        </x:is>
      </x:c>
      <x:c r="C4" s="50" t="inlineStr">
        <x:is>
          <x:t xml:space="preserve">PL-HIST-0017…0023, 0027</x:t>
        </x:is>
      </x:c>
      <x:c r="D4" s="50" t="inlineStr">
        <x:is>
          <x:t xml:space="preserve">Фотография стала публичной, резкой и убедительной, но изображение было уникальным.</x:t>
        </x:is>
      </x:c>
      <x:c r="E4" s="50" t="inlineStr">
        <x:is>
          <x:t xml:space="preserve">основа готова</x:t>
        </x:is>
      </x:c>
      <x:c r="F4" s="49" t="inlineStr">
        <x:is>
          <x:t xml:space="preserve">https://t.me/photolab_vf_pro/4/59</x:t>
        </x:is>
      </x:c>
    </x:row>
    <x:row r="5" s="46" customFormat="1" ht="42" customHeight="1">
      <x:c r="A5" s="50" t="inlineStr">
        <x:is>
          <x:t xml:space="preserve">PL-004</x:t>
        </x:is>
      </x:c>
      <x:c r="B5" s="50" t="inlineStr">
        <x:is>
          <x:t xml:space="preserve">Тальбот, калотип, негатив-позитив</x:t>
        </x:is>
      </x:c>
      <x:c r="C5" s="50" t="inlineStr">
        <x:is>
          <x:t xml:space="preserve">PL-HIST-0019…0026, 0029…0035</x:t>
        </x:is>
      </x:c>
      <x:c r="D5" s="50" t="inlineStr">
        <x:is>
          <x:t xml:space="preserve">Идея копирования победила: один негатив может дать много отпечатков.</x:t>
        </x:is>
      </x:c>
      <x:c r="E5" s="50" t="inlineStr">
        <x:is>
          <x:t xml:space="preserve">основа готова</x:t>
        </x:is>
      </x:c>
      <x:c r="F5" s="49" t="inlineStr">
        <x:is>
          <x:t xml:space="preserve">https://t.me/photolab_vf_pro/4/64</x:t>
        </x:is>
      </x:c>
    </x:row>
    <x:row r="6" s="46" customFormat="1" ht="42" customHeight="1">
      <x:c r="A6" s="50" t="inlineStr">
        <x:is>
          <x:t xml:space="preserve">PL-005</x:t>
        </x:is>
      </x:c>
      <x:c r="B6" s="50" t="inlineStr">
        <x:is>
          <x:t xml:space="preserve">Мокрый коллодий</x:t>
        </x:is>
      </x:c>
      <x:c r="C6" s="50" t="inlineStr">
        <x:is>
          <x:t xml:space="preserve">PL-HIST-0041…0048</x:t>
        </x:is>
      </x:c>
      <x:c r="D6" s="50" t="inlineStr">
        <x:is>
          <x:t xml:space="preserve">Резкость дагеротипа и тираж калотипа встретились на стеклянной влажной пластине.</x:t>
        </x:is>
      </x:c>
      <x:c r="E6" s="50" t="inlineStr">
        <x:is>
          <x:t xml:space="preserve">основа готова</x:t>
        </x:is>
      </x:c>
      <x:c r="F6" s="49" t="inlineStr">
        <x:is>
          <x:t xml:space="preserve">https://t.me/photolab_vf_pro/4/69</x:t>
        </x:is>
      </x:c>
    </x:row>
    <x:row r="7" s="46" customFormat="1" ht="42" customHeight="1">
      <x:c r="A7" s="50" t="inlineStr">
        <x:is>
          <x:t xml:space="preserve">PL-006</x:t>
        </x:is>
      </x:c>
      <x:c r="B7" s="50" t="inlineStr">
        <x:is>
          <x:t xml:space="preserve">Сухие желатиновые пластины</x:t>
        </x:is>
      </x:c>
      <x:c r="C7" s="50" t="inlineStr">
        <x:is>
          <x:t xml:space="preserve">PL-HIST-0049…0058</x:t>
        </x:is>
      </x:c>
      <x:c r="D7" s="50" t="inlineStr">
        <x:is>
          <x:t xml:space="preserve">Фотография освобождается от немедленной полевой химии: пластину можно купить, хранить, экспонировать и проявлять позже.</x:t>
        </x:is>
      </x:c>
      <x:c r="E7" s="50" t="inlineStr">
        <x:is>
          <x:t xml:space="preserve">основа заполнена</x:t>
        </x:is>
      </x:c>
      <x:c r="F7" s="49" t="inlineStr">
        <x:is>
          <x:t xml:space="preserve">https://t.me/photolab_vf_pro/4/75</x:t>
        </x:is>
      </x:c>
    </x:row>
    <x:row r="8" s="46" customFormat="1" ht="17" customHeight="1">
      <x:c r="A8" s="49" t="inlineStr">
        <x:is>
          <x:t xml:space="preserve">PL-007</x:t>
        </x:is>
      </x:c>
      <x:c r="B8" s="49" t="inlineStr">
        <x:is>
          <x:t xml:space="preserve">Рулонная плёнка и Kodak</x:t>
        </x:is>
      </x:c>
      <x:c r="C8" s="49" t="inlineStr">
        <x:is>
          <x:t xml:space="preserve">PL-HIST-0059…0068</x:t>
        </x:is>
      </x:c>
      <x:c r="D8" s="49" t="inlineStr">
        <x:is>
      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      </x:is>
      </x:c>
      <x:c r="E8" s="49" t="inlineStr">
        <x:is>
          <x:t xml:space="preserve">основа заполнена</x:t>
        </x:is>
      </x:c>
      <x:c r="F8" s="49" t="inlineStr">
        <x:is>
          <x:t xml:space="preserve">https://t.me/photolab_vf_pro/4/105</x:t>
        </x:is>
      </x:c>
    </x:row>
    <x:row r="9" s="46" customFormat="1" ht="28" customHeight="1">
      <x:c r="A9" s="49" t="inlineStr">
        <x:is>
          <x:t xml:space="preserve">PL-008</x:t>
        </x:is>
      </x:c>
      <x:c r="B9" s="49" t="inlineStr">
        <x:is>
          <x:t xml:space="preserve">Brownie и snapshot-культура</x:t>
        </x:is>
      </x:c>
      <x:c r="C9" s="49" t="inlineStr">
        <x:is>
          <x:t xml:space="preserve">PL-HIST-0069…0078</x:t>
        </x:is>
      </x:c>
      <x:c r="D9" s="49" t="inlineStr">
        <x:is>
          <x:t xml:space="preserve">Фотография становится дешёвой и повседневной: обычные люди начинают снимать семью, поездки, детей и частную жизнь.</x:t>
        </x:is>
      </x:c>
      <x:c r="E9" s="49" t="inlineStr">
        <x:is>
          <x:t xml:space="preserve">основа заполнена</x:t>
        </x:is>
      </x:c>
      <x:c r="F9" s="49" t="inlineStr">
        <x:is>
          <x:t xml:space="preserve">https://t.me/photolab_vf_pro/4/110</x:t>
        </x:is>
      </x:c>
    </x:row>
    <x:row r="10" s="46" customFormat="1" ht="28" customHeight="1">
      <x:c r="A10" s="49" t="inlineStr">
        <x:is>
          <x:t xml:space="preserve">PL-009</x:t>
        </x:is>
      </x:c>
      <x:c r="B10" s="49" t="inlineStr">
        <x:is>
          <x:t xml:space="preserve">35 мм</x:t>
        </x:is>
      </x:c>
      <x:c r="C10" s="49" t="inlineStr">
        <x:is>
          <x:t xml:space="preserve">PL-HIST-0079…0088</x:t>
        </x:is>
      </x:c>
      <x:c r="D10" s="49" t="inlineStr">
        <x:is>
          <x:t xml:space="preserve">35 мм родился в кино, но стал языком компактной фотографии: киноплёнка превратилась в маленький кадр 24×36 и открыла путь Leica.</x:t>
        </x:is>
      </x:c>
      <x:c r="E10" s="49" t="inlineStr">
        <x:is>
          <x:t xml:space="preserve">основа заполнена</x:t>
        </x:is>
      </x:c>
      <x:c r="F10" s="49" t="inlineStr">
        <x:is>
          <x:t xml:space="preserve">https://t.me/photolab_vf_pro/4/118</x:t>
        </x:is>
      </x:c>
    </x:row>
    <x:row r="11" s="46" customFormat="1" ht="42" customHeight="1">
      <x:c r="A11" s="49" t="inlineStr">
        <x:is>
          <x:t xml:space="preserve">PL-010</x:t>
        </x:is>
      </x:c>
      <x:c r="B11" s="49" t="inlineStr">
        <x:is>
          <x:t xml:space="preserve">Leica I</x:t>
        </x:is>
      </x:c>
      <x:c r="C11" s="49" t="inlineStr">
        <x:is>
          <x:t xml:space="preserve">PL-HIST-0089…0098</x:t>
        </x:is>
      </x:c>
      <x:c r="D11" s="49" t="inlineStr">
        <x:is>
          <x:t xml:space="preserve"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t>
        </x:is>
      </x:c>
      <x:c r="E11" s="49" t="inlineStr">
        <x:is>
          <x:t xml:space="preserve">основа заполнена</x:t>
        </x:is>
      </x:c>
      <x:c r="F11" s="49" t="inlineStr">
        <x:is>
          <x:t xml:space="preserve">https://t.me/photolab_vf_pro/4/131</x:t>
        </x:is>
      </x:c>
    </x:row>
    <x:row r="12" s="46" customFormat="1" ht="42" customHeight="1">
      <x:c r="A12" s="49" t="inlineStr">
        <x:is>
          <x:t xml:space="preserve">PL-011</x:t>
        </x:is>
      </x:c>
      <x:c r="B12" s="49" t="inlineStr">
        <x:is>
          <x:t xml:space="preserve">Плёнка как светочувствительный материал</x:t>
        </x:is>
      </x:c>
      <x:c r="C12" s="49" t="inlineStr">
        <x:is>
          <x:t xml:space="preserve">PL-HIST-0099…0109</x:t>
        </x:is>
      </x:c>
      <x:c r="D12" s="49" t="inlineStr">
        <x:is>
          <x:t xml:space="preserve"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x:t>
        </x:is>
      </x:c>
      <x:c r="E12" s="49" t="inlineStr">
        <x:is>
          <x:t xml:space="preserve">основа заполнена</x:t>
        </x:is>
      </x:c>
      <x:c r="F12" s="49" t="inlineStr">
        <x:is>
          <x:t xml:space="preserve">https://t.me/photolab_vf</x:t>
        </x:is>
      </x:c>
    </x:row>
    <x:row r="13" s="46" customFormat="1" ht="28" customHeight="1">
      <x:c r="A13" s="49" t="inlineStr">
        <x:is>
          <x:t xml:space="preserve">PL-012</x:t>
        </x:is>
      </x:c>
      <x:c r="B13" s="49" t="inlineStr">
        <x:is>
          <x:t xml:space="preserve">Эмульсия: как свет становится изображением</x:t>
        </x:is>
      </x:c>
      <x:c r="C13" s="49" t="inlineStr">
        <x:is>
          <x:t xml:space="preserve">PL-HIST-0110…0120</x:t>
        </x:is>
      </x:c>
      <x:c r="D13" s="49" t="inlineStr">
        <x:is>
          <x:t xml:space="preserve"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x:t>
        </x:is>
      </x:c>
      <x:c r="E13" s="49" t="inlineStr">
        <x:is>
          <x:t xml:space="preserve">основа заполнена</x:t>
        </x:is>
      </x:c>
      <x:c r="F13" s="49" t="inlineStr">
        <x:is>
          <x:t xml:space="preserve">https://t.me/photolab_vf</x:t>
        </x:is>
      </x:c>
    </x:row>
    <x:row r="14">
      <x:c r="A14" s="49" t="inlineStr">
        <x:is>
          <x:t xml:space="preserve">PL-013</x:t>
        </x:is>
      </x:c>
      <x:c r="B14" s="49" t="inlineStr">
        <x:is>
          <x:t xml:space="preserve">Негатив и позитив</x:t>
        </x:is>
      </x:c>
      <x:c r="C14" s="49" t="inlineStr">
        <x:is>
          <x:t xml:space="preserve">PL-HIST-0121…0131</x:t>
        </x:is>
      </x:c>
      <x:c r="D14" s="49" t="inlineStr">
        <x:is>
          <x:t xml:space="preserve"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x:t>
        </x:is>
      </x:c>
      <x:c r="E14" s="49" t="inlineStr">
        <x:is>
          <x:t xml:space="preserve">основа заполнена</x:t>
        </x:is>
      </x:c>
      <x:c r="F14" s="49" t="inlineStr">
        <x:is>
          <x:t xml:space="preserve">https://t.me/photolab_vf</x:t>
        </x:is>
      </x:c>
    </x:row>
    <x:row r="15">
      <x:c r="A15" s="49" t="inlineStr">
        <x:is>
          <x:t xml:space="preserve">PL-014</x:t>
        </x:is>
      </x:c>
      <x:c r="B15" s="49" t="inlineStr">
        <x:is>
          <x:t xml:space="preserve">Позитив</x:t>
        </x:is>
      </x:c>
      <x:c r="C15" s="49" t="inlineStr">
        <x:is>
          <x:t xml:space="preserve">PL-HIST-0132…0142</x:t>
        </x:is>
      </x:c>
      <x:c r="D15" s="49" t="inlineStr">
        <x:is>
          <x:t xml:space="preserve">Позитив — это читаемая финальная форма изображения: бумажный отпечаток, прозрачность, слайд или мгновенная фотография, которую уже видит зритель.</x:t>
        </x:is>
      </x:c>
      <x:c r="E15" s="49" t="inlineStr">
        <x:is>
          <x:t xml:space="preserve">основа заполнена</x:t>
        </x:is>
      </x:c>
      <x:c r="F15" s="49" t="inlineStr">
        <x:is>
          <x:t xml:space="preserve">https://t.me/photolab_vf</x:t>
        </x:is>
      </x:c>
    </x:row>
    <x:row r="16">
      <x:c r="A16" s="49" t="str">
        <x:v>PL-015</x:v>
      </x:c>
      <x:c r="B16" s="49" t="str">
        <x:v>Чёрно-белая плёнка</x:v>
      </x:c>
      <x:c r="C16" s="49" t="str">
        <x:v>PL-HIST-0143…0153</x:v>
      </x:c>
      <x:c r="D16" s="49" t="str">
        <x:v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x:v>
      </x:c>
      <x:c r="E16" s="49" t="str">
        <x:v>основа заполнена</x:v>
      </x:c>
      <x:c r="F16" s="49" t="str">
        <x:v>https://t.me/photolab_vf</x:v>
      </x:c>
    </x:row>
    <x:row r="17">
      <x:c r="A17" t="str">
        <x:v>PL-016</x:v>
      </x:c>
      <x:c r="B17" t="str">
        <x:v>Цветная негативная плёнка</x:v>
      </x:c>
      <x:c r="C17" t="str">
        <x:v>PL-HIST-0154…0164</x:v>
      </x:c>
      <x:c r="D17" t="str">
        <x:v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x:v>
      </x:c>
      <x:c r="E17" t="str">
        <x:v>основа заполнена</x:v>
      </x:c>
      <x:c r="F17" t="str">
        <x:v>https://t.me/photolab_vf</x:v>
      </x:c>
    </x:row>
    <x:row r="18">
      <x:c r="A18" s="62" t="str">
        <x:v>PL-017</x:v>
      </x:c>
      <x:c r="B18" s="62" t="str">
        <x:v>Слайдовая плёнка</x:v>
      </x:c>
      <x:c r="C18" s="62" t="str">
        <x:v>PL-HIST-0165…0175</x:v>
      </x:c>
      <x:c r="D18" s="62" t="str">
        <x:v>Слайдовая плёнка — это позитивная прозрачность: реверсивный процесс даёт готовое изображение прямо на плёнке, поэтому цвет, проекция и экспозиция требуют большей точности.</x:v>
      </x:c>
      <x:c r="E18" s="62" t="str">
        <x:v>основа заполнена</x:v>
      </x:c>
      <x:c r="F18" s="62" t="str">
        <x:v>https://t.me/photolab_vf</x:v>
      </x:c>
    </x:row>
    <x:row r="19">
      <x:c r="A19" s="62" t="str">
        <x:v>будущие PL</x:v>
      </x:c>
      <x:c r="B19" s="62" t="str">
        <x:v>Расширение после PL-017</x:v>
      </x:c>
      <x:c r="C19" s="62" t="str">
        <x:v>ISO плёнки, зерно, экспозиционная широта</x:v>
      </x:c>
      <x:c r="D19" s="62" t="str">
        <x:v>После слайдовой плёнки курс переходит к практическим параметрам материала: ISO, зерно и экспозиционная широта.</x:v>
      </x:c>
      <x:c r="E19" s="62" t="str">
        <x:v>планируется</x:v>
      </x:c>
      <x:c r="F19" s="62"/>
    </x:row>
  </x:sheetData>
  <x:pageMargins left="0.7" right="0.7" top="0.75" bottom="0.75" header="0.3" footer="0.3"/>
  <x:tableParts count="1">
    <x:tablePart xmlns:r="http://schemas.openxmlformats.org/officeDocument/2006/relationships" r:id="Rff5932617418405f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style="46" customWidth="1"/>
    <x:col min="2" max="2" width="42" style="46" customWidth="1"/>
    <x:col min="3" max="3" width="70" style="46" customWidth="1"/>
    <x:col min="4" max="4" width="42" style="46" customWidth="1"/>
    <x:col min="5" max="5" width="30" style="46" customWidth="1"/>
  </x:cols>
  <x:sheetData>
    <x:row r="1" s="46" customFormat="1" ht="37" customHeight="1">
      <x:c r="A1" s="53" t="inlineStr">
        <x:is>
          <x:t xml:space="preserve">Источник ID</x:t>
        </x:is>
      </x:c>
      <x:c r="B1" s="53" t="inlineStr">
        <x:is>
          <x:t xml:space="preserve">Название</x:t>
        </x:is>
      </x:c>
      <x:c r="C1" s="53" t="inlineStr">
        <x:is>
          <x:t xml:space="preserve">URL</x:t>
        </x:is>
      </x:c>
      <x:c r="D1" s="53" t="inlineStr">
        <x:is>
          <x:t xml:space="preserve">Используется для</x:t>
        </x:is>
      </x:c>
      <x:c r="E1" s="53" t="inlineStr">
        <x:is>
          <x:t xml:space="preserve">Примечание</x:t>
        </x:is>
      </x:c>
    </x:row>
    <x:row r="2" s="46" customFormat="1" ht="42" customHeight="1">
      <x:c r="A2" s="4" t="inlineStr">
        <x:is>
          <x:t xml:space="preserve">SRC-001</x:t>
        </x:is>
      </x:c>
      <x:c r="B2" s="4" t="inlineStr">
        <x:is>
          <x:t xml:space="preserve">AramcoWorld — Ibn al-Haytham: Testing is Believing</x:t>
        </x:is>
      </x:c>
      <x:c r="C2" s="4" t="inlineStr">
        <x:is>
          <x:t xml:space="preserve">https://www.aramcoworld.com/en/articles/2023/ibn-al-haytham-testing-is-believing</x:t>
        </x:is>
      </x:c>
      <x:c r="D2" s="4" t="inlineStr">
        <x:is>
          <x:t xml:space="preserve">Ибн аль-Хайсам, камера-обскура, прямолинейное распространение света</x:t>
        </x:is>
      </x:c>
      <x:c r="E2" s="4" t="inlineStr">
        <x:is>
          <x:t xml:space="preserve">вводный источник</x:t>
        </x:is>
      </x:c>
    </x:row>
    <x:row r="3" s="46" customFormat="1" ht="42" customHeight="1">
      <x:c r="A3" s="4" t="inlineStr">
        <x:is>
          <x:t xml:space="preserve">SRC-002</x:t>
        </x:is>
      </x:c>
      <x:c r="B3" s="4" t="inlineStr">
        <x:is>
          <x:t xml:space="preserve">IMSS / Museo Galileo — Camera Obscura</x:t>
        </x:is>
      </x:c>
      <x:c r="C3" s="4" t="inlineStr">
        <x:is>
          <x:t xml:space="preserve">https://redi.imss.fi.it/inventions/index.php/Camera_Obscura</x:t>
        </x:is>
      </x:c>
      <x:c r="D3" s="4" t="inlineStr">
        <x:is>
          <x:t xml:space="preserve">Cardano, Della Porta, линза в камере-обскуре</x:t>
        </x:is>
      </x:c>
      <x:c r="E3" s="4" t="inlineStr">
        <x:is>
          <x:t xml:space="preserve">музейный образовательный источник</x:t>
        </x:is>
      </x:c>
    </x:row>
    <x:row r="4" s="46" customFormat="1" ht="42" customHeight="1">
      <x:c r="A4" s="4" t="inlineStr">
        <x:is>
          <x:t xml:space="preserve">SRC-003</x:t>
        </x:is>
      </x:c>
      <x:c r="B4" s="4" t="inlineStr">
        <x:is>
          <x:t xml:space="preserve">Max Planck Institute — Camera Obscura PDF</x:t>
        </x:is>
      </x:c>
      <x:c r="C4" s="4" t="inlineStr">
        <x:is>
          <x:t xml:space="preserve">https://www.mpiwg-berlin.mpg.de/sites/default/files/Preprints/P307.pdf</x:t>
        </x:is>
      </x:c>
      <x:c r="D4" s="4" t="inlineStr">
        <x:is>
          <x:t xml:space="preserve">Kepler, термин camera obscura, развитие оптических приборов</x:t>
        </x:is>
      </x:c>
      <x:c r="E4" s="4" t="inlineStr">
        <x:is>
          <x:t xml:space="preserve">академический PDF</x:t>
        </x:is>
      </x:c>
    </x:row>
    <x:row r="5" s="46" customFormat="1" ht="42" customHeight="1">
      <x:c r="A5" s="4" t="inlineStr">
        <x:is>
          <x:t xml:space="preserve">SRC-004</x:t>
        </x:is>
      </x:c>
      <x:c r="B5" s="4" t="inlineStr">
        <x:is>
          <x:t xml:space="preserve">Public Domain Review — Johann Zahn's Oculus Artificialis</x:t>
        </x:is>
      </x:c>
      <x:c r="C5" s="4" t="inlineStr">
        <x:is>
          <x:t xml:space="preserve">https://publicdomainreview.org/collection/images-from-johann-zahn-s-oculus-artificialis-1685</x:t>
        </x:is>
      </x:c>
      <x:c r="D5" s="4" t="inlineStr">
        <x:is>
          <x:t xml:space="preserve">Johann Zahn, portable camera obscura</x:t>
        </x:is>
      </x:c>
      <x:c r="E5" s="4" t="inlineStr">
        <x:is>
          <x:t xml:space="preserve">источник по историческим изображениям</x:t>
        </x:is>
      </x:c>
    </x:row>
    <x:row r="6" s="46" customFormat="1" ht="42" customHeight="1">
      <x:c r="A6" s="4" t="inlineStr">
        <x:is>
          <x:t xml:space="preserve">SRC-005</x:t>
        </x:is>
      </x:c>
      <x:c r="B6" s="4" t="inlineStr">
        <x:is>
          <x:t xml:space="preserve">Swiss Camera Museum — Johann Heinrich Schulze</x:t>
        </x:is>
      </x:c>
      <x:c r="C6" s="4" t="inlineStr">
        <x:is>
          <x:t xml:space="preserve">https://www.cameramuseum.ch/en/discover/permanent-exhibition/the-origins-of-photography/the-precursors-johann-heinrich-schulze/</x:t>
        </x:is>
      </x:c>
      <x:c r="D6" s="4" t="inlineStr">
        <x:is>
          <x:t xml:space="preserve">Schulze, светочувствительность серебряных солей</x:t>
        </x:is>
      </x:c>
      <x:c r="E6" s="4" t="inlineStr">
        <x:is>
          <x:t xml:space="preserve">музейный источник</x:t>
        </x:is>
      </x:c>
    </x:row>
    <x:row r="7" s="46" customFormat="1" ht="21" customHeight="1">
      <x:c r="A7" s="4" t="inlineStr">
        <x:is>
          <x:t xml:space="preserve">SRC-006</x:t>
        </x:is>
      </x:c>
      <x:c r="B7" s="4" t="inlineStr">
        <x:is>
          <x:t xml:space="preserve">Science History Institute — Silver and Sunlight</x:t>
        </x:is>
      </x:c>
      <x:c r="C7" s="4" t="inlineStr">
        <x:is>
          <x:t xml:space="preserve">https://www.sciencehistory.org/stories/magazine/silver-and-sunlight/</x:t>
        </x:is>
      </x:c>
      <x:c r="D7" s="4" t="inlineStr">
        <x:is>
          <x:t xml:space="preserve">Scheele, silver chloride, ammonia</x:t>
        </x:is>
      </x:c>
      <x:c r="E7" s="4" t="inlineStr">
        <x:is>
          <x:t xml:space="preserve">научно-исторический источник</x:t>
        </x:is>
      </x:c>
    </x:row>
    <x:row r="8" s="46" customFormat="1" ht="42" customHeight="1">
      <x:c r="A8" s="4" t="inlineStr">
        <x:is>
          <x:t xml:space="preserve">SRC-007</x:t>
        </x:is>
      </x:c>
      <x:c r="B8" s="4" t="inlineStr">
        <x:is>
          <x:t xml:space="preserve">Swiss Camera Museum — Thomas Wedgwood</x:t>
        </x:is>
      </x:c>
      <x:c r="C8" s="4" t="inlineStr">
        <x:is>
          <x:t xml:space="preserve">https://www.cameramuseum.ch/en/discover/permanent-exhibition/the-origins-of-photography/the-precursors-thomas-wedgwood/</x:t>
        </x:is>
      </x:c>
      <x:c r="D8" s="4" t="inlineStr">
        <x:is>
          <x:t xml:space="preserve">Wedgwood, silver nitrate, early camera obscura attempts</x:t>
        </x:is>
      </x:c>
      <x:c r="E8" s="4" t="inlineStr">
        <x:is>
          <x:t xml:space="preserve">музейный источник</x:t>
        </x:is>
      </x:c>
    </x:row>
    <x:row r="9" s="46" customFormat="1" ht="42" customHeight="1">
      <x:c r="A9" s="4" t="inlineStr">
        <x:is>
          <x:t xml:space="preserve">SRC-008</x:t>
        </x:is>
      </x:c>
      <x:c r="B9" s="4" t="inlineStr">
        <x:is>
          <x:t xml:space="preserve">Bodleian — Talbot Catalogue: Photogenic Drawing</x:t>
        </x:is>
      </x:c>
      <x:c r="C9" s="4" t="inlineStr">
        <x:is>
          <x:t xml:space="preserve">https://talbot.bodleian.ox.ac.uk/2017/02/17/an-account-of-the-processes-employed-in-photogenic-drawing/</x:t>
        </x:is>
      </x:c>
      <x:c r="D9" s="4" t="inlineStr">
        <x:is>
          <x:t xml:space="preserve">Talbot, Wedgwood/Davy, photogenic drawing</x:t>
        </x:is>
      </x:c>
      <x:c r="E9" s="4" t="inlineStr">
        <x:is>
          <x:t xml:space="preserve">архивный/исследовательский источник</x:t>
        </x:is>
      </x:c>
    </x:row>
    <x:row r="10" s="46" customFormat="1" ht="21" customHeight="1">
      <x:c r="A10" s="4" t="inlineStr">
        <x:is>
          <x:t xml:space="preserve">SRC-009</x:t>
        </x:is>
      </x:c>
      <x:c r="B10" s="4" t="inlineStr">
        <x:is>
          <x:t xml:space="preserve">Smithsonian NMAH — Camera Lucida</x:t>
        </x:is>
      </x:c>
      <x:c r="C10" s="4" t="inlineStr">
        <x:is>
          <x:t xml:space="preserve">https://americanhistory.si.edu/collections/object/nmah_1184286</x:t>
        </x:is>
      </x:c>
      <x:c r="D10" s="4" t="inlineStr">
        <x:is>
          <x:t xml:space="preserve">Wollaston, Camera Lucida, 1806/1807</x:t>
        </x:is>
      </x:c>
      <x:c r="E10" s="4" t="inlineStr">
        <x:is>
          <x:t xml:space="preserve">музейная карточка предмета</x:t>
        </x:is>
      </x:c>
    </x:row>
    <x:row r="11" s="46" customFormat="1" ht="42" customHeight="1">
      <x:c r="A11" s="4" t="inlineStr">
        <x:is>
          <x:t xml:space="preserve">SRC-010</x:t>
        </x:is>
      </x:c>
      <x:c r="B11" s="4" t="inlineStr">
        <x:is>
          <x:t xml:space="preserve">Harry Ransom Center — The Niépce Heliograph</x:t>
        </x:is>
      </x:c>
      <x:c r="C11" s="4" t="inlineStr">
        <x:is>
          <x:t xml:space="preserve">https://www.hrc.utexas.edu/niepce-heliograph/</x:t>
        </x:is>
      </x:c>
      <x:c r="D11" s="4" t="inlineStr">
        <x:is>
          <x:t xml:space="preserve">Niépce, View from the Window at Le Gras, heliography</x:t>
        </x:is>
      </x:c>
      <x:c r="E11" s="4" t="inlineStr">
        <x:is>
          <x:t xml:space="preserve">ключевой источник</x:t>
        </x:is>
      </x:c>
    </x:row>
    <x:row r="12" s="46" customFormat="1" ht="42" customHeight="1">
      <x:c r="A12" s="4" t="inlineStr">
        <x:is>
          <x:t xml:space="preserve">SRC-011</x:t>
        </x:is>
      </x:c>
      <x:c r="B12" s="4" t="inlineStr">
        <x:is>
          <x:t xml:space="preserve">Maison Nicéphore Niépce — First experiments</x:t>
        </x:is>
      </x:c>
      <x:c r="C12" s="4" t="inlineStr">
        <x:is>
          <x:t xml:space="preserve">https://bicentennial-of-photography.org/niepce-and-the-invention-of-photography-niepce-s-first-experiments/</x:t>
        </x:is>
      </x:c>
      <x:c r="D12" s="4" t="inlineStr">
        <x:is>
          <x:t xml:space="preserve">Niépce 1816, исчезающие negative images</x:t>
        </x:is>
      </x:c>
      <x:c r="E12" s="4" t="inlineStr">
        <x:is>
          <x:t xml:space="preserve">музей/юбилейный проект</x:t>
        </x:is>
      </x:c>
    </x:row>
    <x:row r="13" s="46" customFormat="1" ht="42" customHeight="1">
      <x:c r="A13" s="4" t="inlineStr">
        <x:is>
          <x:t xml:space="preserve">SRC-012</x:t>
        </x:is>
      </x:c>
      <x:c r="B13" s="4" t="inlineStr">
        <x:is>
          <x:t xml:space="preserve">Harvard Library — History of Photography Timeline</x:t>
        </x:is>
      </x:c>
      <x:c r="C13" s="4" t="inlineStr">
        <x:is>
          <x:t xml:space="preserve">https://photographpreservationprogram.hsites.harvard.edu/harvards-history-photography-timeline-text-only</x:t>
        </x:is>
      </x:c>
      <x:c r="D13" s="4" t="inlineStr">
        <x:is>
          <x:t xml:space="preserve">1826, 1839, Talbot, calotype, cyanotype, early medical photography, lantern slides</x:t>
        </x:is>
      </x:c>
      <x:c r="E13" s="4" t="inlineStr">
        <x:is>
          <x:t xml:space="preserve">университетская таймлайн-опора</x:t>
        </x:is>
      </x:c>
    </x:row>
    <x:row r="14" s="46" customFormat="1" ht="42" customHeight="1">
      <x:c r="A14" s="4" t="inlineStr">
        <x:is>
          <x:t xml:space="preserve">SRC-013</x:t>
        </x:is>
      </x:c>
      <x:c r="B14" s="4" t="inlineStr">
        <x:is>
          <x:t xml:space="preserve">The Met — Daguerre and the Invention of Photography</x:t>
        </x:is>
      </x:c>
      <x:c r="C14" s="4" t="inlineStr">
        <x:is>
          <x:t xml:space="preserve">https://www.metmuseum.org/essays/daguerre-1787-1851-and-the-invention-of-photography</x:t>
        </x:is>
      </x:c>
      <x:c r="D14" s="4" t="inlineStr">
        <x:is>
          <x:t xml:space="preserve">Daguerre, Académie des Sciences, 1839</x:t>
        </x:is>
      </x:c>
      <x:c r="E14" s="4" t="inlineStr">
        <x:is>
          <x:t xml:space="preserve">музейный эссе-источник</x:t>
        </x:is>
      </x:c>
    </x:row>
    <x:row r="15" s="46" customFormat="1" ht="42" customHeight="1">
      <x:c r="A15" s="4" t="inlineStr">
        <x:is>
          <x:t xml:space="preserve">SRC-014</x:t>
        </x:is>
      </x:c>
      <x:c r="B15" s="4" t="inlineStr">
        <x:is>
          <x:t xml:space="preserve">Library of Congress — Daguerreotype Medium</x:t>
        </x:is>
      </x:c>
      <x:c r="C15" s="4" t="inlineStr">
        <x:is>
          <x:t xml:space="preserve">https://www.loc.gov/collections/daguerreotypes/articles-and-essays/the-daguerreotype-medium</x:t>
        </x:is>
      </x:c>
      <x:c r="D15" s="4" t="inlineStr">
        <x:is>
          <x:t xml:space="preserve">daguerreotype as direct-positive process</x:t>
        </x:is>
      </x:c>
      <x:c r="E15" s="4" t="inlineStr">
        <x:is>
          <x:t xml:space="preserve">архивный источник</x:t>
        </x:is>
      </x:c>
    </x:row>
    <x:row r="16" s="46" customFormat="1" ht="42" customHeight="1">
      <x:c r="A16" s="4" t="inlineStr">
        <x:is>
          <x:t xml:space="preserve">SRC-015</x:t>
        </x:is>
      </x:c>
      <x:c r="B16" s="4" t="inlineStr">
        <x:is>
          <x:t xml:space="preserve">Library of Congress — Calotype and Daguerreotype</x:t>
        </x:is>
      </x:c>
      <x:c r="C16" s="4" t="inlineStr">
        <x:is>
          <x:t xml:space="preserve">https://blogs.loc.gov/teachers/2018/09/pre-civil-war-photographic-technologies-the-calotype-and-daguerreotype/</x:t>
        </x:is>
      </x:c>
      <x:c r="D16" s="4" t="inlineStr">
        <x:is>
          <x:t xml:space="preserve">calotype as first negative-positive process</x:t>
        </x:is>
      </x:c>
      <x:c r="E16" s="4" t="inlineStr">
        <x:is>
          <x:t xml:space="preserve">архивный образовательный источник</x:t>
        </x:is>
      </x:c>
    </x:row>
    <x:row r="17" s="46" customFormat="1" ht="42" customHeight="1">
      <x:c r="A17" s="4" t="inlineStr">
        <x:is>
          <x:t xml:space="preserve">SRC-016</x:t>
        </x:is>
      </x:c>
      <x:c r="B17" s="4" t="inlineStr">
        <x:is>
          <x:t xml:space="preserve">The Met — William Henry Fox Talbot</x:t>
        </x:is>
      </x:c>
      <x:c r="C17" s="4" t="inlineStr">
        <x:is>
          <x:t xml:space="preserve">https://www.metmuseum.org/essays/william-henry-fox-talbot-1800-1877-and-the-invention-of-photography</x:t>
        </x:is>
      </x:c>
      <x:c r="D17" s="4" t="inlineStr">
        <x:is>
          <x:t xml:space="preserve">Talbot, latent image, calotype, hypo, Pencil of Nature</x:t>
        </x:is>
      </x:c>
      <x:c r="E17" s="4" t="inlineStr">
        <x:is>
          <x:t xml:space="preserve">музейный эссе-источник</x:t>
        </x:is>
      </x:c>
    </x:row>
    <x:row r="18" s="46" customFormat="1" ht="21" customHeight="1">
      <x:c r="A18" s="4" t="inlineStr">
        <x:is>
          <x:t xml:space="preserve">SRC-017</x:t>
        </x:is>
      </x:c>
      <x:c r="B18" s="4" t="inlineStr">
        <x:is>
          <x:t xml:space="preserve">Getty — Sir John F. W. Herschel</x:t>
        </x:is>
      </x:c>
      <x:c r="C18" s="4" t="inlineStr">
        <x:is>
          <x:t xml:space="preserve">https://www.getty.edu/art/collection/person/103KHK</x:t>
        </x:is>
      </x:c>
      <x:c r="D18" s="4" t="inlineStr">
        <x:is>
          <x:t xml:space="preserve">Herschel, terminology, cyanotype context</x:t>
        </x:is>
      </x:c>
      <x:c r="E18" s="4" t="inlineStr">
        <x:is>
          <x:t xml:space="preserve">музейная биография</x:t>
        </x:is>
      </x:c>
    </x:row>
    <x:row r="19" s="46" customFormat="1" ht="42" customHeight="1">
      <x:c r="A19" s="4" t="inlineStr">
        <x:is>
          <x:t xml:space="preserve">SRC-018</x:t>
        </x:is>
      </x:c>
      <x:c r="B19" s="4" t="inlineStr">
        <x:is>
          <x:t xml:space="preserve">HNOC — Cyanotype Process</x:t>
        </x:is>
      </x:c>
      <x:c r="C19" s="4" t="inlineStr">
        <x:is>
          <x:t xml:space="preserve">https://hnoc.org/virtual-exhibitions/from_daguerreotype_to_digital/cyanotype-process</x:t>
        </x:is>
      </x:c>
      <x:c r="D19" s="4" t="inlineStr">
        <x:is>
          <x:t xml:space="preserve">Herschel, cyanotype 1842</x:t>
        </x:is>
      </x:c>
      <x:c r="E19" s="4" t="inlineStr">
        <x:is>
          <x:t xml:space="preserve">музейный образовательный источник</x:t>
        </x:is>
      </x:c>
    </x:row>
    <x:row r="20" s="46" customFormat="1" ht="42" customHeight="1">
      <x:c r="A20" s="4" t="inlineStr">
        <x:is>
          <x:t xml:space="preserve">SRC-019</x:t>
        </x:is>
      </x:c>
      <x:c r="B20" s="4" t="inlineStr">
        <x:is>
          <x:t xml:space="preserve">Natural History Museum — Anna Atkins's cyanotypes</x:t>
        </x:is>
      </x:c>
      <x:c r="C20" s="4" t="inlineStr">
        <x:is>
          <x:t xml:space="preserve">https://www.nhm.ac.uk/discover/anna-atkins-cyanotypes-the-first-book-of-photographs.html</x:t>
        </x:is>
      </x:c>
      <x:c r="D20" s="4" t="inlineStr">
        <x:is>
          <x:t xml:space="preserve">Anna Atkins, Photographs of British Algae</x:t>
        </x:is>
      </x:c>
      <x:c r="E20" s="4" t="inlineStr">
        <x:is>
          <x:t xml:space="preserve">музейный источник</x:t>
        </x:is>
      </x:c>
    </x:row>
    <x:row r="21" s="46" customFormat="1" ht="42" customHeight="1">
      <x:c r="A21" s="4" t="inlineStr">
        <x:is>
          <x:t xml:space="preserve">SRC-020</x:t>
        </x:is>
      </x:c>
      <x:c r="B21" s="4" t="inlineStr">
        <x:is>
          <x:t xml:space="preserve">V&amp;A — Photography Processes and Techniques</x:t>
        </x:is>
      </x:c>
      <x:c r="C21" s="4" t="inlineStr">
        <x:is>
          <x:t xml:space="preserve">https://www.vam.ac.uk/info/collection-selection-boxes-photography-processes-and-techniques</x:t>
        </x:is>
      </x:c>
      <x:c r="D21" s="4" t="inlineStr">
        <x:is>
          <x:t xml:space="preserve">salt print, albumen print, wet collodion process</x:t>
        </x:is>
      </x:c>
      <x:c r="E21" s="4" t="inlineStr">
        <x:is>
          <x:t xml:space="preserve">музейный источник</x:t>
        </x:is>
      </x:c>
    </x:row>
    <x:row r="22" s="46" customFormat="1" ht="42" customHeight="1">
      <x:c r="A22" s="4" t="inlineStr">
        <x:is>
          <x:t xml:space="preserve">SRC-021</x:t>
        </x:is>
      </x:c>
      <x:c r="B22" s="4" t="inlineStr">
        <x:is>
          <x:t xml:space="preserve">National Science and Media Museum — Frederick Scott Archer</x:t>
        </x:is>
      </x:c>
      <x:c r="C22" s="4" t="inlineStr">
        <x:is>
          <x:t xml:space="preserve">https://blog.scienceandmediamuseum.org.uk/photography-a-z-frederick-scott-archer-wet-collodion-process/</x:t>
        </x:is>
      </x:c>
      <x:c r="D22" s="4" t="inlineStr">
        <x:is>
          <x:t xml:space="preserve">Archer, wet collodion, 1851, process details</x:t>
        </x:is>
      </x:c>
      <x:c r="E22" s="4" t="inlineStr">
        <x:is>
          <x:t xml:space="preserve">музейный блог</x:t>
        </x:is>
      </x:c>
    </x:row>
    <x:row r="23" s="46" customFormat="1" ht="42" customHeight="1">
      <x:c r="A23" s="4" t="inlineStr">
        <x:is>
          <x:t xml:space="preserve">SRC-022</x:t>
        </x:is>
      </x:c>
      <x:c r="B23" s="4" t="inlineStr">
        <x:is>
          <x:t xml:space="preserve">Library of Congress — Ambrotypes and Tintypes</x:t>
        </x:is>
      </x:c>
      <x:c r="C23" s="4" t="inlineStr">
        <x:is>
          <x:t xml:space="preserve">https://www.loc.gov/collections/liljenquist-civil-war-photographs/articles-and-essays/ambrotypes-and-tintypes/</x:t>
        </x:is>
      </x:c>
      <x:c r="D23" s="4" t="inlineStr">
        <x:is>
          <x:t xml:space="preserve">ambrotype, tintype, Cutting patent, 1854</x:t>
        </x:is>
      </x:c>
      <x:c r="E23" s="4" t="inlineStr">
        <x:is>
          <x:t xml:space="preserve">архивный источник</x:t>
        </x:is>
      </x:c>
    </x:row>
    <x:row r="24" s="46" customFormat="1" ht="21" customHeight="1">
      <x:c r="A24" s="4" t="inlineStr">
        <x:is>
          <x:t xml:space="preserve">SRC-023</x:t>
        </x:is>
      </x:c>
      <x:c r="B24" s="4" t="inlineStr">
        <x:is>
          <x:t xml:space="preserve">National Gallery of Canada — The Calotype Process</x:t>
        </x:is>
      </x:c>
      <x:c r="C24" s="4" t="inlineStr">
        <x:is>
          <x:t xml:space="preserve">https://www.gallery.ca/photo-blog/the-calotype-process</x:t>
        </x:is>
      </x:c>
      <x:c r="D24" s="4" t="inlineStr">
        <x:is>
          <x:t xml:space="preserve">photogenic drawing 1834, calotype context</x:t>
        </x:is>
      </x:c>
      <x:c r="E24" s="4" t="inlineStr">
        <x:is>
          <x:t xml:space="preserve">музейный источник</x:t>
        </x:is>
      </x:c>
    </x:row>
    <x:row r="25" s="46" customFormat="1" ht="42" customHeight="1">
      <x:c r="A25" s="4" t="inlineStr">
        <x:is>
          <x:t xml:space="preserve">SRC-024</x:t>
        </x:is>
      </x:c>
      <x:c r="B25" s="4" t="inlineStr">
        <x:is>
          <x:t xml:space="preserve">Royal Society / Google Arts &amp; Culture — Stereoscopy</x:t>
        </x:is>
      </x:c>
      <x:c r="C25" s="4" t="inlineStr">
        <x:is>
          <x:t xml:space="preserve">https://artsandculture.google.com/story/stereoscopy-the-birth-of-3d-technology-the-royal-society/pwWRTNS-hqDN5g</x:t>
        </x:is>
      </x:c>
      <x:c r="D25" s="4" t="inlineStr">
        <x:is>
          <x:t xml:space="preserve">Wheatstone, stereoscopy 1838</x:t>
        </x:is>
      </x:c>
      <x:c r="E25" s="4" t="inlineStr">
        <x:is>
          <x:t xml:space="preserve">общественно-научный источник</x:t>
        </x:is>
      </x:c>
    </x:row>
    <x:row r="26" s="46" customFormat="1" ht="42" customHeight="1">
      <x:c r="A26" s="4" t="inlineStr">
        <x:is>
          <x:t xml:space="preserve">SRC-025</x:t>
        </x:is>
      </x:c>
      <x:c r="B26" s="4" t="inlineStr">
        <x:is>
          <x:t xml:space="preserve">Getty Conservation Institute — Atlas: Salt Print PDF</x:t>
        </x:is>
      </x:c>
      <x:c r="C26" s="4" t="inlineStr">
        <x:is>
          <x:t xml:space="preserve">https://www.getty.edu/conservation/publications_resources/pdf_publications/pdf/atlas_saltprint.pdf</x:t>
        </x:is>
      </x:c>
      <x:c r="D26" s="4" t="inlineStr">
        <x:is>
          <x:t xml:space="preserve">salt print chemistry, Scheele, Wedgwood context</x:t>
        </x:is>
      </x:c>
      <x:c r="E26" s="4" t="inlineStr">
        <x:is>
          <x:t xml:space="preserve">технический PDF</x:t>
        </x:is>
      </x:c>
    </x:row>
    <x:row r="27" s="46" customFormat="1" ht="42" customHeight="1">
      <x:c r="A27" s="4" t="inlineStr">
        <x:is>
          <x:t xml:space="preserve">SRC-026</x:t>
        </x:is>
      </x:c>
      <x:c r="B27" s="4" t="inlineStr">
        <x:is>
          <x:t xml:space="preserve">V&amp;A — A to Z of photographic processes</x:t>
        </x:is>
      </x:c>
      <x:c r="C27" s="4" t="inlineStr">
        <x:is>
          <x:t xml:space="preserve">https://www.vam.ac.uk/articles/photographic-processes</x:t>
        </x:is>
      </x:c>
      <x:c r="D27" s="4" t="inlineStr">
        <x:is>
          <x:t xml:space="preserve">общий перечень процессов для последующих версий</x:t>
        </x:is>
      </x:c>
      <x:c r="E27" s="4" t="inlineStr">
        <x:is>
          <x:t xml:space="preserve">дополнительный справочник</x:t>
        </x:is>
      </x:c>
    </x:row>
    <x:row r="28" s="46" customFormat="1" ht="31" customHeight="1">
      <x:c r="A28" s="3" t="inlineStr">
        <x:is>
          <x:t xml:space="preserve">SRC-027</x:t>
        </x:is>
      </x:c>
      <x:c r="B28" s="3" t="inlineStr">
        <x:is>
          <x:t xml:space="preserve">National Science and Media Museum — Kodak and Ilford camera factories</x:t>
        </x:is>
      </x:c>
      <x:c r="C28" s="3" t="inlineStr">
        <x:is>
          <x:t xml:space="preserve">https://www.scienceandmediamuseum.org.uk/objects-and-stories/kodak-ilford-camera-factories-1930s</x:t>
        </x:is>
      </x:c>
      <x:c r="D28" s="3" t="inlineStr">
        <x:is>
          <x:t xml:space="preserve">Maddox 1871, Burgess/Kennett/Bennett improvements, Liverpool Dry Plate Company 1874</x:t>
        </x:is>
      </x:c>
      <x:c r="E28" s="3" t="inlineStr">
        <x:is>
          <x:t xml:space="preserve">музейный источник</x:t>
        </x:is>
      </x:c>
    </x:row>
    <x:row r="29" s="46" customFormat="1" ht="31" customHeight="1">
      <x:c r="A29" s="3" t="inlineStr">
        <x:is>
          <x:t xml:space="preserve">SRC-028</x:t>
        </x:is>
      </x:c>
      <x:c r="B29" s="3" t="inlineStr">
        <x:is>
          <x:t xml:space="preserve">National Science and Media Museum — A brief guide to photographs on glass</x:t>
        </x:is>
      </x:c>
      <x:c r="C29" s="3" t="inlineStr">
        <x:is>
          <x:t xml:space="preserve">https://blog.scienceandmediamuseum.org.uk/a-brief-guide-to-photographs-on-glass/</x:t>
        </x:is>
      </x:c>
      <x:c r="D29" s="3" t="inlineStr">
        <x:is>
          <x:t xml:space="preserve">dry plate 1871, manufacture 1878, replacement of wet collodion, storage benefits</x:t>
        </x:is>
      </x:c>
      <x:c r="E29" s="3" t="inlineStr">
        <x:is>
          <x:t xml:space="preserve">музейный блог</x:t>
        </x:is>
      </x:c>
    </x:row>
    <x:row r="30" s="46" customFormat="1" ht="31" customHeight="1">
      <x:c r="A30" s="3" t="inlineStr">
        <x:is>
          <x:t xml:space="preserve">SRC-029</x:t>
        </x:is>
      </x:c>
      <x:c r="B30" s="3" t="inlineStr">
        <x:is>
          <x:t xml:space="preserve">Swiss Camera Museum — Gelatine bromide plates</x:t>
        </x:is>
      </x:c>
      <x:c r="C30" s="3" t="inlineStr">
        <x:is>
          <x:t xml:space="preserve">https://www.cameramuseum.ch/en/discover/permanent-exhibition/the-plate-era/gelatine-bromide-plates/</x:t>
        </x:is>
      </x:c>
      <x:c r="D30" s="3" t="inlineStr">
        <x:is>
          <x:t xml:space="preserve">Maddox 1871, Bennett 1878, heating emulsion, 1/25 second exposure</x:t>
        </x:is>
      </x:c>
      <x:c r="E30" s="3" t="inlineStr">
        <x:is>
          <x:t xml:space="preserve">музейный источник</x:t>
        </x:is>
      </x:c>
    </x:row>
    <x:row r="31" s="46" customFormat="1" ht="31" customHeight="1">
      <x:c r="A31" s="3" t="inlineStr">
        <x:is>
          <x:t xml:space="preserve">SRC-030</x:t>
        </x:is>
      </x:c>
      <x:c r="B31" s="3" t="inlineStr">
        <x:is>
          <x:t xml:space="preserve">Cornell Library — Dawn's Early Light: Towards Modern Photography</x:t>
        </x:is>
      </x:c>
      <x:c r="C31" s="3" t="inlineStr">
        <x:is>
          <x:t xml:space="preserve">https://rmc.library.cornell.edu/DawnsEarlyLight/exhibition/modernphotography/index.html</x:t>
        </x:is>
      </x:c>
      <x:c r="D31" s="3" t="inlineStr">
        <x:is>
          <x:t xml:space="preserve">dry plate 1871/1878, faster exposure, motion, norm by late 1880s</x:t>
        </x:is>
      </x:c>
      <x:c r="E31" s="3" t="inlineStr">
        <x:is>
          <x:t xml:space="preserve">университетская выставка</x:t>
        </x:is>
      </x:c>
    </x:row>
    <x:row r="32" s="46" customFormat="1" ht="31" customHeight="1">
      <x:c r="A32" s="3" t="inlineStr">
        <x:is>
          <x:t xml:space="preserve">SRC-031</x:t>
        </x:is>
      </x:c>
      <x:c r="B32" s="3" t="inlineStr">
        <x:is>
          <x:t xml:space="preserve">Kodak — History</x:t>
        </x:is>
      </x:c>
      <x:c r="C32" s="3" t="inlineStr">
        <x:is>
          <x:t xml:space="preserve">https://www.kodak.com/en/company/page/history/</x:t>
        </x:is>
      </x:c>
      <x:c r="D32" s="3" t="inlineStr">
        <x:is>
          <x:t xml:space="preserve">Eastman commercial dry plates in 1880, Eastman Dry Plate Company 1881</x:t>
        </x:is>
      </x:c>
      <x:c r="E32" s="3" t="inlineStr">
        <x:is>
          <x:t xml:space="preserve">официальная история компании</x:t>
        </x:is>
      </x:c>
    </x:row>
    <x:row r="33" s="46" customFormat="1" ht="31" customHeight="1">
      <x:c r="A33" s="3" t="inlineStr">
        <x:is>
          <x:t xml:space="preserve">SRC-032</x:t>
        </x:is>
      </x:c>
      <x:c r="B33" s="3" t="inlineStr">
        <x:is>
          <x:t xml:space="preserve">Kodak — George Eastman History</x:t>
        </x:is>
      </x:c>
      <x:c r="C33" s="3" t="inlineStr">
        <x:is>
          <x:t xml:space="preserve">https://www.kodak.com/en/company/page/george-eastman-history/</x:t>
        </x:is>
      </x:c>
      <x:c r="D33" s="3" t="inlineStr">
        <x:is>
          <x:t xml:space="preserve">Eastman and Strong, Eastman Dry Plate Company on January 1, 1881</x:t>
        </x:is>
      </x:c>
      <x:c r="E33" s="3" t="inlineStr">
        <x:is>
          <x:t xml:space="preserve">официальная история компании</x:t>
        </x:is>
      </x:c>
    </x:row>
    <x:row r="34" s="46" customFormat="1" ht="31" customHeight="1">
      <x:c r="A34" s="3" t="inlineStr">
        <x:is>
          <x:t xml:space="preserve">SRC-033</x:t>
        </x:is>
      </x:c>
      <x:c r="B34" s="3" t="inlineStr">
        <x:is>
          <x:t xml:space="preserve">Smithsonian Institution Archives — Gelatin Dry Plate Negatives</x:t>
        </x:is>
      </x:c>
      <x:c r="C34" s="3" t="inlineStr">
        <x:is>
          <x:t xml:space="preserve">https://siarchives.si.edu/blog/highlight-photo-cold-vault-gelatin-dry-plate-negatives</x:t>
        </x:is>
      </x:c>
      <x:c r="D34" s="3" t="inlineStr">
        <x:is>
          <x:t xml:space="preserve">dry plates as popular negative from 1880 to 1900, benefits versus wet collodion</x:t>
        </x:is>
      </x:c>
      <x:c r="E34" s="3" t="inlineStr">
        <x:is>
          <x:t xml:space="preserve">архивный музейный источник</x:t>
        </x:is>
      </x:c>
    </x:row>
    <x:row r="35" s="46" customFormat="1" ht="31" customHeight="1">
      <x:c r="A35" s="3" t="inlineStr">
        <x:is>
          <x:t xml:space="preserve">SRC-034</x:t>
        </x:is>
      </x:c>
      <x:c r="B35" s="3" t="inlineStr">
        <x:is>
          <x:t xml:space="preserve">George Eastman Museum — Dry Plates in the Woods</x:t>
        </x:is>
      </x:c>
      <x:c r="C35" s="3" t="inlineStr">
        <x:is>
          <x:t xml:space="preserve">https://www.eastman.org/blog/dry-plates-woods-using-19th-century-photographic-processes-capture-letchworth-state-park</x:t>
        </x:is>
      </x:c>
      <x:c r="D35" s="3" t="inlineStr">
        <x:is>
          <x:t xml:space="preserve">dry plates coated with gelatin emulsion, practical freedom, Eastman's role</x:t>
        </x:is>
      </x:c>
      <x:c r="E35" s="3" t="inlineStr">
        <x:is>
          <x:t xml:space="preserve">музейный источник</x:t>
        </x:is>
      </x:c>
    </x:row>
    <x:row r="36" s="46" customFormat="1" ht="28" customHeight="1">
      <x:c r="A36" s="8" t="inlineStr">
        <x:is>
          <x:t xml:space="preserve">SRC-035</x:t>
        </x:is>
      </x:c>
      <x:c r="B36" s="8" t="inlineStr">
        <x:is>
          <x:t xml:space="preserve">Science Museum Group — Eastman-Walker roll holder</x:t>
        </x:is>
      </x:c>
      <x:c r="C36" s="8" t="inlineStr">
        <x:is>
          <x:t xml:space="preserve">https://collection.sciencemuseumgroup.org.uk/objects/co15879/eastman-walker-roll-holder</x:t>
        </x:is>
      </x:c>
      <x:c r="D36" s="8" t="inlineStr">
        <x:is>
          <x:t xml:space="preserve">Eastman-Walker roll holder, 1885, made by Eastman Dry Plate and Film Company</x:t>
        </x:is>
      </x:c>
      <x:c r="E36" s="8" t="inlineStr">
        <x:is>
          <x:t xml:space="preserve">музейная карточка предмета</x:t>
        </x:is>
      </x:c>
    </x:row>
    <x:row r="37" s="46" customFormat="1" ht="42" customHeight="1">
      <x:c r="A37" s="8" t="inlineStr">
        <x:is>
          <x:t xml:space="preserve">SRC-036</x:t>
        </x:is>
      </x:c>
      <x:c r="B37" s="8" t="inlineStr">
        <x:is>
          <x:t xml:space="preserve">George Eastman Museum — Two rare rolls of early Kodak film</x:t>
        </x:is>
      </x:c>
      <x:c r="C37" s="8" t="inlineStr">
        <x:is>
          <x:t xml:space="preserve">https://www.eastman.org/two-rare-rolls-early-kodak-film-acquired-george-eastman-museum</x:t>
        </x:is>
      </x:c>
      <x:c r="D37" s="8" t="inlineStr">
        <x:is>
          <x:t xml:space="preserve">American Film 1885 with Eastman-Walker roll holder; Kodak film 1888; Kodak transparent film 1889</x:t>
        </x:is>
      </x:c>
      <x:c r="E37" s="8" t="inlineStr">
        <x:is>
          <x:t xml:space="preserve">музейный источник</x:t>
        </x:is>
      </x:c>
    </x:row>
    <x:row r="38" s="46" customFormat="1" ht="28" customHeight="1">
      <x:c r="A38" s="8" t="inlineStr">
        <x:is>
          <x:t xml:space="preserve">SRC-037</x:t>
        </x:is>
      </x:c>
      <x:c r="B38" s="8" t="inlineStr">
        <x:is>
          <x:t xml:space="preserve">National Inventors Hall of Fame — Hannibal Goodwin</x:t>
        </x:is>
      </x:c>
      <x:c r="C38" s="8" t="inlineStr">
        <x:is>
          <x:t xml:space="preserve">https://www.invent.org/inductees/hannibal-goodwin</x:t>
        </x:is>
      </x:c>
      <x:c r="D38" s="8" t="inlineStr">
        <x:is>
          <x:t xml:space="preserve">Goodwin and transparent flexible roll film on nitrocellulose base</x:t>
        </x:is>
      </x:c>
      <x:c r="E38" s="8" t="inlineStr">
        <x:is>
          <x:t xml:space="preserve">биографический/изобретательский источник</x:t>
        </x:is>
      </x:c>
    </x:row>
    <x:row r="39" s="46" customFormat="1" ht="28" customHeight="1">
      <x:c r="A39" s="8" t="inlineStr">
        <x:is>
          <x:t xml:space="preserve">SRC-038</x:t>
        </x:is>
      </x:c>
      <x:c r="B39" s="8" t="inlineStr">
        <x:is>
          <x:t xml:space="preserve">Smithsonian NMAH — Original Kodak Camera, Serial No. 540</x:t>
        </x:is>
      </x:c>
      <x:c r="C39" s="8" t="inlineStr">
        <x:is>
          <x:t xml:space="preserve">https://americanhistory.si.edu/collections/object/nmah_760118</x:t>
        </x:is>
      </x:c>
      <x:c r="D39" s="8" t="inlineStr">
        <x:is>
          <x:t xml:space="preserve">Original Kodak camera 1888, flexible roll film, 100 exposures, price/context</x:t>
        </x:is>
      </x:c>
      <x:c r="E39" s="8" t="inlineStr">
        <x:is>
          <x:t xml:space="preserve">музейная карточка предмета</x:t>
        </x:is>
      </x:c>
    </x:row>
    <x:row r="40" s="46" customFormat="1" ht="28" customHeight="1">
      <x:c r="A40" s="8" t="inlineStr">
        <x:is>
          <x:t xml:space="preserve">SRC-039</x:t>
        </x:is>
      </x:c>
      <x:c r="B40" s="8" t="inlineStr">
        <x:is>
          <x:t xml:space="preserve">The Met — Kodak and the Rise of Amateur Photography</x:t>
        </x:is>
      </x:c>
      <x:c r="C40" s="8" t="inlineStr">
        <x:is>
          <x:t xml:space="preserve">https://www.metmuseum.org/essays/kodak-and-the-rise-of-amateur-photography</x:t>
        </x:is>
      </x:c>
      <x:c r="D40" s="8" t="inlineStr">
        <x:is>
          <x:t xml:space="preserve">Kodak No. 1 camera, 100-exposure roll, factory processing/reloading, amateur photography</x:t>
        </x:is>
      </x:c>
      <x:c r="E40" s="8" t="inlineStr">
        <x:is>
          <x:t xml:space="preserve">музейный эссе-источник</x:t>
        </x:is>
      </x:c>
    </x:row>
    <x:row r="41" s="46" customFormat="1" ht="28" customHeight="1">
      <x:c r="A41" s="8" t="inlineStr">
        <x:is>
          <x:t xml:space="preserve">SRC-040</x:t>
        </x:is>
      </x:c>
      <x:c r="B41" s="8" t="inlineStr">
        <x:is>
          <x:t xml:space="preserve">George Eastman Museum — From the Camera Obscura to the Revolutionary Kodak</x:t>
        </x:is>
      </x:c>
      <x:c r="C41" s="8" t="inlineStr">
        <x:is>
          <x:t xml:space="preserve">https://www.eastman.org/camera-obscura-revolutionary-kodak</x:t>
        </x:is>
      </x:c>
      <x:c r="D41" s="8" t="inlineStr">
        <x:is>
          <x:t xml:space="preserve">Kodak launch 1888, camera patent and Kodak trademark on September 4, 1888</x:t>
        </x:is>
      </x:c>
      <x:c r="E41" s="8" t="inlineStr">
        <x:is>
          <x:t xml:space="preserve">музейный источник</x:t>
        </x:is>
      </x:c>
    </x:row>
    <x:row r="42" s="46" customFormat="1" ht="42" customHeight="1">
      <x:c r="A42" s="8" t="inlineStr">
        <x:is>
          <x:t xml:space="preserve">SRC-041</x:t>
        </x:is>
      </x:c>
      <x:c r="B42" s="8" t="inlineStr">
        <x:is>
          <x:t xml:space="preserve">Kodak — Chronology of Film</x:t>
        </x:is>
      </x:c>
      <x:c r="C42" s="8" t="inlineStr">
        <x:is>
          <x:t xml:space="preserve">https://www.kodak.com/en/motion/page/chronology-of-film/</x:t>
        </x:is>
      </x:c>
      <x:c r="D42" s="8" t="inlineStr">
        <x:is>
          <x:t xml:space="preserve">1889 first commercial transparent roll film, Eastman and research chemist, impact on motion picture camera</x:t>
        </x:is>
      </x:c>
      <x:c r="E42" s="8" t="inlineStr">
        <x:is>
          <x:t xml:space="preserve">официальная хронология компании</x:t>
        </x:is>
      </x:c>
    </x:row>
    <x:row r="43" s="46" customFormat="1" ht="28" customHeight="1">
      <x:c r="A43" s="8" t="inlineStr">
        <x:is>
          <x:t xml:space="preserve">SRC-042</x:t>
        </x:is>
      </x:c>
      <x:c r="B43" s="8" t="inlineStr">
        <x:is>
          <x:t xml:space="preserve">Kodak — Milestones</x:t>
        </x:is>
      </x:c>
      <x:c r="C43" s="8" t="inlineStr">
        <x:is>
          <x:t xml:space="preserve">https://www.kodak.com/en/company/page/milestones/</x:t>
        </x:is>
      </x:c>
      <x:c r="D43" s="8" t="inlineStr">
        <x:is>
          <x:t xml:space="preserve">1891 first daylight-loading camera; Kodak Park and film/paper manufacturing context</x:t>
        </x:is>
      </x:c>
      <x:c r="E43" s="8" t="inlineStr">
        <x:is>
          <x:t xml:space="preserve">официальная хронология компании</x:t>
        </x:is>
      </x:c>
    </x:row>
    <x:row r="44" s="46" customFormat="1" ht="28" customHeight="1">
      <x:c r="A44" s="8" t="inlineStr">
        <x:is>
          <x:t xml:space="preserve">SRC-043</x:t>
        </x:is>
      </x:c>
      <x:c r="B44" s="8" t="inlineStr">
        <x:is>
          <x:t xml:space="preserve">National Science and Media Museum — Kodak Gallery</x:t>
        </x:is>
      </x:c>
      <x:c r="C44" s="8" t="inlineStr">
        <x:is>
          <x:t xml:space="preserve">https://www.scienceandmediamuseum.org.uk/whats-on/kodak-gallery</x:t>
        </x:is>
      </x:c>
      <x:c r="D44" s="8" t="inlineStr">
        <x:is>
          <x:t xml:space="preserve">Kodak camera 1888 and Brownie 1900 as birth of popular photography</x:t>
        </x:is>
      </x:c>
      <x:c r="E44" s="8" t="inlineStr">
        <x:is>
          <x:t xml:space="preserve">музейный источник</x:t>
        </x:is>
      </x:c>
    </x:row>
    <x:row r="45" s="46" customFormat="1" ht="28" customHeight="1">
      <x:c r="A45" s="8" t="inlineStr">
        <x:is>
          <x:t xml:space="preserve">SRC-044</x:t>
        </x:is>
      </x:c>
      <x:c r="B45" s="8" t="inlineStr">
        <x:is>
          <x:t xml:space="preserve">Science Museum Group — No. 1 Brownie Box Camera</x:t>
        </x:is>
      </x:c>
      <x:c r="C45" s="8" t="inlineStr">
        <x:is>
          <x:t xml:space="preserve">https://collection.sciencemuseumgroup.org.uk/objects/co8406729/no-1-brownie-box-camera</x:t>
        </x:is>
      </x:c>
      <x:c r="D45" s="8" t="inlineStr">
        <x:is>
          <x:t xml:space="preserve">No. 1 Brownie box roll-film camera; affordable and easy to use camera context</x:t>
        </x:is>
      </x:c>
      <x:c r="E45" s="8" t="inlineStr">
        <x:is>
          <x:t xml:space="preserve">музейная карточка предмета</x:t>
        </x:is>
      </x:c>
    </x:row>
    <x:row r="46" s="46" customFormat="1" ht="28" customHeight="1">
      <x:c r="A46" s="8" t="inlineStr">
        <x:is>
          <x:t xml:space="preserve">SRC-045</x:t>
        </x:is>
      </x:c>
      <x:c r="B46" s="8" t="inlineStr">
        <x:is>
          <x:t xml:space="preserve">The Strong National Museum of Play — Brownies: From Folklore to Kodak Cameras</x:t>
        </x:is>
      </x:c>
      <x:c r="C46" s="8" t="inlineStr">
        <x:is>
          <x:t xml:space="preserve">https://www.museumofplay.org/blog/brownies-from-folklore-to-kodak-cameras/</x:t>
        </x:is>
      </x:c>
      <x:c r="D46" s="8" t="inlineStr">
        <x:is>
          <x:t xml:space="preserve">Brownie name, Frank A. Brownell, Eastman Kodak and cultural naming context</x:t>
        </x:is>
      </x:c>
      <x:c r="E46" s="8" t="inlineStr">
        <x:is>
          <x:t xml:space="preserve">музейный блог</x:t>
        </x:is>
      </x:c>
    </x:row>
    <x:row r="47" s="46" customFormat="1" ht="28" customHeight="1">
      <x:c r="A47" s="8" t="inlineStr">
        <x:is>
          <x:t xml:space="preserve">SRC-046</x:t>
        </x:is>
      </x:c>
      <x:c r="B47" s="8" t="inlineStr">
        <x:is>
          <x:t xml:space="preserve">ACS — George Eastman, Kodak, and the Birth of Consumer Photography</x:t>
        </x:is>
      </x:c>
      <x:c r="C47" s="8" t="inlineStr">
        <x:is>
          <x:t xml:space="preserve">https://www.acs.org/education/whatischemistry/landmarks/eastman-kodak.html</x:t>
        </x:is>
      </x:c>
      <x:c r="D47" s="8" t="inlineStr">
        <x:is>
          <x:t xml:space="preserve">Brownie 1900, $1 price, children/consumer photography context</x:t>
        </x:is>
      </x:c>
      <x:c r="E47" s="8" t="inlineStr">
        <x:is>
          <x:t xml:space="preserve">научно-образовательный источник</x:t>
        </x:is>
      </x:c>
    </x:row>
    <x:row r="48" s="46" customFormat="1" ht="42" customHeight="1">
      <x:c r="A48" s="8" t="inlineStr">
        <x:is>
          <x:t xml:space="preserve">SRC-047</x:t>
        </x:is>
      </x:c>
      <x:c r="B48" s="8" t="inlineStr">
        <x:is>
          <x:t xml:space="preserve">National Science and Media Museum — B is for Brownie</x:t>
        </x:is>
      </x:c>
      <x:c r="C48" s="8" t="inlineStr">
        <x:is>
          <x:t xml:space="preserve">https://blog.scienceandmediamuseum.org.uk/a-z-photography-collection-b-is-for-brownie/</x:t>
        </x:is>
      </x:c>
      <x:c r="D48" s="8" t="inlineStr">
        <x:is>
          <x:t xml:space="preserve">Brownie democratized photography, aimed at people with no previous experience, advertising and Palmer Cox context</x:t>
        </x:is>
      </x:c>
      <x:c r="E48" s="8" t="inlineStr">
        <x:is>
          <x:t xml:space="preserve">музейный блог</x:t>
        </x:is>
      </x:c>
    </x:row>
    <x:row r="49" s="46" customFormat="1" ht="28" customHeight="1">
      <x:c r="A49" s="8" t="inlineStr">
        <x:is>
          <x:t xml:space="preserve">SRC-048</x:t>
        </x:is>
      </x:c>
      <x:c r="B49" s="8" t="inlineStr">
        <x:is>
          <x:t xml:space="preserve">NEH — How Kodak Created a Fashion Accessory</x:t>
        </x:is>
      </x:c>
      <x:c r="C49" s="8" t="inlineStr">
        <x:is>
          <x:t xml:space="preserve">https://www.neh.gov/article/how-kodak-created-fashion-accessory</x:t>
        </x:is>
      </x:c>
      <x:c r="D49" s="8" t="inlineStr">
        <x:is>
          <x:t xml:space="preserve">Brownie 1900, $1 camera, mass-market amateur camera, middle/working-class and children context</x:t>
        </x:is>
      </x:c>
      <x:c r="E49" s="8" t="inlineStr">
        <x:is>
          <x:t xml:space="preserve">культурно-исторический источник</x:t>
        </x:is>
      </x:c>
    </x:row>
    <x:row r="50" s="46" customFormat="1" ht="28" customHeight="1">
      <x:c r="A50" s="8" t="inlineStr">
        <x:is>
          <x:t xml:space="preserve">SRC-049</x:t>
        </x:is>
      </x:c>
      <x:c r="B50" s="8" t="inlineStr">
        <x:is>
          <x:t xml:space="preserve">National Gallery of Art — The Art of the American Snapshot, 1888–1978</x:t>
        </x:is>
      </x:c>
      <x:c r="C50" s="8" t="inlineStr">
        <x:is>
          <x:t xml:space="preserve">https://www.nga.gov/exhibitions/art-american-snapshot-1888-1978-collection-robert-e-jackson</x:t>
        </x:is>
      </x:c>
      <x:c r="D50" s="8" t="inlineStr">
        <x:is>
          <x:t xml:space="preserve">snapshot photography as vernacular/cultural archive from Kodak roll-film era onward</x:t>
        </x:is>
      </x:c>
      <x:c r="E50" s="8" t="inlineStr">
        <x:is>
          <x:t xml:space="preserve">музейный источник</x:t>
        </x:is>
      </x:c>
    </x:row>
    <x:row r="51" s="46" customFormat="1" ht="28" customHeight="1">
      <x:c r="A51" s="8" t="inlineStr">
        <x:is>
          <x:t xml:space="preserve">SRC-050</x:t>
        </x:is>
      </x:c>
      <x:c r="B51" s="8" t="inlineStr">
        <x:is>
          <x:t xml:space="preserve">Science Museum Group — No 2 Brownie Camera</x:t>
        </x:is>
      </x:c>
      <x:c r="C51" s="8" t="inlineStr">
        <x:is>
          <x:t xml:space="preserve">https://collection.sciencemuseumgroup.org.uk/objects/co8207799/no-2-brownie-camera</x:t>
        </x:is>
      </x:c>
      <x:c r="D51" s="8" t="inlineStr">
        <x:is>
          <x:t xml:space="preserve">No. 2 Brownie camera, 120 rollfilm, simple box-form camera details</x:t>
        </x:is>
      </x:c>
      <x:c r="E51" s="8" t="inlineStr">
        <x:is>
          <x:t xml:space="preserve">музейная карточка предмета</x:t>
        </x:is>
      </x:c>
    </x:row>
    <x:row r="52" s="46" customFormat="1" ht="42" customHeight="1">
      <x:c r="A52" s="8" t="inlineStr">
        <x:is>
          <x:t xml:space="preserve">SRC-051</x:t>
        </x:is>
      </x:c>
      <x:c r="B52" s="8" t="inlineStr">
        <x:is>
          <x:t xml:space="preserve">Smithsonian NMAH — Leica 35 mm 1(A) Camera</x:t>
        </x:is>
      </x:c>
      <x:c r="C52" s="8" t="inlineStr">
        <x:is>
          <x:t xml:space="preserve">https://americanhistory.si.edu/collections/object/nmah_834692</x:t>
        </x:is>
      </x:c>
      <x:c r="D52" s="8" t="inlineStr">
        <x:is>
          <x:t xml:space="preserve">Leica 1(A), commercial 35mm camera, Barnack, 1924/1925 and popularization of 35mm film photography</x:t>
        </x:is>
      </x:c>
      <x:c r="E52" s="8" t="inlineStr">
        <x:is>
          <x:t xml:space="preserve">музейная карточка предмета</x:t>
        </x:is>
      </x:c>
    </x:row>
    <x:row r="53" s="46" customFormat="1" ht="42" customHeight="1">
      <x:c r="A53" s="49" t="inlineStr">
        <x:is>
          <x:t xml:space="preserve">SRC-052</x:t>
        </x:is>
      </x:c>
      <x:c r="B53" s="49" t="inlineStr">
        <x:is>
          <x:t xml:space="preserve">Kodak — Motion Picture History</x:t>
        </x:is>
      </x:c>
      <x:c r="C53" s="49" t="inlineStr">
        <x:is>
          <x:t xml:space="preserve">https://www.kodak.com/en/company/page/motion-picture-history/</x:t>
        </x:is>
      </x:c>
      <x:c r="D53" s="49" t="inlineStr">
        <x:is>
          <x:t xml:space="preserve">Eastman transparent roll film in 1889 enabled Edison to develop the first motion picture camera in 1891</x:t>
        </x:is>
      </x:c>
      <x:c r="E53" s="49" t="inlineStr">
        <x:is>
          <x:t xml:space="preserve">официальная история компании</x:t>
        </x:is>
      </x:c>
    </x:row>
    <x:row r="54" s="46" customFormat="1" ht="42" customHeight="1">
      <x:c r="A54" s="49" t="inlineStr">
        <x:is>
          <x:t xml:space="preserve">SRC-053</x:t>
        </x:is>
      </x:c>
      <x:c r="B54" s="49" t="inlineStr">
        <x:is>
          <x:t xml:space="preserve">Library of Congress — Origins of Motion Pictures</x:t>
        </x:is>
      </x:c>
      <x:c r="C54" s="49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D54" s="49" t="inlineStr">
        <x:is>
          <x:t xml:space="preserve">Edison/Dickson motion picture work; Eastman celluloid film; patent width specified as 35mm</x:t>
        </x:is>
      </x:c>
      <x:c r="E54" s="49" t="inlineStr">
        <x:is>
          <x:t xml:space="preserve">архив / библиотека</x:t>
        </x:is>
      </x:c>
    </x:row>
    <x:row r="55" s="46" customFormat="1" ht="28" customHeight="1">
      <x:c r="A55" s="49" t="inlineStr">
        <x:is>
          <x:t xml:space="preserve">SRC-054</x:t>
        </x:is>
      </x:c>
      <x:c r="B55" s="49" t="inlineStr">
        <x:is>
          <x:t xml:space="preserve">George Eastman Museum — Early Kodak transparent film</x:t>
        </x:is>
      </x:c>
      <x:c r="C55" s="49" t="inlineStr">
        <x:is>
          <x:t xml:space="preserve">https://www.eastman.org/two-rare-rolls-early-kodak-film-acquired-george-eastman-museum</x:t>
        </x:is>
      </x:c>
      <x:c r="D55" s="49" t="inlineStr">
        <x:is>
          <x:t xml:space="preserve">Kodak Transparent Film, 70mm slit in half to 35mm and perforated for Edison Kinetoscope</x:t>
        </x:is>
      </x:c>
      <x:c r="E55" s="49" t="inlineStr">
        <x:is>
          <x:t xml:space="preserve">музейный источник</x:t>
        </x:is>
      </x:c>
    </x:row>
    <x:row r="56" s="46" customFormat="1" ht="28" customHeight="1">
      <x:c r="A56" s="49" t="inlineStr">
        <x:is>
          <x:t xml:space="preserve">SRC-055</x:t>
        </x:is>
      </x:c>
      <x:c r="B56" s="49" t="inlineStr">
        <x:is>
          <x:t xml:space="preserve">George Eastman Museum — Kinetoscope</x:t>
        </x:is>
      </x:c>
      <x:c r="C56" s="49" t="inlineStr">
        <x:is>
          <x:t xml:space="preserve">https://collections.eastman.org/objects/78087/kinetoscope</x:t>
        </x:is>
      </x:c>
      <x:c r="D56" s="49" t="inlineStr">
        <x:is>
          <x:t xml:space="preserve">Kinetoscope object with double-perforated 35mm film and Dickson/Edison context</x:t>
        </x:is>
      </x:c>
      <x:c r="E56" s="49" t="inlineStr">
        <x:is>
          <x:t xml:space="preserve">музейная карточка предмета</x:t>
        </x:is>
      </x:c>
    </x:row>
    <x:row r="57" s="46" customFormat="1" ht="28" customHeight="1">
      <x:c r="A57" s="49" t="inlineStr">
        <x:is>
          <x:t xml:space="preserve">SRC-056</x:t>
        </x:is>
      </x:c>
      <x:c r="B57" s="49" t="inlineStr">
        <x:is>
          <x:t xml:space="preserve">SMPTE Journal — The Origins of 35mm Film as a Standard</x:t>
        </x:is>
      </x:c>
      <x:c r="C57" s="49" t="inlineStr">
        <x:is>
          <x:t xml:space="preserve">https://journal.smpte.org/periodicals/SMPTE%20Journal/99/8/22/</x:t>
        </x:is>
      </x:c>
      <x:c r="D57" s="49" t="inlineStr">
        <x:is>
          <x:t xml:space="preserve">Origins of 35mm film as production and exhibition standard; 1908–1909 context</x:t>
        </x:is>
      </x:c>
      <x:c r="E57" s="49" t="inlineStr">
        <x:is>
          <x:t xml:space="preserve">профильный историко-технический источник</x:t>
        </x:is>
      </x:c>
    </x:row>
    <x:row r="58" s="46" customFormat="1" ht="42" customHeight="1">
      <x:c r="A58" s="49" t="inlineStr">
        <x:is>
          <x:t xml:space="preserve">SRC-057</x:t>
        </x:is>
      </x:c>
      <x:c r="B58" s="49" t="inlineStr">
        <x:is>
          <x:t xml:space="preserve">Leica Timeline — 1914</x:t>
        </x:is>
      </x:c>
      <x:c r="C58" s="49" t="inlineStr">
        <x:is>
          <x:t xml:space="preserve">https://timeline.leica-camera.com/en-US/years/1914</x:t>
        </x:is>
      </x:c>
      <x:c r="D58" s="49" t="inlineStr">
        <x:is>
          <x:t xml:space="preserve">Oskar Barnack rotates vertical 35mm cine film into landscape format; birth of 24×36 format and Ur-Leica</x:t>
        </x:is>
      </x:c>
      <x:c r="E58" s="49" t="inlineStr">
        <x:is>
          <x:t xml:space="preserve">официальная история Leica</x:t>
        </x:is>
      </x:c>
    </x:row>
    <x:row r="59" s="46" customFormat="1" ht="28" customHeight="1">
      <x:c r="A59" s="49" t="inlineStr">
        <x:is>
          <x:t xml:space="preserve">SRC-058</x:t>
        </x:is>
      </x:c>
      <x:c r="B59" s="49" t="inlineStr">
        <x:is>
          <x:t xml:space="preserve">Leica Oskar Barnack Award — Oskar Barnack</x:t>
        </x:is>
      </x:c>
      <x:c r="C59" s="49" t="inlineStr">
        <x:is>
          <x:t xml:space="preserve">https://www.leica-oskar-barnack-award.com/en/information/oskar-barnack.html</x:t>
        </x:is>
      </x:c>
      <x:c r="D59" s="49" t="inlineStr">
        <x:is>
          <x:t xml:space="preserve">Barnack, Ur-Leica and 1920 Wetzlar floods as early 35mm still reportage series</x:t>
        </x:is>
      </x:c>
      <x:c r="E59" s="49" t="inlineStr">
        <x:is>
          <x:t xml:space="preserve">официальный Leica-ресурс</x:t>
        </x:is>
      </x:c>
    </x:row>
    <x:row r="60" s="46" customFormat="1" ht="42" customHeight="1">
      <x:c r="A60" s="49" t="inlineStr">
        <x:is>
          <x:t xml:space="preserve">SRC-059</x:t>
        </x:is>
      </x:c>
      <x:c r="B60" s="49" t="inlineStr">
        <x:is>
          <x:t xml:space="preserve">Smithsonian NMAH — Leica 35 mm 1(A) Camera</x:t>
        </x:is>
      </x:c>
      <x:c r="C60" s="49" t="inlineStr">
        <x:is>
          <x:t xml:space="preserve">https://americanhistory.si.edu/collections/object/nmah_834692</x:t>
        </x:is>
      </x:c>
      <x:c r="D60" s="49" t="inlineStr">
        <x:is>
          <x:t xml:space="preserve">Leica 1(A), designed by Barnack, announced 1924 and sold in 1925; popularized 35mm film photography</x:t>
        </x:is>
      </x:c>
      <x:c r="E60" s="49" t="inlineStr">
        <x:is>
          <x:t xml:space="preserve">музейная карточка предмета</x:t>
        </x:is>
      </x:c>
    </x:row>
    <x:row r="61" s="46" customFormat="1" ht="28" customHeight="1">
      <x:c r="A61" s="49" t="inlineStr">
        <x:is>
          <x:t xml:space="preserve">SRC-060</x:t>
        </x:is>
      </x:c>
      <x:c r="B61" s="49" t="inlineStr">
        <x:is>
          <x:t xml:space="preserve">Leica Timeline — 1925</x:t>
        </x:is>
      </x:c>
      <x:c r="C61" s="49" t="inlineStr">
        <x:is>
          <x:t xml:space="preserve">https://timeline.leica-camera.com/en/years/1925</x:t>
        </x:is>
      </x:c>
      <x:c r="D61" s="49" t="inlineStr">
        <x:is>
          <x:t xml:space="preserve">Leica I, Leitz’s first 35mm camera in serial production, debuts at Leipzig Spring Fair in 1925</x:t>
        </x:is>
      </x:c>
      <x:c r="E61" s="49" t="inlineStr">
        <x:is>
          <x:t xml:space="preserve">официальная история Leica</x:t>
        </x:is>
      </x:c>
    </x:row>
    <x:row r="62" s="46" customFormat="1" ht="28" customHeight="1">
      <x:c r="A62" s="49" t="inlineStr">
        <x:is>
          <x:t xml:space="preserve">SRC-061</x:t>
        </x:is>
      </x:c>
      <x:c r="B62" s="49" t="inlineStr">
        <x:is>
          <x:t xml:space="preserve">Science Museum Group — Kodak Retina Type 117</x:t>
        </x:is>
      </x:c>
      <x:c r="C62" s="49" t="inlineStr">
        <x:is>
          <x:t xml:space="preserve">https://collection.sciencemuseumgroup.org.uk/objects/co8205056/kodak-retina-type-117-35mm-camera</x:t>
        </x:is>
      </x:c>
      <x:c r="D62" s="49" t="inlineStr">
        <x:is>
          <x:t xml:space="preserve">Kodak Retina Type 117, 1934–1935; first camera to use daylight-loading 135 cartridges</x:t>
        </x:is>
      </x:c>
      <x:c r="E62" s="49" t="inlineStr">
        <x:is>
          <x:t xml:space="preserve">музейная карточка предмета</x:t>
        </x:is>
      </x:c>
    </x:row>
    <x:row r="63" s="46" customFormat="1" ht="42" customHeight="1">
      <x:c r="A63" s="49" t="inlineStr">
        <x:is>
          <x:t xml:space="preserve">SRC-062</x:t>
        </x:is>
      </x:c>
      <x:c r="B63" s="49" t="inlineStr">
        <x:is>
          <x:t xml:space="preserve">Leica Camera — The History of the Leica I</x:t>
        </x:is>
      </x:c>
      <x:c r="C63" s="49" t="inlineStr">
        <x:is>
          <x:t xml:space="preserve">https://leica-camera.com/en-int/photography/100-years/the-history-of-the-leica-I</x:t>
        </x:is>
      </x:c>
      <x:c r="D63" s="49" t="inlineStr">
        <x:is>
          <x:t xml:space="preserve">Leica I production, Leipzig 1925, compact mobile camera, around 57,000 units, visual language of reportage and street photography</x:t>
        </x:is>
      </x:c>
      <x:c r="E63" s="49" t="inlineStr">
        <x:is>
          <x:t xml:space="preserve">официальная история Leica</x:t>
        </x:is>
      </x:c>
    </x:row>
    <x:row r="64" s="46" customFormat="1" ht="42" customHeight="1">
      <x:c r="A64" s="49" t="inlineStr">
        <x:is>
          <x:t xml:space="preserve">SRC-063</x:t>
        </x:is>
      </x:c>
      <x:c r="B64" s="49" t="inlineStr">
        <x:is>
          <x:t xml:space="preserve">Leica Camera — 100 Years of Leica: Witness to a Century</x:t>
        </x:is>
      </x:c>
      <x:c r="C64" s="49" t="inlineStr">
        <x:is>
          <x:t xml:space="preserve">https://leica-camera.com/en-GB/press/100-years-leica-witness-century-1925-2025-1</x:t>
        </x:is>
      </x:c>
      <x:c r="D64" s="49" t="inlineStr">
        <x:is>
          <x:t xml:space="preserve">Leica I first series-produced Leica 35mm camera, presented at Leipzig Spring Fair 1925, compact format and new photographic applications</x:t>
        </x:is>
      </x:c>
      <x:c r="E64" s="49" t="inlineStr">
        <x:is>
          <x:t xml:space="preserve">официальный пресс-материал Leica</x:t>
        </x:is>
      </x:c>
    </x:row>
    <x:row r="65" s="46" customFormat="1" ht="42" customHeight="1">
      <x:c r="A65" s="49" t="inlineStr">
        <x:is>
          <x:t xml:space="preserve">SRC-064</x:t>
        </x:is>
      </x:c>
      <x:c r="B65" s="49" t="inlineStr">
        <x:is>
          <x:t xml:space="preserve">Smithsonian NMAH — Leica 35 mm 1(A) Camera</x:t>
        </x:is>
      </x:c>
      <x:c r="C65" s="49" t="inlineStr">
        <x:is>
          <x:t xml:space="preserve">https://americanhistory.si.edu/collections/object/nmah_834692</x:t>
        </x:is>
      </x:c>
      <x:c r="D65" s="49" t="inlineStr">
        <x:is>
          <x:t xml:space="preserve">Leica 1(A), designed by Oskar Barnack, announced 1924, sold 1925, popularized 35mm film photography</x:t>
        </x:is>
      </x:c>
      <x:c r="E65" s="49" t="inlineStr">
        <x:is>
          <x:t xml:space="preserve">музейная карточка предмета</x:t>
        </x:is>
      </x:c>
    </x:row>
    <x:row r="66" s="46" customFormat="1" ht="28" customHeight="1">
      <x:c r="A66" s="49" t="inlineStr">
        <x:is>
          <x:t xml:space="preserve">SRC-065</x:t>
        </x:is>
      </x:c>
      <x:c r="B66" s="49" t="inlineStr">
        <x:is>
          <x:t xml:space="preserve">Leica Camera — Understanding Leica Lenses</x:t>
        </x:is>
      </x:c>
      <x:c r="C66" s="49" t="inlineStr">
        <x:is>
          <x:t xml:space="preserve">https://leica-camera.com/en-int/photography/understanding-leica-lenses</x:t>
        </x:is>
      </x:c>
      <x:c r="D66" s="49" t="inlineStr">
        <x:is>
          <x:t xml:space="preserve">Max Berek and early Leica lenses for Ur-Leica and Leica system</x:t>
        </x:is>
      </x:c>
      <x:c r="E66" s="49" t="inlineStr">
        <x:is>
          <x:t xml:space="preserve">официальный материал Leica</x:t>
        </x:is>
      </x:c>
    </x:row>
    <x:row r="67" s="46" customFormat="1" ht="28" customHeight="1">
      <x:c r="A67" s="49" t="inlineStr">
        <x:is>
          <x:t xml:space="preserve">SRC-066</x:t>
        </x:is>
      </x:c>
      <x:c r="B67" s="49" t="inlineStr">
        <x:is>
          <x:t xml:space="preserve">LFI — Elmar 50 mm f/3.5</x:t>
        </x:is>
      </x:c>
      <x:c r="C67" s="49" t="inlineStr">
        <x:is>
          <x:t xml:space="preserve">https://lfi-online.de/en/stories/elmar-50-mm-f-3-5-19122.html</x:t>
        </x:is>
      </x:c>
      <x:c r="D67" s="49" t="inlineStr">
        <x:is>
          <x:t xml:space="preserve">Anastigmat, Elmax and Elmar 50mm f/3.5; Max Berek and early Leica I lenses</x:t>
        </x:is>
      </x:c>
      <x:c r="E67" s="49" t="inlineStr">
        <x:is>
          <x:t xml:space="preserve">профильный материал Leica Fotografie International</x:t>
        </x:is>
      </x:c>
    </x:row>
    <x:row r="68" s="46" customFormat="1" ht="28" customHeight="1">
      <x:c r="A68" s="49" t="inlineStr">
        <x:is>
          <x:t xml:space="preserve">SRC-067</x:t>
        </x:is>
      </x:c>
      <x:c r="B68" s="49" t="inlineStr">
        <x:is>
          <x:t xml:space="preserve">Smithsonian NMAH — Leica 1(C)</x:t>
        </x:is>
      </x:c>
      <x:c r="C68" s="49" t="inlineStr">
        <x:is>
          <x:t xml:space="preserve">https://americanhistory.si.edu/collections/object/nmah_1145349</x:t>
        </x:is>
      </x:c>
      <x:c r="D68" s="49" t="inlineStr">
        <x:is>
          <x:t xml:space="preserve">First Leica with interchangeable lenses in 1930; standardized lens mount by the end of 1930</x:t>
        </x:is>
      </x:c>
      <x:c r="E68" s="49" t="inlineStr">
        <x:is>
          <x:t xml:space="preserve">музейная карточка предмета</x:t>
        </x:is>
      </x:c>
    </x:row>
    <x:row r="69" s="46" customFormat="1" ht="28" customHeight="1">
      <x:c r="A69" s="49" t="inlineStr">
        <x:is>
          <x:t xml:space="preserve">SRC-068</x:t>
        </x:is>
      </x:c>
      <x:c r="B69" s="49" t="inlineStr">
        <x:is>
          <x:t xml:space="preserve">Leica Timeline — 1932</x:t>
        </x:is>
      </x:c>
      <x:c r="C69" s="49" t="inlineStr">
        <x:is>
          <x:t xml:space="preserve">https://timeline.leica-camera.com/en-US/years/1932</x:t>
        </x:is>
      </x:c>
      <x:c r="D69" s="49" t="inlineStr">
        <x:is>
          <x:t xml:space="preserve">Leica II becomes the first Leica with a built-in rangefinder</x:t>
        </x:is>
      </x:c>
      <x:c r="E69" s="49" t="inlineStr">
        <x:is>
          <x:t xml:space="preserve">официальная история Leica</x:t>
        </x:is>
      </x:c>
    </x:row>
    <x:row r="70" s="46" customFormat="1" ht="28" customHeight="1">
      <x:c r="A70" s="49" t="inlineStr">
        <x:is>
          <x:t xml:space="preserve">SRC-069</x:t>
        </x:is>
      </x:c>
      <x:c r="B70" s="49" t="inlineStr">
        <x:is>
          <x:t xml:space="preserve">George Eastman Museum — Early Kodak Film 1888/1889</x:t>
        </x:is>
      </x:c>
      <x:c r="C70" s="49" t="inlineStr">
        <x:is>
          <x:t xml:space="preserve">https://www.eastman.org/two-rare-rolls-early-kodak-film-acquired-george-eastman-museum</x:t>
        </x:is>
      </x:c>
      <x:c r="D70" s="49" t="inlineStr">
        <x:is>
          <x:t xml:space="preserve">Kodak Film 1888 and Kodak Transparent Film 1889 for the Kodak camera</x:t>
        </x:is>
      </x:c>
      <x:c r="E70" s="49" t="inlineStr">
        <x:is>
          <x:t xml:space="preserve">музейный источник</x:t>
        </x:is>
      </x:c>
    </x:row>
    <x:row r="71" s="46" customFormat="1" ht="28" customHeight="1">
      <x:c r="A71" s="49" t="inlineStr">
        <x:is>
          <x:t xml:space="preserve">SRC-070</x:t>
        </x:is>
      </x:c>
      <x:c r="B71" s="49" t="inlineStr">
        <x:is>
          <x:t xml:space="preserve">National Archives — Film-Based Negatives and Positives</x:t>
        </x:is>
      </x:c>
      <x:c r="C71" s="49" t="inlineStr">
        <x:is>
          <x:t xml:space="preserve">https://www.archives.gov/preservation/holdings-maintenance/film-based</x:t>
        </x:is>
      </x:c>
      <x:c r="D71" s="49" t="inlineStr">
        <x:is>
          <x:t xml:space="preserve">nitrate film base, acetate replacement from the 1920s, safety film and preservation issues</x:t>
        </x:is>
      </x:c>
      <x:c r="E71" s="49" t="inlineStr">
        <x:is>
          <x:t xml:space="preserve">архивный источник</x:t>
        </x:is>
      </x:c>
    </x:row>
    <x:row r="72" s="46" customFormat="1" ht="42" customHeight="1">
      <x:c r="A72" s="49" t="inlineStr">
        <x:is>
          <x:t xml:space="preserve">SRC-071</x:t>
        </x:is>
      </x:c>
      <x:c r="B72" s="49" t="inlineStr">
        <x:is>
          <x:t xml:space="preserve">Kodak — Milestones</x:t>
        </x:is>
      </x:c>
      <x:c r="C72" s="49" t="inlineStr">
        <x:is>
          <x:t xml:space="preserve">https://www.kodak.com/en/company/page/milestones/</x:t>
        </x:is>
      </x:c>
      <x:c r="D72" s="49" t="inlineStr">
        <x:is>
          <x:t xml:space="preserve">1899 continuous process for transparent film base, 1903 Non-Curling Film, 1908 commercially practical acetate safety film</x:t>
        </x:is>
      </x:c>
      <x:c r="E72" s="49" t="inlineStr">
        <x:is>
          <x:t xml:space="preserve">официальная история Kodak</x:t>
        </x:is>
      </x:c>
    </x:row>
    <x:row r="73" s="46" customFormat="1" ht="28" customHeight="1">
      <x:c r="A73" s="49" t="inlineStr">
        <x:is>
          <x:t xml:space="preserve">SRC-072</x:t>
        </x:is>
      </x:c>
      <x:c r="B73" s="49" t="inlineStr">
        <x:is>
          <x:t xml:space="preserve">Kodak — Glossary of Motion Picture Terms</x:t>
        </x:is>
      </x:c>
      <x:c r="C73" s="49" t="inlineStr">
        <x:is>
          <x:t xml:space="preserve">https://www.kodak.com/en/motion/page/glossary-of-motion-picture-terms/</x:t>
        </x:is>
      </x:c>
      <x:c r="D73" s="49" t="inlineStr">
        <x:is>
          <x:t xml:space="preserve">definition of photographic film/emulsion layer, base, silver halide gelatin emulsion, antihalation backing</x:t>
        </x:is>
      </x:c>
      <x:c r="E73" s="49" t="inlineStr">
        <x:is>
          <x:t xml:space="preserve">официальный технический словарь Kodak</x:t>
        </x:is>
      </x:c>
    </x:row>
    <x:row r="74" s="46" customFormat="1" ht="42" customHeight="1">
      <x:c r="A74" s="49" t="inlineStr">
        <x:is>
          <x:t xml:space="preserve">SRC-073</x:t>
        </x:is>
      </x:c>
      <x:c r="B74" s="49" t="inlineStr">
        <x:is>
          <x:t xml:space="preserve">Kodak — Essential Reference Guide for Filmmakers</x:t>
        </x:is>
      </x:c>
      <x:c r="C74" s="49" t="inlineStr">
        <x:is>
          <x:t xml:space="preserve">https://www.kodak.com/content/products-brochures/Film/kodak-essential-reference-guide-for-filmmakers.pdf</x:t>
        </x:is>
      </x:c>
      <x:c r="D74" s="49" t="inlineStr">
        <x:is>
          <x:t xml:space="preserve">silver halide crystals suspended in gelatin, latent image, processing makes image visible and permanent</x:t>
        </x:is>
      </x:c>
      <x:c r="E74" s="49" t="inlineStr">
        <x:is>
          <x:t xml:space="preserve">официальный учебный PDF Kodak</x:t>
        </x:is>
      </x:c>
    </x:row>
    <x:row r="75" s="46" customFormat="1" ht="28" customHeight="1">
      <x:c r="A75" s="49" t="inlineStr">
        <x:is>
          <x:t xml:space="preserve">SRC-074</x:t>
        </x:is>
      </x:c>
      <x:c r="B75" s="49" t="inlineStr">
        <x:is>
          <x:t xml:space="preserve">Kodak — Basic Sensitometry and Characteristics of Film</x:t>
        </x:is>
      </x:c>
      <x:c r="C75" s="49" t="inlineStr">
        <x:is>
          <x:t xml:space="preserve">https://www.kodak.com/uploadedfiles/motion/US_plugins_acrobat_en_motion_newsletters_filmEss_06_Characteristics_of_Film.pdf</x:t>
        </x:is>
      </x:c>
      <x:c r="D75" s="49" t="inlineStr">
        <x:is>
          <x:t xml:space="preserve">film speed, sensitivity, grain distribution and sensitometry basics</x:t>
        </x:is>
      </x:c>
      <x:c r="E75" s="49" t="inlineStr">
        <x:is>
          <x:t xml:space="preserve">официальный технический PDF Kodak</x:t>
        </x:is>
      </x:c>
    </x:row>
    <x:row r="76" s="46" customFormat="1" ht="42" customHeight="1">
      <x:c r="A76" s="49" t="inlineStr">
        <x:is>
          <x:t xml:space="preserve">SRC-075</x:t>
        </x:is>
      </x:c>
      <x:c r="B76" s="49" t="inlineStr">
        <x:is>
          <x:t xml:space="preserve">Kodak — How Film Makes an Image / Film Structure</x:t>
        </x:is>
      </x:c>
      <x:c r="C76" s="49" t="inlineStr">
        <x:is>
          <x:t xml:space="preserve">https://125px.com/docs/motionpicture/kodak_guides/US_plugins_acrobat_en_motion_newsletters_filmEss_04_How-film-makes-image.pdf</x:t>
        </x:is>
      </x:c>
      <x:c r="D76" s="49" t="inlineStr">
        <x:is>
          <x:t xml:space="preserve">supercoat, emulsion protection, antihalation backing and film structure</x:t>
        </x:is>
      </x:c>
      <x:c r="E76" s="49" t="inlineStr">
        <x:is>
          <x:t xml:space="preserve">копия технического руководства Kodak; заменить при нахождении официального URL</x:t>
        </x:is>
      </x:c>
    </x:row>
    <x:row r="77">
      <x:c r="A77" s="49" t="inlineStr">
        <x:is>
          <x:t xml:space="preserve">SRC-076</x:t>
        </x:is>
      </x:c>
      <x:c r="B77" s="49" t="inlineStr">
        <x:is>
          <x:t xml:space="preserve">Library of Congress — Appendix G Glossary</x:t>
        </x:is>
      </x:c>
      <x:c r="C77" s="49" t="inlineStr">
        <x:is>
          <x:t xml:space="preserve">https://www.loc.gov/catdir/cpso/app-glos.html</x:t>
        </x:is>
      </x:c>
      <x:c r="D77" s="49" t="inlineStr">
        <x:is>
          <x:t xml:space="preserve">definition of emulsion as gelatin and silver salts coating; positive/negative determined by emulsion mixture</x:t>
        </x:is>
      </x:c>
      <x:c r="E77" s="49" t="inlineStr">
        <x:is>
          <x:t xml:space="preserve">архивный справочник</x:t>
        </x:is>
      </x:c>
    </x:row>
    <x:row r="78">
      <x:c r="A78" s="49" t="inlineStr">
        <x:is>
          <x:t xml:space="preserve">SRC-077</x:t>
        </x:is>
      </x:c>
      <x:c r="B78" s="49" t="inlineStr">
        <x:is>
          <x:t xml:space="preserve">Library of Congress — Care, Handling, and Storage of Photographs</x:t>
        </x:is>
      </x:c>
      <x:c r="C78" s="49" t="inlineStr">
        <x:is>
          <x:t xml:space="preserve">https://www.loc.gov/preservation/care/photolea.html</x:t>
        </x:is>
      </x:c>
      <x:c r="D78" s="49" t="inlineStr">
        <x:is>
          <x:t xml:space="preserve">support, binder/emulsion layer, final image material; conservation framing of photographic object layers</x:t>
        </x:is>
      </x:c>
      <x:c r="E78" s="49" t="inlineStr">
        <x:is>
          <x:t xml:space="preserve">архивный источник</x:t>
        </x:is>
      </x:c>
    </x:row>
    <x:row r="79">
      <x:c r="A79" s="49" t="inlineStr">
        <x:is>
          <x:t xml:space="preserve">SRC-078</x:t>
        </x:is>
      </x:c>
      <x:c r="B79" s="49" t="inlineStr">
        <x:is>
          <x:t xml:space="preserve">National Gallery of Art — Stieglitz's Practices and Processes</x:t>
        </x:is>
      </x:c>
      <x:c r="C79" s="49" t="inlineStr">
        <x:is>
          <x:t xml:space="preserve">https://www.nga.gov/research/publications/alfred-stieglitz-key-set/stieglitzs-practices-and-processes</x:t>
        </x:is>
      </x:c>
      <x:c r="D79" s="49" t="inlineStr">
        <x:is>
          <x:t xml:space="preserve">gelatin silver papers, light-sensitive silver salts in gelatin, developed-out process</x:t>
        </x:is>
      </x:c>
      <x:c r="E79" s="49" t="inlineStr">
        <x:is>
          <x:t xml:space="preserve">музейный исследовательский материал</x:t>
        </x:is>
      </x:c>
    </x:row>
    <x:row r="80">
      <x:c r="A80" s="49" t="inlineStr">
        <x:is>
          <x:t xml:space="preserve">SRC-079</x:t>
        </x:is>
      </x:c>
      <x:c r="B80" s="49" t="inlineStr">
        <x:is>
          <x:t xml:space="preserve">HNOC — Gelatin Silver Developing-Out Paper Process</x:t>
        </x:is>
      </x:c>
      <x:c r="C80" s="49" t="inlineStr">
        <x:is>
          <x:t xml:space="preserve">https://hnoc.org/virtual-exhibitions/from_daguerreotype_to_digital/gelatin-silver-developing-out-paper-process</x:t>
        </x:is>
      </x:c>
      <x:c r="D80" s="49" t="inlineStr">
        <x:is>
          <x:t xml:space="preserve">gelatin silver DOP process, invention 1873, process of choice by 1895, developed-out image</x:t>
        </x:is>
      </x:c>
      <x:c r="E80" s="49" t="inlineStr">
        <x:is>
          <x:t xml:space="preserve">музейный образовательный источник</x:t>
        </x:is>
      </x:c>
    </x:row>
    <x:row r="81">
      <x:c r="A81" s="49" t="inlineStr">
        <x:is>
          <x:t xml:space="preserve">SRC-080</x:t>
        </x:is>
      </x:c>
      <x:c r="B81" s="49" t="inlineStr">
        <x:is>
          <x:t xml:space="preserve">MoMA — Gelatin silver print (developing-out paper)</x:t>
        </x:is>
      </x:c>
      <x:c r="C81" s="49" t="inlineStr">
        <x:is>
          <x:t xml:space="preserve">https://www.moma.org/collection/terms/gelatin-silver-print-developing-out-paper</x:t>
        </x:is>
      </x:c>
      <x:c r="D81" s="49" t="inlineStr">
        <x:is>
          <x:t xml:space="preserve">gelatin silver DOP as paper containing silver halides in gelatin binder; popular 20th-century process</x:t>
        </x:is>
      </x:c>
      <x:c r="E81" s="49" t="inlineStr">
        <x:is>
          <x:t xml:space="preserve">музейный глоссарий</x:t>
        </x:is>
      </x:c>
    </x:row>
    <x:row r="82">
      <x:c r="A82" s="49" t="inlineStr">
        <x:is>
          <x:t xml:space="preserve">SRC-081</x:t>
        </x:is>
      </x:c>
      <x:c r="B82" s="49" t="inlineStr">
        <x:is>
          <x:t xml:space="preserve">Science Museum Journal — Kenneth Mees, Eastman Kodak and the challenges of research</x:t>
        </x:is>
      </x:c>
      <x:c r="C82" s="49" t="inlineStr">
        <x:is>
          <x:t xml:space="preserve">https://journal.sciencemuseum.ac.uk/article/kenneth-mees-eastman-kodak/</x:t>
        </x:is>
      </x:c>
      <x:c r="D82" s="49" t="inlineStr">
        <x:is>
          <x:t xml:space="preserve">Wratten &amp; Wainwright panchromatic plates, filters, research laboratory context</x:t>
        </x:is>
      </x:c>
      <x:c r="E82" s="49" t="inlineStr">
        <x:is>
          <x:t xml:space="preserve">музейный научный журнал</x:t>
        </x:is>
      </x:c>
    </x:row>
    <x:row r="83">
      <x:c r="A83" s="49" t="inlineStr">
        <x:is>
          <x:t xml:space="preserve">SRC-082</x:t>
        </x:is>
      </x:c>
      <x:c r="B83" s="49" t="inlineStr">
        <x:is>
          <x:t xml:space="preserve">National Science and Media Museum — Dawn of Colour / Autochrome</x:t>
        </x:is>
      </x:c>
      <x:c r="C83" s="49" t="inlineStr">
        <x:is>
          <x:t xml:space="preserve">https://www.scienceandmediamuseum.org.uk/what-was-on/dawn-colour-celebrating-centenary-autochrome</x:t>
        </x:is>
      </x:c>
      <x:c r="D83" s="49" t="inlineStr">
        <x:is>
          <x:t xml:space="preserve">panchromatic plates sensitive to all colours introduced at end of century and enabled practical colour processes</x:t>
        </x:is>
      </x:c>
      <x:c r="E83" s="49" t="inlineStr">
        <x:is>
          <x:t xml:space="preserve">музейный источник</x:t>
        </x:is>
      </x:c>
    </x:row>
    <x:row r="84">
      <x:c r="A84" s="49" t="inlineStr">
        <x:is>
          <x:t xml:space="preserve">SRC-083</x:t>
        </x:is>
      </x:c>
      <x:c r="B84" s="49" t="inlineStr">
        <x:is>
          <x:t xml:space="preserve">Conservation Wiki — Gelatin Dry-plate Negative</x:t>
        </x:is>
      </x:c>
      <x:c r="C84" s="49" t="inlineStr">
        <x:is>
          <x:t xml:space="preserve">https://conservation-wiki.com/wiki/Gelatin_Dry-plate_Negative</x:t>
        </x:is>
      </x:c>
      <x:c r="D84" s="49" t="inlineStr">
        <x:is>
          <x:t xml:space="preserve">Maddox 1871 gelatin, water and silver halides on glass; Bennett sensitivity improvements; panchromatic plate context</x:t>
        </x:is>
      </x:c>
      <x:c r="E84" s="49" t="inlineStr">
        <x:is>
          <x:t xml:space="preserve">консервационный справочник; использовать с пометкой проверки первоисточников</x:t>
        </x:is>
      </x:c>
    </x:row>
    <x:row r="85">
      <x:c r="A85" s="49" t="inlineStr">
        <x:is>
          <x:t xml:space="preserve">SRC-084</x:t>
        </x:is>
      </x:c>
      <x:c r="B85" s="49" t="inlineStr">
        <x:is>
          <x:t xml:space="preserve">National Science and Media Museum — History of Photography</x:t>
        </x:is>
      </x:c>
      <x:c r="C85" s="49" t="inlineStr">
        <x:is>
          <x:t xml:space="preserve">https://www.scienceandmediamuseum.org.uk/objects-and-stories/history-photography</x:t>
        </x:is>
      </x:c>
      <x:c r="D85" s="49" t="inlineStr">
        <x:is>
          <x:t xml:space="preserve">Talbot 1834 negative image on sensitised paper; negative/positive principle</x:t>
        </x:is>
      </x:c>
      <x:c r="E85" s="49" t="inlineStr">
        <x:is>
          <x:t xml:space="preserve">музейный обзорный источник</x:t>
        </x:is>
      </x:c>
    </x:row>
    <x:row r="86">
      <x:c r="A86" s="49" t="inlineStr">
        <x:is>
          <x:t xml:space="preserve">SRC-085</x:t>
        </x:is>
      </x:c>
      <x:c r="B86" s="49" t="inlineStr">
        <x:is>
          <x:t xml:space="preserve">George Eastman Museum — Photographic Processes Video Series Glossary</x:t>
        </x:is>
      </x:c>
      <x:c r="C86" s="49" t="inlineStr">
        <x:is>
          <x:t xml:space="preserve">https://www.eastman.org/photographic-processes-video-series-glossary</x:t>
        </x:is>
      </x:c>
      <x:c r="D86" s="49" t="inlineStr">
        <x:is>
          <x:t xml:space="preserve">Talbot’s photogenic drawing, salted paper print, calotype negative; one negative could make many prints</x:t>
        </x:is>
      </x:c>
      <x:c r="E86" s="49" t="inlineStr">
        <x:is>
          <x:t xml:space="preserve">музейный глоссарий</x:t>
        </x:is>
      </x:c>
    </x:row>
    <x:row r="87">
      <x:c r="A87" s="49" t="inlineStr">
        <x:is>
          <x:t xml:space="preserve">SRC-086</x:t>
        </x:is>
      </x:c>
      <x:c r="B87" s="49" t="inlineStr">
        <x:is>
          <x:t xml:space="preserve">Library of Congress — Calotypes</x:t>
        </x:is>
      </x:c>
      <x:c r="C87" s="49" t="inlineStr">
        <x:is>
          <x:t xml:space="preserve">https://www.loc.gov/pictures/item/tgm001562/</x:t>
        </x:is>
      </x:c>
      <x:c r="D87" s="49" t="inlineStr">
        <x:is>
          <x:t xml:space="preserve">calotype as paper negatives using Talbot's patented 1841 process</x:t>
        </x:is>
      </x:c>
      <x:c r="E87" s="49" t="inlineStr">
        <x:is>
          <x:t xml:space="preserve">архивный справочник</x:t>
        </x:is>
      </x:c>
    </x:row>
    <x:row r="88">
      <x:c r="A88" s="49" t="inlineStr">
        <x:is>
          <x:t xml:space="preserve">SRC-087</x:t>
        </x:is>
      </x:c>
      <x:c r="B88" s="49" t="inlineStr">
        <x:is>
          <x:t xml:space="preserve">The Met — William Henry Fox Talbot, The Pencil of Nature</x:t>
        </x:is>
      </x:c>
      <x:c r="C88" s="49" t="inlineStr">
        <x:is>
          <x:t xml:space="preserve">https://www.metmuseum.org/art/collection/search/267022</x:t>
        </x:is>
      </x:c>
      <x:c r="D88" s="49" t="inlineStr">
        <x:is>
          <x:t xml:space="preserve">The Pencil of Nature; salted paper prints from paper negatives; negative-positive advantage</x:t>
        </x:is>
      </x:c>
      <x:c r="E88" s="49" t="inlineStr">
        <x:is>
          <x:t xml:space="preserve">музейная коллекционная карточка</x:t>
        </x:is>
      </x:c>
    </x:row>
    <x:row r="89">
      <x:c r="A89" s="49" t="inlineStr">
        <x:is>
          <x:t xml:space="preserve">SRC-088</x:t>
        </x:is>
      </x:c>
      <x:c r="B89" s="49" t="inlineStr">
        <x:is>
          <x:t xml:space="preserve">V&amp;A — A to Z of photographic processes</x:t>
        </x:is>
      </x:c>
      <x:c r="C89" s="49" t="inlineStr">
        <x:is>
          <x:t xml:space="preserve">https://www.vam.ac.uk/articles/photographic-processes</x:t>
        </x:is>
      </x:c>
      <x:c r="D89" s="49" t="inlineStr">
        <x:is>
          <x:t xml:space="preserve">calotype negative permitting multiple positives; wet collodion and other processes</x:t>
        </x:is>
      </x:c>
      <x:c r="E89" s="49" t="inlineStr">
        <x:is>
          <x:t xml:space="preserve">музейный обзор процессов</x:t>
        </x:is>
      </x:c>
    </x:row>
    <x:row r="90">
      <x:c r="A90" s="49" t="inlineStr">
        <x:is>
          <x:t xml:space="preserve">SRC-089</x:t>
        </x:is>
      </x:c>
      <x:c r="B90" s="49" t="inlineStr">
        <x:is>
          <x:t xml:space="preserve">Royal Collection Trust — Albumen print</x:t>
        </x:is>
      </x:c>
      <x:c r="C90" s="49" t="inlineStr">
        <x:is>
          <x:t xml:space="preserve">https://albert.rct.uk/explore/themes/photographic-technologies/albumen-print</x:t>
        </x:is>
      </x:c>
      <x:c r="D90" s="49" t="inlineStr">
        <x:is>
          <x:t xml:space="preserve">albumen print: negative placed in contact with albumen paper and exposed to print positive image</x:t>
        </x:is>
      </x:c>
      <x:c r="E90" s="49" t="inlineStr">
        <x:is>
          <x:t xml:space="preserve">музейный технологический источник</x:t>
        </x:is>
      </x:c>
    </x:row>
    <x:row r="91">
      <x:c r="A91" s="49" t="inlineStr">
        <x:is>
          <x:t xml:space="preserve">SRC-090</x:t>
        </x:is>
      </x:c>
      <x:c r="B91" s="49" t="inlineStr">
        <x:is>
          <x:t xml:space="preserve">The Met — The Industrialization of French Photography after 1860</x:t>
        </x:is>
      </x:c>
      <x:c r="C91" s="49" t="inlineStr">
        <x:is>
          <x:t xml:space="preserve">https://www.metmuseum.org/essays/the-industrialization-of-french-photography-after-1860</x:t>
        </x:is>
      </x:c>
      <x:c r="D91" s="49" t="inlineStr">
        <x:is>
          <x:t xml:space="preserve">Disdéri carte-de-visite; eight exposures on a glass-plate negative; mass printing and distribution</x:t>
        </x:is>
      </x:c>
      <x:c r="E91" s="49" t="inlineStr">
        <x:is>
          <x:t xml:space="preserve">музейное эссе</x:t>
        </x:is>
      </x:c>
    </x:row>
    <x:row r="92">
      <x:c r="A92" s="49" t="inlineStr">
        <x:is>
          <x:t xml:space="preserve">SRC-091</x:t>
        </x:is>
      </x:c>
      <x:c r="B92" s="49" t="inlineStr">
        <x:is>
          <x:t xml:space="preserve">National Archives — Photographic Prints</x:t>
        </x:is>
      </x:c>
      <x:c r="C92" s="49" t="inlineStr">
        <x:is>
          <x:t xml:space="preserve">https://www.archives.gov/research/still-pictures/still-picture-photographic-prints</x:t>
        </x:is>
      </x:c>
      <x:c r="D92" s="49" t="inlineStr">
        <x:is>
          <x:t xml:space="preserve">photographic prints, contact printing, paper positives and print formats</x:t>
        </x:is>
      </x:c>
      <x:c r="E92" s="49" t="inlineStr">
        <x:is>
          <x:t xml:space="preserve">архивный справочник</x:t>
        </x:is>
      </x:c>
    </x:row>
    <x:row r="93">
      <x:c r="A93" s="49" t="inlineStr">
        <x:is>
          <x:t xml:space="preserve">SRC-092</x:t>
        </x:is>
      </x:c>
      <x:c r="B93" s="49" t="inlineStr">
        <x:is>
          <x:t xml:space="preserve">National Archives — Film-Based Negatives and Positives</x:t>
        </x:is>
      </x:c>
      <x:c r="C93" s="49" t="inlineStr">
        <x:is>
          <x:t xml:space="preserve">https://www.archives.gov/preservation/holdings-maintenance/film-based</x:t>
        </x:is>
      </x:c>
      <x:c r="D93" s="49" t="inlineStr">
        <x:is>
          <x:t xml:space="preserve">film-based negatives and positives; preservation framing of negatives/transparencies</x:t>
        </x:is>
      </x:c>
      <x:c r="E93" s="49" t="inlineStr">
        <x:is>
          <x:t xml:space="preserve">архивный консервационный источник</x:t>
        </x:is>
      </x:c>
    </x:row>
    <x:row r="94">
      <x:c r="A94" s="49" t="inlineStr">
        <x:is>
          <x:t xml:space="preserve">SRC-093</x:t>
        </x:is>
      </x:c>
      <x:c r="B94" s="49" t="inlineStr">
        <x:is>
          <x:t xml:space="preserve">National Science and Media Museum — A short history of colour photography</x:t>
        </x:is>
      </x:c>
      <x:c r="C94" s="49" t="inlineStr">
        <x:is>
          <x:t xml:space="preserve">https://www.scienceandmediamuseum.org.uk/objects-and-stories/history-colour-photography</x:t>
        </x:is>
      </x:c>
      <x:c r="D94" s="49" t="inlineStr">
        <x:is>
          <x:t xml:space="preserve">Kodachrome 1935 colour transparency; positive/reversal pathway as exception to negative-print route</x:t>
        </x:is>
      </x:c>
      <x:c r="E94" s="49" t="inlineStr">
        <x:is>
          <x:t xml:space="preserve">музейный источник по цветной фотографии</x:t>
        </x:is>
      </x:c>
    </x:row>
    <x:row r="95">
      <x:c r="A95" t="inlineStr">
        <x:is>
          <x:t xml:space="preserve">SRC-094</x:t>
        </x:is>
      </x:c>
      <x:c r="B95" t="inlineStr">
        <x:is>
          <x:t xml:space="preserve">The Met — William Henry Fox Talbot and the Invention of Photography</x:t>
        </x:is>
      </x:c>
      <x:c r="C95" t="inlineStr">
        <x:is>
          <x:t xml:space="preserve">https://www.metmuseum.org/essays/william-henry-fox-talbot-1800-1877-and-the-invention-of-photography</x:t>
        </x:is>
      </x:c>
      <x:c r="D95" t="inlineStr">
        <x:is>
          <x:t xml:space="preserve">1839 приоритетная гонка Тальбот/Дагер; патентные ограничения калотипа в Британии; провал патента Тальбота во Франции 1843</x:t>
        </x:is>
      </x:c>
      <x:c r="E95" t="inlineStr">
        <x:is>
          <x:t xml:space="preserve">музейное эссе</x:t>
        </x:is>
      </x:c>
    </x:row>
    <x:row r="96">
      <x:c r="A96" t="inlineStr">
        <x:is>
          <x:t xml:space="preserve">SRC-095</x:t>
        </x:is>
      </x:c>
      <x:c r="B96" t="inlineStr">
        <x:is>
          <x:t xml:space="preserve">National Gallery of Canada — The Calotype Process</x:t>
        </x:is>
      </x:c>
      <x:c r="C96" t="inlineStr">
        <x:is>
          <x:t xml:space="preserve">https://www.gallery.ca/photo-blog/the-calotype-process</x:t>
        </x:is>
      </x:c>
      <x:c r="D96" t="inlineStr">
        <x:is>
          <x:t xml:space="preserve">химия соляной бумажной печати (printing-out process)</x:t>
        </x:is>
      </x:c>
      <x:c r="E96" t="inlineStr">
        <x:is>
          <x:t xml:space="preserve">музейный источник</x:t>
        </x:is>
      </x:c>
    </x:row>
    <x:row r="97">
      <x:c r="A97" s="49" t="inlineStr">
        <x:is>
          <x:t xml:space="preserve">SRC-096</x:t>
        </x:is>
      </x:c>
      <x:c r="B97" s="49" t="inlineStr">
        <x:is>
          <x:t xml:space="preserve">Getty — Hippolyte Bayard: A Persistent Pioneer</x:t>
        </x:is>
      </x:c>
      <x:c r="C97" s="49" t="inlineStr">
        <x:is>
          <x:t xml:space="preserve">https://www.getty.edu/art/exhibitions/bayard/</x:t>
        </x:is>
      </x:c>
      <x:c r="D97" s="49" t="inlineStr">
        <x:is>
          <x:t xml:space="preserve">Bayard direct positive process on paper</x:t>
        </x:is>
      </x:c>
      <x:c r="E97" s="49" t="inlineStr">
        <x:is>
          <x:t xml:space="preserve">музейный источник</x:t>
        </x:is>
      </x:c>
    </x:row>
    <x:row r="98">
      <x:c r="A98" s="49" t="inlineStr">
        <x:is>
          <x:t xml:space="preserve">SRC-097</x:t>
        </x:is>
      </x:c>
      <x:c r="B98" s="49" t="inlineStr">
        <x:is>
          <x:t xml:space="preserve">Harvard — Salt Prints at Harvard</x:t>
        </x:is>
      </x:c>
      <x:c r="C98" s="49" t="inlineStr">
        <x:is>
          <x:t xml:space="preserve">https://saltprintsatharvard.hsites.harvard.edu/</x:t>
        </x:is>
      </x:c>
      <x:c r="D98" s="49" t="inlineStr">
        <x:is>
          <x:t xml:space="preserve">salt prints as first negative-to-positive photographic technique; positive prints from paper/glass negatives</x:t>
        </x:is>
      </x:c>
      <x:c r="E98" s="49" t="inlineStr">
        <x:is>
          <x:t xml:space="preserve">университетский источник</x:t>
        </x:is>
      </x:c>
    </x:row>
    <x:row r="99">
      <x:c r="A99" s="49" t="inlineStr">
        <x:is>
          <x:t xml:space="preserve">SRC-098</x:t>
        </x:is>
      </x:c>
      <x:c r="B99" s="49" t="inlineStr">
        <x:is>
          <x:t xml:space="preserve">Getty Conservation Institute — Atlas: Salt Print PDF</x:t>
        </x:is>
      </x:c>
      <x:c r="C99" s="49" t="inlineStr">
        <x:is>
          <x:t xml:space="preserve">https://www.getty.edu/conservation/publications_resources/pdf_publications/pdf/atlas_saltprint.pdf</x:t>
        </x:is>
      </x:c>
      <x:c r="D99" s="49" t="inlineStr">
        <x:is>
          <x:t xml:space="preserve">salt print positive process; printing calotype negatives until albumen process</x:t>
        </x:is>
      </x:c>
      <x:c r="E99" s="49" t="inlineStr">
        <x:is>
          <x:t xml:space="preserve">технический PDF по процессу</x:t>
        </x:is>
      </x:c>
    </x:row>
    <x:row r="100">
      <x:c r="A100" s="49" t="inlineStr">
        <x:is>
          <x:t xml:space="preserve">SRC-099</x:t>
        </x:is>
      </x:c>
      <x:c r="B100" s="49" t="inlineStr">
        <x:is>
          <x:t xml:space="preserve">MoMA — Gelatin silver printing-out-paper print (POP)</x:t>
        </x:is>
      </x:c>
      <x:c r="C100" s="49" t="inlineStr">
        <x:is>
          <x:t xml:space="preserve">https://www.moma.org/collection/terms/gelatin-silver-printing-out-paper-print-pop</x:t>
        </x:is>
      </x:c>
      <x:c r="D100" s="49" t="inlineStr">
        <x:is>
          <x:t xml:space="preserve">printing-out paper; contact printing; visible image by light; common 1860–1940</x:t>
        </x:is>
      </x:c>
      <x:c r="E100" s="49" t="inlineStr">
        <x:is>
          <x:t xml:space="preserve">музейный терминологический источник</x:t>
        </x:is>
      </x:c>
    </x:row>
    <x:row r="101">
      <x:c r="A101" s="49" t="inlineStr">
        <x:is>
          <x:t xml:space="preserve">SRC-100</x:t>
        </x:is>
      </x:c>
      <x:c r="B101" s="49" t="inlineStr">
        <x:is>
          <x:t xml:space="preserve">HNOC — Gelatin Silver Developing-Out Paper Process</x:t>
        </x:is>
      </x:c>
      <x:c r="C101" s="49" t="inlineStr">
        <x:is>
          <x:t xml:space="preserve">https://hnoc.org/virtual-exhibitions/from_daguerreotype_to_digital/gelatin-silver-developing-out-paper-process</x:t>
        </x:is>
      </x:c>
      <x:c r="D101" s="49" t="inlineStr">
        <x:is>
          <x:t xml:space="preserve">DOP invented 1873 by Peter Mawdsley; process of choice by 1895; dominated 20th century B&amp;W prints</x:t>
        </x:is>
      </x:c>
      <x:c r="E101" s="49" t="inlineStr">
        <x:is>
          <x:t xml:space="preserve">музейный образовательный источник</x:t>
        </x:is>
      </x:c>
    </x:row>
    <x:row r="102">
      <x:c r="A102" s="49" t="inlineStr">
        <x:is>
          <x:t xml:space="preserve">SRC-101</x:t>
        </x:is>
      </x:c>
      <x:c r="B102" s="49" t="inlineStr">
        <x:is>
          <x:t xml:space="preserve">Smithsonian — Polaroid Land Camera Model 95</x:t>
        </x:is>
      </x:c>
      <x:c r="C102" s="49" t="inlineStr">
        <x:is>
          <x:t xml:space="preserve">https://americanhistory.si.edu/collections/object/nmah_1154069</x:t>
        </x:is>
      </x:c>
      <x:c r="D102" s="49" t="inlineStr">
        <x:is>
          <x:t xml:space="preserve">Polaroid Land Camera production in 1948; Edwin Land; instant positive print context</x:t>
        </x:is>
      </x:c>
      <x:c r="E102" s="49" t="inlineStr">
        <x:is>
          <x:t xml:space="preserve">музейная карточка предмета</x:t>
        </x:is>
      </x:c>
    </x:row>
    <x:row r="103">
      <x:c r="A103" s="49" t="inlineStr">
        <x:is>
          <x:t xml:space="preserve">SRC-102</x:t>
        </x:is>
      </x:c>
      <x:c r="B103" s="49" t="inlineStr">
        <x:is>
          <x:t xml:space="preserve">MoMA — Chromogenic print</x:t>
        </x:is>
      </x:c>
      <x:c r="C103" s="49" t="inlineStr">
        <x:is>
          <x:t xml:space="preserve">https://www.moma.org/collection/terms/chromogenic-print</x:t>
        </x:is>
      </x:c>
      <x:c r="D103" s="49" t="inlineStr">
        <x:is>
          <x:t xml:space="preserve">chromogenic print as dominant color photographic process of 20th century</x:t>
        </x:is>
      </x:c>
      <x:c r="E103" s="49" t="inlineStr">
        <x:is>
          <x:t xml:space="preserve">музейный терминологический источник</x:t>
        </x:is>
      </x:c>
    </x:row>
    <x:row r="104">
      <x:c r="A104" s="49" t="inlineStr">
        <x:is>
          <x:t xml:space="preserve">SRC-103</x:t>
        </x:is>
      </x:c>
      <x:c r="B104" s="49" t="inlineStr">
        <x:is>
          <x:t xml:space="preserve">Tate — C-print</x:t>
        </x:is>
      </x:c>
      <x:c r="C104" s="49" t="inlineStr">
        <x:is>
          <x:t xml:space="preserve">https://www.tate.org.uk/art/art-terms/c/c-print</x:t>
        </x:is>
      </x:c>
      <x:c r="D104" s="49" t="inlineStr">
        <x:is>
          <x:t xml:space="preserve">C-print / chromogenic print made from color negative or slide</x:t>
        </x:is>
      </x:c>
      <x:c r="E104" s="49" t="inlineStr">
        <x:is>
          <x:t xml:space="preserve">музейный справочник</x:t>
        </x:is>
      </x:c>
    </x:row>
    <x:row r="105">
      <x:c r="A105" s="49" t="inlineStr">
        <x:is>
          <x:t xml:space="preserve">SRC-104</x:t>
        </x:is>
      </x:c>
      <x:c r="B105" s="49" t="inlineStr">
        <x:is>
          <x:t xml:space="preserve">National Science and Media Museum — Autochromes: the dawn of colour photography</x:t>
        </x:is>
      </x:c>
      <x:c r="C105" s="49" t="inlineStr">
        <x:is>
          <x:t xml:space="preserve">https://blog.scienceandmediamuseum.org.uk/autochromes-the-dawn-of-colour-photography/</x:t>
        </x:is>
      </x:c>
      <x:c r="D105" s="49" t="inlineStr">
        <x:is>
          <x:t xml:space="preserve">Autochrome commercial manufacture 1907; positive transparency</x:t>
        </x:is>
      </x:c>
      <x:c r="E105" s="49" t="inlineStr">
        <x:is>
          <x:t xml:space="preserve">музейный источник</x:t>
        </x:is>
      </x:c>
    </x:row>
    <x:row r="106">
      <x:c r="A106" t="inlineStr">
        <x:is>
          <x:t xml:space="preserve">SRC-105</x:t>
        </x:is>
      </x:c>
      <x:c r="B106" t="inlineStr">
        <x:is>
          <x:t xml:space="preserve">The Art of the Photogravure — Hippolyte Fizeau (gold toning)</x:t>
        </x:is>
      </x:c>
      <x:c r="C106" t="inlineStr">
        <x:is>
          <x:t xml:space="preserve">https://photogravure.com/key-figure/hippolyte-fizeau/</x:t>
        </x:is>
      </x:c>
      <x:c r="D106" t="inlineStr">
        <x:is>
          <x:t xml:space="preserve">gold toning 1840 (daguerreotypes) adapted to salted paper positives by 1847; print permanence and tone</x:t>
        </x:is>
      </x:c>
      <x:c r="E106" t="inlineStr">
        <x:is>
          <x:t xml:space="preserve">исторический обзор процессов печати</x:t>
        </x:is>
      </x:c>
    </x:row>
    <x:row r="107">
      <x:c r="A107" t="inlineStr">
        <x:is>
          <x:t xml:space="preserve">SRC-106</x:t>
        </x:is>
      </x:c>
      <x:c r="B107" t="inlineStr">
        <x:is>
          <x:t xml:space="preserve">Royal Collection Trust — Carbon print</x:t>
        </x:is>
      </x:c>
      <x:c r="C107" t="inlineStr">
        <x:is>
          <x:t xml:space="preserve">https://www.rct.uk/group/381/content/explore/themes/photographic-technologies/carbon-print</x:t>
        </x:is>
      </x:c>
      <x:c r="D107" t="inlineStr">
        <x:is>
          <x:t xml:space="preserve">Poitevin carbon printing 1855: pigment-based permanent positive, response to fading of salt/albumen prints</x:t>
        </x:is>
      </x:c>
      <x:c r="E107" t="inlineStr">
        <x:is>
          <x:t xml:space="preserve">музейный технологический источник</x:t>
        </x:is>
      </x:c>
    </x:row>
    <x:row r="108">
      <x:c r="A108" t="inlineStr">
        <x:is>
          <x:t xml:space="preserve">SRC-107</x:t>
        </x:is>
      </x:c>
      <x:c r="B108" t="inlineStr">
        <x:is>
          <x:t xml:space="preserve">Historic New Orleans Collection — Platinum Process</x:t>
        </x:is>
      </x:c>
      <x:c r="C108" t="inlineStr">
        <x:is>
          <x:t xml:space="preserve">https://hnoc.org/virtual-exhibitions/from_daguerreotype_to_digital/platinum-process</x:t>
        </x:is>
      </x:c>
      <x:c r="D108" t="inlineStr">
        <x:is>
          <x:t xml:space="preserve">Willis platinotype 1873 patent / 1880 commercial paper: tonal range and archival permanence</x:t>
        </x:is>
      </x:c>
      <x:c r="E108" t="inlineStr">
        <x:is>
          <x:t xml:space="preserve">музейная виртуальная выставка</x:t>
        </x:is>
      </x:c>
    </x:row>
    <x:row r="109">
      <x:c r="A109" t="inlineStr">
        <x:is>
          <x:t xml:space="preserve">SRC-108</x:t>
        </x:is>
      </x:c>
      <x:c r="B109" t="inlineStr">
        <x:is>
          <x:t xml:space="preserve">George Eastman Museum — Dye-transfer printing (images)</x:t>
        </x:is>
      </x:c>
      <x:c r="C109" t="inlineStr">
        <x:is>
          <x:t xml:space="preserve">https://www.eastman.org/technicolor/2b-dye-transfer-printing-images</x:t>
        </x:is>
      </x:c>
      <x:c r="D109" t="inlineStr">
        <x:is>
          <x:t xml:space="preserve">Kodak Dye Transfer 1945/1946: imbibition color positive print on paper, distinct from Kodachrome transparency</x:t>
        </x:is>
      </x:c>
      <x:c r="E109" t="inlineStr">
        <x:is>
          <x:t xml:space="preserve">музейный источник по цветной печати</x:t>
        </x:is>
      </x:c>
    </x:row>
    <x:row r="110">
      <x:c r="A110" t="str">
        <x:v>SRC-109</x:v>
      </x:c>
      <x:c r="B110" t="str">
        <x:v>ILFORD Photo — Silver Halide Prints</x:v>
      </x:c>
      <x:c r="C110" t="str">
        <x:v>https://www.ilfordphoto.com/silver-halide/</x:v>
      </x:c>
      <x:c r="D110" t="str">
        <x:v>silver halide crystals in gelatin form an emulsion used to coat paper or film; traditional B&amp;W silver halide process</x:v>
      </x:c>
      <x:c r="E110" t="str">
        <x:v>официальный образовательный источник ILFORD</x:v>
      </x:c>
    </x:row>
    <x:row r="111">
      <x:c r="A111" t="str">
        <x:v>SRC-110</x:v>
      </x:c>
      <x:c r="B111" t="str">
        <x:v>Canadian Conservation Institute — Processing Contemporary Black-and-White Photographic Films and Papers for Maximum Permanence</x:v>
      </x:c>
      <x:c r="C111" t="str">
        <x:v>https://www.canada.ca/en/conservation-institute/services/conservation-preservation-publications/canadian-conservation-institute-notes/black-white-photographic-films-papers-permanence.html</x:v>
      </x:c>
      <x:c r="D111" t="str">
        <x:v>B&amp;W film/paper contains silver halides in gelatin; development, stop, fixing, washing, drying; fixer removes remaining silver salts</x:v>
      </x:c>
      <x:c r="E111" t="str">
        <x:v>государственный консервационный источник</x:v>
      </x:c>
    </x:row>
    <x:row r="112">
      <x:c r="A112" t="str">
        <x:v>SRC-111</x:v>
      </x:c>
      <x:c r="B112" t="str">
        <x:v>Kodak — Processing KODAK Motion Picture Films, Module 15</x:v>
      </x:c>
      <x:c r="C112" t="str">
        <x:v>https://www.kodak.com/content/products-brochures/Film/Processing-KODAK-Motion-Picture-Films-Module-15.pdf</x:v>
      </x:c>
      <x:c r="D112" t="str">
        <x:v>black-and-white film structure; panchromatic/orthochromatic/blue/infrared sensitivity; antihalation support details</x:v>
      </x:c>
      <x:c r="E112" t="str">
        <x:v>официальный технический документ Kodak</x:v>
      </x:c>
    </x:row>
    <x:row r="113">
      <x:c r="A113" t="str">
        <x:v>SRC-112</x:v>
      </x:c>
      <x:c r="B113" t="str">
        <x:v>Kodak Professional — Black &amp; White</x:v>
      </x:c>
      <x:c r="C113" t="str">
        <x:v>https://kodakprofessional.com/photographers/film/black-white</x:v>
      </x:c>
      <x:c r="D113" t="str">
        <x:v>Kodak professional B&amp;W film range; Tri-X, T-MAX, grain, sharpness, exposure latitude</x:v>
      </x:c>
      <x:c r="E113" t="str">
        <x:v>официальная страница Kodak Professional</x:v>
      </x:c>
    </x:row>
    <x:row r="114">
      <x:c r="A114" t="str">
        <x:v>SRC-113</x:v>
      </x:c>
      <x:c r="B114" t="str">
        <x:v>Kodak Professional — KODAK PROFESSIONAL TRI-X Films</x:v>
      </x:c>
      <x:c r="C114" t="str">
        <x:v>https://kodakprofessional.com/photographers/film/black-white/kodak-professional-tri-x-films/515</x:v>
      </x:c>
      <x:c r="D114" t="str">
        <x:v>TRI-X: ISO 400, classic grain, high sharpness, wide exposure latitude, pushability</x:v>
      </x:c>
      <x:c r="E114" t="str">
        <x:v>официальная страница продукта Kodak Professional</x:v>
      </x:c>
    </x:row>
    <x:row r="115">
      <x:c r="A115" t="str">
        <x:v>SRC-114</x:v>
      </x:c>
      <x:c r="B115" t="str">
        <x:v>Kodak Professional — KODAK PROFESSIONAL T-MAX 400 Film</x:v>
      </x:c>
      <x:c r="C115" t="str">
        <x:v>https://www.kodakprofessional.com/photographers/film/black-white/kodak-professional-t-max-400-film/526</x:v>
      </x:c>
      <x:c r="D115" t="str">
        <x:v>T-MAX 400: panchromatic black-and-white negative film, T-Grain technology, sharpness and tonal performance</x:v>
      </x:c>
      <x:c r="E115" t="str">
        <x:v>официальная страница продукта Kodak Professional</x:v>
      </x:c>
    </x:row>
    <x:row r="116">
      <x:c r="A116" t="str">
        <x:v>SRC-115</x:v>
      </x:c>
      <x:c r="B116" t="str">
        <x:v>ILFORD Photo — Beginners Guide: Processing Film</x:v>
      </x:c>
      <x:c r="C116" t="str">
        <x:v>https://www.ilfordphoto.com/beginners-guide-processing-film/</x:v>
      </x:c>
      <x:c r="D116" t="str">
        <x:v>beginner workflow for processing B&amp;W film: tank, chemistry and practical sequence</x:v>
      </x:c>
      <x:c r="E116" t="str">
        <x:v>официальный практический источник ILFORD</x:v>
      </x:c>
    </x:row>
    <x:row r="117">
      <x:c r="A117" t="str">
        <x:v>SRC-116</x:v>
      </x:c>
      <x:c r="B117" t="str">
        <x:v>ILFORD Photo — Introduction to ILFORD Film Developers</x:v>
      </x:c>
      <x:c r="C117" t="str">
        <x:v>https://www.ilfordphoto.com/beginners-guide-film-developers/</x:v>
      </x:c>
      <x:c r="D117" t="str">
        <x:v>film developers turn exposed film into working negatives; developers affect processing workflow and results</x:v>
      </x:c>
      <x:c r="E117" t="str">
        <x:v>официальный практический источник ILFORD</x:v>
      </x:c>
    </x:row>
    <x:row r="118">
      <x:c r="A118" t="str">
        <x:v>SRC-117</x:v>
      </x:c>
      <x:c r="B118" t="str">
        <x:v>ILFORD Photo — XP2 SUPER 35mm</x:v>
      </x:c>
      <x:c r="C118" t="str">
        <x:v>https://www.ilfordphoto.com/xp2-super-35mm</x:v>
      </x:c>
      <x:c r="D118" t="str">
        <x:v>XP2 SUPER: true black-and-white film, can be processed in C41 chemicals alongside colour negative films</x:v>
      </x:c>
      <x:c r="E118" t="str">
        <x:v>официальная страница продукта ILFORD</x:v>
      </x:c>
    </x:row>
    <x:row r="119">
      <x:c r="A119" t="str">
        <x:v>SRC-118</x:v>
      </x:c>
      <x:c r="B119" t="str">
        <x:v>ILFORD Photo — Processing your first black and white film</x:v>
      </x:c>
      <x:c r="C119" t="str">
        <x:v>https://www.ilfordphoto.com/wp/wp-content/uploads/2017/04/Processing-your-first-black-and-white-film.pdf</x:v>
      </x:c>
      <x:c r="D119" t="str">
        <x:v>small-tank B&amp;W processing sequence; exception of XP2 SUPER as chromogenic C-41 B&amp;W film</x:v>
      </x:c>
      <x:c r="E119" t="str">
        <x:v>официальная PDF-инструкция ILFORD</x:v>
      </x:c>
    </x:row>
    <x:row r="120">
      <x:c r="A120" t="str">
        <x:v>SRC-119</x:v>
      </x:c>
      <x:c r="B120" t="str">
        <x:v>National Archives — Film-Based Negatives and Positives</x:v>
      </x:c>
      <x:c r="C120" t="str">
        <x:v>https://www.archives.gov/preservation/holdings-maintenance/film-based</x:v>
      </x:c>
      <x:c r="D120" t="str">
        <x:v>film base stability and preservation handling for film-based negatives, positives and transparencies</x:v>
      </x:c>
      <x:c r="E120" t="str">
        <x:v>архивный консервационный источник</x:v>
      </x:c>
    </x:row>
    <x:row r="121">
      <x:c r="A121" t="str">
        <x:v>SRC-120</x:v>
      </x:c>
      <x:c r="B121" t="str">
        <x:v>Kodak — Photography History</x:v>
      </x:c>
      <x:c r="C121" t="str">
        <x:v>https://www.kodak.com/en/company/page/photography-history/</x:v>
      </x:c>
      <x:c r="D121" t="str">
        <x:v>1942 KODACOLOR Film announced as the world's first true color negative film for still photography</x:v>
      </x:c>
      <x:c r="E121" t="str">
        <x:v>официальная история Kodak</x:v>
      </x:c>
    </x:row>
    <x:row r="122">
      <x:c r="A122" t="str">
        <x:v>SRC-121</x:v>
      </x:c>
      <x:c r="B122" t="str">
        <x:v>Library of Congress — Dye coupler negatives</x:v>
      </x:c>
      <x:c r="C122" t="str">
        <x:v>https://www.loc.gov/pictures/item/tgm003415/</x:v>
      </x:c>
      <x:c r="D122" t="str">
        <x:v>Kodacolor launched in 1942 as first commercial color negative process in the United States; Ektacolor 1947; dye coupler negatives</x:v>
      </x:c>
      <x:c r="E122" t="str">
        <x:v>библиотечный справочник терминов</x:v>
      </x:c>
    </x:row>
    <x:row r="123">
      <x:c r="A123" t="str">
        <x:v>SRC-122</x:v>
      </x:c>
      <x:c r="B123" t="str">
        <x:v>National Archives — Identifying Motion Picture Film Formats</x:v>
      </x:c>
      <x:c r="C123" t="str">
        <x:v>https://www.archives.gov/preservation/formats/motion-picture-film-identify-formats.html</x:v>
      </x:c>
      <x:c r="D123" t="str">
        <x:v>modern color processes embed dyes/pigments in layers producing cyan, magenta and yellow; color negatives often have orange cast</x:v>
      </x:c>
      <x:c r="E123" t="str">
        <x:v>архивный консервационный источник</x:v>
      </x:c>
    </x:row>
    <x:row r="124">
      <x:c r="A124" t="str">
        <x:v>SRC-123</x:v>
      </x:c>
      <x:c r="B124" t="str">
        <x:v>Kodak — Essential Reference Guide for Filmmakers</x:v>
      </x:c>
      <x:c r="C124" t="str">
        <x:v>https://www.kodak.com/content/products-brochures/Film/kodak-essential-reference-guide-for-filmmakers.pdf</x:v>
      </x:c>
      <x:c r="D124" t="str">
        <x:v>color emulsion layers, color couplers and subtractive dye formation in color film</x:v>
      </x:c>
      <x:c r="E124" t="str">
        <x:v>официальный технический справочник Kodak</x:v>
      </x:c>
    </x:row>
    <x:row r="125">
      <x:c r="A125" t="str">
        <x:v>SRC-124</x:v>
      </x:c>
      <x:c r="B125" t="str">
        <x:v>Kodak — Processing KODAK Motion Picture Films, Module 7</x:v>
      </x:c>
      <x:c r="C125" t="str">
        <x:v>https://www.kodak.com/content/products-brochures/Film/Processing-KODAK-Motion-Picture-Films-Module-7.pdf</x:v>
      </x:c>
      <x:c r="D125" t="str">
        <x:v>residual colored couplers and dye absorptions form masking behavior in color negative film systems</x:v>
      </x:c>
      <x:c r="E125" t="str">
        <x:v>официальный технический документ Kodak</x:v>
      </x:c>
    </x:row>
    <x:row r="126">
      <x:c r="A126" t="str">
        <x:v>SRC-125</x:v>
      </x:c>
      <x:c r="B126" t="str">
        <x:v>National Archives — Photographic Prints in the Still Picture Branch</x:v>
      </x:c>
      <x:c r="C126" t="str">
        <x:v>https://www.archives.gov/research/still-pictures/still-picture-photographic-prints</x:v>
      </x:c>
      <x:c r="D126" t="str">
        <x:v>chromogenic prints are subtractive color processes based on dye couplers forming cyan, magenta or yellow dyes</x:v>
      </x:c>
      <x:c r="E126" t="str">
        <x:v>архивный образовательный источник</x:v>
      </x:c>
    </x:row>
    <x:row r="127">
      <x:c r="A127" t="str">
        <x:v>SRC-126</x:v>
      </x:c>
      <x:c r="B127" t="str">
        <x:v>Kodak — C-41 Color Negative Control Strips</x:v>
      </x:c>
      <x:c r="C127" t="str">
        <x:v>https://www.kodak.com/en/motion/page/c-41-control-strips/</x:v>
      </x:c>
      <x:c r="D127" t="str">
        <x:v>KODAK Control Strips, Process C-41 monitor processing of color negative films in KODAK FLEXICOLOR Chemicals</x:v>
      </x:c>
      <x:c r="E127" t="str">
        <x:v>официальный источник Kodak по C-41</x:v>
      </x:c>
    </x:row>
    <x:row r="128">
      <x:c r="A128" t="str">
        <x:v>SRC-127</x:v>
      </x:c>
      <x:c r="B128" t="str">
        <x:v>Kodak Alaris — Chemicals: Color Negative Film Processing Cycles (C-41)</x:v>
      </x:c>
      <x:c r="C128" t="str">
        <x:v>https://www.kodakprofessional.com/en-gb/taxonomy/term/245</x:v>
      </x:c>
      <x:c r="D128" t="str">
        <x:v>KODAK FLEXICOLOR Chemicals are designed for processing all KODAK Color Negative Films and other compatible films</x:v>
      </x:c>
      <x:c r="E128" t="str">
        <x:v>официальный источник Kodak Alaris</x:v>
      </x:c>
    </x:row>
    <x:row r="129">
      <x:c r="A129" t="str">
        <x:v>SRC-128</x:v>
      </x:c>
      <x:c r="B129" t="str">
        <x:v>Kodak Professional — Color Films</x:v>
      </x:c>
      <x:c r="C129" t="str">
        <x:v>https://kodakprofessional.com/photographers/film/color</x:v>
      </x:c>
      <x:c r="D129" t="str">
        <x:v>current Kodak Professional color negative films and their practical photographic roles</x:v>
      </x:c>
      <x:c r="E129" t="str">
        <x:v>официальная страница Kodak Professional</x:v>
      </x:c>
    </x:row>
    <x:row r="130">
      <x:c r="A130" t="str">
        <x:v>SRC-129</x:v>
      </x:c>
      <x:c r="B130" t="str">
        <x:v>Kodak Professional — PORTRA 400 Film</x:v>
      </x:c>
      <x:c r="C130" t="str">
        <x:v>https://kodakprofessional.com/photographers/film/color/kodak-professional-portra-400-film/516</x:v>
      </x:c>
      <x:c r="D130" t="str">
        <x:v>KODAK PROFESSIONAL PORTRA 400 as high-speed color negative film with fine grain and portrait-oriented color performance</x:v>
      </x:c>
      <x:c r="E130" t="str">
        <x:v>официальная страница продукта Kodak Professional</x:v>
      </x:c>
    </x:row>
    <x:row r="131">
      <x:c r="A131" t="str">
        <x:v>SRC-130</x:v>
      </x:c>
      <x:c r="B131" t="str">
        <x:v>National Archives — Film-Based Negatives and Positives</x:v>
      </x:c>
      <x:c r="C131" t="str">
        <x:v>https://www.archives.gov/preservation/holdings-maintenance/film-based</x:v>
      </x:c>
      <x:c r="D131" t="str">
        <x:v>storage and preservation guidance for film-based negatives and positives including color film and cold storage recommendations</x:v>
      </x:c>
      <x:c r="E131" t="str">
        <x:v>архивный консервационный источник</x:v>
      </x:c>
    </x:row>
    <x:row r="132">
      <x:c r="A132" s="62" t="str">
        <x:v>SRC-131</x:v>
      </x:c>
      <x:c r="B132" s="62" t="str">
        <x:v>National Science and Media Museum — A short history of colour photography</x:v>
      </x:c>
      <x:c r="C132" s="62" t="str">
        <x:v>https://www.scienceandmediamuseum.org.uk/objects-and-stories/history-colour-photography</x:v>
      </x:c>
      <x:c r="D132" s="62" t="str">
        <x:v>Lumière Autochrome: first practical/commercially successful colour photography process; commercial production from 1907; Kodachrome as first commercially successful integral tripack system</x:v>
      </x:c>
      <x:c r="E132" s="62" t="str">
        <x:v>музейный образовательный источник</x:v>
      </x:c>
    </x:row>
    <x:row r="133">
      <x:c r="A133" s="62" t="str">
        <x:v>SRC-132</x:v>
      </x:c>
      <x:c r="B133" s="62" t="str">
        <x:v>The Metropolitan Museum of Art — Original Autochromes Produced Using the First Color Photographic Process</x:v>
      </x:c>
      <x:c r="C133" s="62" t="str">
        <x:v>https://www.metmuseum.org/de/press-releases/original-color-photographs-by-stieglitz-and-steichen-january-25-30-2011-exhibitions</x:v>
      </x:c>
      <x:c r="D133" s="62" t="str">
        <x:v>Autochromes introduced in France in 1907 by Auguste and Louis Lumière; one-of-a-kind color transparencies viewed when backlit</x:v>
      </x:c>
      <x:c r="E133" s="62" t="str">
        <x:v>музейный источник по автохромам</x:v>
      </x:c>
    </x:row>
    <x:row r="134">
      <x:c r="A134" s="62" t="str">
        <x:v>SRC-133</x:v>
      </x:c>
      <x:c r="B134" s="62" t="str">
        <x:v>Kodak — 100 Years of 16mm Film</x:v>
      </x:c>
      <x:c r="C134" s="62" t="str">
        <x:v>https://www.kodak.com/en/motion/page/100-years-of-16mm-film/</x:v>
      </x:c>
      <x:c r="D134" s="62" t="str">
        <x:v>1923: Kodak made amateur motion pictures practical with 16mm reversal film, Cine-Kodak camera and Kodascope projector; 1935 Kodachrome introduced in 16mm</x:v>
      </x:c>
      <x:c r="E134" s="62" t="str">
        <x:v>официальный исторический источник Kodak</x:v>
      </x:c>
    </x:row>
    <x:row r="135">
      <x:c r="A135" s="62" t="str">
        <x:v>SRC-134</x:v>
      </x:c>
      <x:c r="B135" s="62" t="str">
        <x:v>Kodak — History of Film</x:v>
      </x:c>
      <x:c r="C135" s="62" t="str">
        <x:v>https://www.kodak.com/en/motion/page/chronology-of-film/</x:v>
      </x:c>
      <x:c r="D135" s="62" t="str">
        <x:v>Kodachrome introduced in 1935 as first commercially successful amateur color film, initially 16mm; 35mm slides and 8mm home movies followed in 1936</x:v>
      </x:c>
      <x:c r="E135" s="62" t="str">
        <x:v>официальная хронология Kodak</x:v>
      </x:c>
    </x:row>
    <x:row r="136">
      <x:c r="A136" s="62" t="str">
        <x:v>SRC-135</x:v>
      </x:c>
      <x:c r="B136" s="62" t="str">
        <x:v>Kodak — Milestones</x:v>
      </x:c>
      <x:c r="C136" s="62" t="str">
        <x:v>https://www.kodak.com/en/company/page/milestones/</x:v>
      </x:c>
      <x:c r="D136" s="62" t="str">
        <x:v>1935 Kodachrome introduced; 1946 Kodak marketed EKTACHROME Transparency Sheet Film, first Kodak color film photographers could process themselves using chemical kits</x:v>
      </x:c>
      <x:c r="E136" s="62" t="str">
        <x:v>официальные вехи Kodak</x:v>
      </x:c>
    </x:row>
    <x:row r="137">
      <x:c r="A137" s="62" t="str">
        <x:v>SRC-136</x:v>
      </x:c>
      <x:c r="B137" s="62" t="str">
        <x:v>V&amp;A — Colour photography</x:v>
      </x:c>
      <x:c r="C137" s="62" t="str">
        <x:v>https://www.vam.ac.uk/articles/colour-photography</x:v>
      </x:c>
      <x:c r="D137" s="62" t="str">
        <x:v>Autochrome became widely accessible in 1907; Kodachrome introduced in 35mm format in 1936 and replaced Autochrome as a leading colour process</x:v>
      </x:c>
      <x:c r="E137" s="62" t="str">
        <x:v>музейный обзор истории цветной фотографии</x:v>
      </x:c>
    </x:row>
    <x:row r="138">
      <x:c r="A138" s="62" t="str">
        <x:v>SRC-137</x:v>
      </x:c>
      <x:c r="B138" s="62" t="str">
        <x:v>National Archives — Archival Formats: Glossary of Terms</x:v>
      </x:c>
      <x:c r="C138" s="62" t="str">
        <x:v>https://www.archives.gov/preservation/formats/glossary.html</x:v>
      </x:c>
      <x:c r="D138" s="62" t="str">
        <x:v>When used in a camera, reversal stock develops into a positive; glossary also distinguishes color negatives with orange masking</x:v>
      </x:c>
      <x:c r="E138" s="62" t="str">
        <x:v>архивный терминологический источник</x:v>
      </x:c>
    </x:row>
    <x:row r="139">
      <x:c r="A139" s="62" t="str">
        <x:v>SRC-138</x:v>
      </x:c>
      <x:c r="B139" s="62" t="str">
        <x:v>Kodak — EKTACHROME Color Reversal Control Strips Process E-6</x:v>
      </x:c>
      <x:c r="C139" s="62" t="str">
        <x:v>https://www.kodak.com/en/motion/page/ektachrome-color-reversal-control-strips/</x:v>
      </x:c>
      <x:c r="D139" s="62" t="str">
        <x:v>KODAK EKTACHROME control strips monitor processing of color reversal films through Process E-6</x:v>
      </x:c>
      <x:c r="E139" s="62" t="str">
        <x:v>официальный источник Kodak по E-6</x:v>
      </x:c>
    </x:row>
    <x:row r="140">
      <x:c r="A140" s="62" t="str">
        <x:v>SRC-139</x:v>
      </x:c>
      <x:c r="B140" s="62" t="str">
        <x:v>National Archives — Photographs</x:v>
      </x:c>
      <x:c r="C140" s="62" t="str">
        <x:v>https://www.archives.gov/preservation/holdings-maintenance/photographs</x:v>
      </x:c>
      <x:c r="D140" s="62" t="str">
        <x:v>NARA holdings include film-based negatives, transparencies and slides; preservation page links them to photographic processes and handling</x:v>
      </x:c>
      <x:c r="E140" s="62" t="str">
        <x:v>архивный консервационный источник</x:v>
      </x:c>
    </x:row>
    <x:row r="141">
      <x:c r="A141" s="62" t="str">
        <x:v>SRC-140</x:v>
      </x:c>
      <x:c r="B141" s="62" t="str">
        <x:v>Kodak — EKTACHROME E100 Film</x:v>
      </x:c>
      <x:c r="C141" s="62" t="str">
        <x:v>https://www.kodak.com/en/still-film/product/professional/ektachrome-e100-film/</x:v>
      </x:c>
      <x:c r="D141" s="62" t="str">
        <x:v>KODAK EKTACHROME E100 is daylight-balanced color reversal film, ISO 100/21°, designed for E-6 processing</x:v>
      </x:c>
      <x:c r="E141" s="62" t="str">
        <x:v>официальная страница продукта Kodak</x:v>
      </x:c>
    </x:row>
    <x:row r="142">
      <x:c r="A142" s="62" t="str">
        <x:v>SRC-141</x:v>
      </x:c>
      <x:c r="B142" s="62" t="str">
        <x:v>Kodak Moments — Ektachrome 120 FAQs</x:v>
      </x:c>
      <x:c r="C142" s="62" t="str">
        <x:v>https://business.kodakmoments.com/sites/default/files/files/products/Ektachrome_120_FAQs_English.pdf</x:v>
      </x:c>
      <x:c r="D142" s="62" t="str">
        <x:v>Color reversal film has a much narrower exposure range than negative-working films; transparency itself serves as a color reference for scanning</x:v>
      </x:c>
      <x:c r="E142" s="62" t="str">
        <x:v>официальный/лицензионный справочник Kodak Moments</x:v>
      </x:c>
    </x:row>
    <x:row r="143">
      <x:c r="A143" s="62" t="str">
        <x:v>SRC-142</x:v>
      </x:c>
      <x:c r="B143" s="62" t="str">
        <x:v>National Archives — What is the Best Way to Store Negatives and Transparencies?</x:v>
      </x:c>
      <x:c r="C143" s="62" t="str">
        <x:v>https://www.archives.gov/preservation/storage/negatives-transparencies.html</x:v>
      </x:c>
      <x:c r="D143" s="62" t="str">
        <x:v>Guidance on storage materials for negatives and transparencies, including PAT-approved papers/plastics and enclosures</x:v>
      </x:c>
      <x:c r="E143" s="62" t="str">
        <x:v>архивный источник по хранению</x:v>
      </x:c>
    </x:row>
  </x:sheetData>
  <x:pageMargins left="0.7" right="0.7" top="0.75" bottom="0.75" header="0.3" footer="0.3"/>
  <x:tableParts count="1">
    <x:tablePart xmlns:r="http://schemas.openxmlformats.org/officeDocument/2006/relationships" r:id="Rfebf0e29465644bb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style="46" customWidth="1"/>
    <x:col min="2" max="2" width="57.83203125" style="46" customWidth="1"/>
    <x:col min="3" max="3" width="14.6640625" style="46" customWidth="1"/>
    <x:col min="4" max="4" width="28" style="46" customWidth="1"/>
    <x:col min="5" max="5" width="8.1640625" style="46" customWidth="1"/>
    <x:col min="6" max="6" width="10.6640625" style="46" customWidth="1"/>
    <x:col min="7" max="7" width="30.6640625" style="46" customWidth="1"/>
    <x:col min="8" max="8" width="40.1640625" style="46" customWidth="1"/>
  </x:cols>
  <x:sheetData>
    <x:row r="1" s="46" customFormat="1" ht="37" customHeight="1">
      <x:c r="A1" s="47" t="inlineStr">
        <x:is>
          <x:t xml:space="preserve">Точность даты</x:t>
        </x:is>
      </x:c>
      <x:c r="B1" s="47" t="inlineStr">
        <x:is>
          <x:t xml:space="preserve">Статус ветки</x:t>
        </x:is>
      </x:c>
      <x:c r="C1" s="47" t="inlineStr">
        <x:is>
          <x:t xml:space="preserve">Урок</x:t>
        </x:is>
      </x:c>
      <x:c r="D1" s="47" t="inlineStr">
        <x:is>
          <x:t xml:space="preserve">Ветка</x:t>
        </x:is>
      </x:c>
      <x:c r="E1" s="47" t="inlineStr">
        <x:is>
          <x:t xml:space="preserve">Важность</x:t>
        </x:is>
      </x:c>
      <x:c r="F1" s="47" t="inlineStr">
        <x:is>
          <x:t xml:space="preserve">Уверенность</x:t>
        </x:is>
      </x:c>
      <x:c r="G1" s="48" t="inlineStr">
        <x:is>
          <x:t xml:space="preserve">Тип узла</x:t>
        </x:is>
      </x:c>
      <x:c r="H1" s="48" t="inlineStr">
        <x:is>
          <x:t xml:space="preserve">Подветка (детали)</x:t>
        </x:is>
      </x:c>
    </x:row>
    <x:row r="2" s="46" customFormat="1" ht="21" customHeight="1">
      <x:c r="A2" s="4" t="inlineStr">
        <x:is>
          <x:t xml:space="preserve">точная дата</x:t>
        </x:is>
      </x:c>
      <x:c r="B2" s="4" t="inlineStr">
        <x:is>
          <x:t xml:space="preserve">Временная доминирующая линия</x:t>
        </x:is>
      </x:c>
      <x:c r="C2" s="50" t="inlineStr">
        <x:is>
          <x:t xml:space="preserve">PL-001</x:t>
        </x:is>
      </x:c>
      <x:c r="D2" s="4" t="inlineStr">
        <x:is>
          <x:t xml:space="preserve">Оптика / камера-обскура</x:t>
        </x:is>
      </x:c>
      <x:c r="E2" s="4" t="n">
        <x:v>1</x:v>
      </x:c>
      <x:c r="F2" s="4" t="n">
        <x:v>1</x:v>
      </x:c>
      <x:c r="G2" s="8" t="inlineStr">
        <x:is>
          <x:t xml:space="preserve">Фундаментальная предпосылка</x:t>
        </x:is>
      </x:c>
      <x:c r="H2" s="8" t="inlineStr">
        <x:is>
          <x:t xml:space="preserve">Оптика / терминология</x:t>
        </x:is>
      </x:c>
    </x:row>
    <x:row r="3" s="46" customFormat="1" ht="21" customHeight="1">
      <x:c r="A3" s="4" t="inlineStr">
        <x:is>
          <x:t xml:space="preserve">год</x:t>
        </x:is>
      </x:c>
      <x:c r="B3" s="4" t="inlineStr">
        <x:is>
          <x:t xml:space="preserve">Главная линия</x:t>
        </x:is>
      </x:c>
      <x:c r="C3" s="50" t="inlineStr">
        <x:is>
          <x:t xml:space="preserve">PL-002</x:t>
        </x:is>
      </x:c>
      <x:c r="D3" s="4" t="inlineStr">
        <x:is>
          <x:t xml:space="preserve">Оптические инструменты</x:t>
        </x:is>
      </x:c>
      <x:c r="E3" s="4" t="n">
        <x:v>2</x:v>
      </x:c>
      <x:c r="F3" s="4" t="n">
        <x:v>2</x:v>
      </x:c>
      <x:c r="G3" s="8" t="inlineStr">
        <x:is>
          <x:t xml:space="preserve">Технология / процесс</x:t>
        </x:is>
      </x:c>
      <x:c r="H3" s="8" t="inlineStr">
        <x:is>
          <x:t xml:space="preserve">Оптика / камера</x:t>
        </x:is>
      </x:c>
    </x:row>
    <x:row r="4" s="46" customFormat="1" ht="21" customHeight="1">
      <x:c r="A4" s="4" t="inlineStr">
        <x:is>
          <x:t xml:space="preserve">примерно</x:t>
        </x:is>
      </x:c>
      <x:c r="B4" s="4" t="inlineStr">
        <x:is>
          <x:t xml:space="preserve">Главная линия / временная доминирующая линия</x:t>
        </x:is>
      </x:c>
      <x:c r="C4" s="50" t="inlineStr">
        <x:is>
          <x:t xml:space="preserve">PL-003</x:t>
        </x:is>
      </x:c>
      <x:c r="D4" s="4" t="inlineStr">
        <x:is>
          <x:t xml:space="preserve">Фотохимия</x:t>
        </x:is>
      </x:c>
      <x:c r="E4" s="4" t="n">
        <x:v>3</x:v>
      </x:c>
      <x:c r="F4" s="4" t="n">
        <x:v>3</x:v>
      </x:c>
      <x:c r="G4" s="8" t="inlineStr">
        <x:is>
          <x:t xml:space="preserve">Инструмент / устройство</x:t>
        </x:is>
      </x:c>
      <x:c r="H4" s="8" t="inlineStr">
        <x:is>
          <x:t xml:space="preserve">Оптические инструменты / 3D</x:t>
        </x:is>
      </x:c>
    </x:row>
    <x:row r="5" s="46" customFormat="1" ht="21" customHeight="1">
      <x:c r="A5" s="4" t="inlineStr">
        <x:is>
          <x:t xml:space="preserve">диапазон</x:t>
        </x:is>
      </x:c>
      <x:c r="B5" s="4" t="inlineStr">
        <x:is>
          <x:t xml:space="preserve">Исторически важная ограниченная ветка</x:t>
        </x:is>
      </x:c>
      <x:c r="C5" s="50" t="inlineStr">
        <x:is>
          <x:t xml:space="preserve">PL-004</x:t>
        </x:is>
      </x:c>
      <x:c r="D5" s="4" t="inlineStr">
        <x:is>
          <x:t xml:space="preserve">Гелиография</x:t>
        </x:is>
      </x:c>
      <x:c r="E5" s="4" t="n">
        <x:v>4</x:v>
      </x:c>
      <x:c r="F5" s="4" t="n">
        <x:v>4</x:v>
      </x:c>
      <x:c r="G5" s="8" t="inlineStr">
        <x:is>
          <x:t xml:space="preserve">Публикация / объявление</x:t>
        </x:is>
      </x:c>
      <x:c r="H5" s="8" t="inlineStr">
        <x:is>
          <x:t xml:space="preserve">Фотохимия / фиксация</x:t>
        </x:is>
      </x:c>
    </x:row>
    <x:row r="6" s="46" customFormat="1" ht="42" customHeight="1">
      <x:c r="A6" s="4" t="inlineStr">
        <x:is>
          <x:t xml:space="preserve">спорно/уточнить</x:t>
        </x:is>
      </x:c>
      <x:c r="B6" s="4" t="inlineStr">
        <x:is>
          <x:t xml:space="preserve">Исторически важная ограниченная ветка / художественное возрождение</x:t>
        </x:is>
      </x:c>
      <x:c r="C6" s="50" t="inlineStr">
        <x:is>
          <x:t xml:space="preserve">PL-005</x:t>
        </x:is>
      </x:c>
      <x:c r="D6" s="4" t="inlineStr">
        <x:is>
          <x:t xml:space="preserve">Дагеротип</x:t>
        </x:is>
      </x:c>
      <x:c r="E6" s="4" t="n">
        <x:v>5</x:v>
      </x:c>
      <x:c r="F6" s="4" t="n">
        <x:v>5</x:v>
      </x:c>
      <x:c r="G6" s="8" t="inlineStr">
        <x:is>
          <x:t xml:space="preserve">Терминология / язык</x:t>
        </x:is>
      </x:c>
      <x:c r="H6" s="8" t="inlineStr">
        <x:is>
          <x:t xml:space="preserve">Фотохимия / первая фиксация</x:t>
        </x:is>
      </x:c>
    </x:row>
    <x:row r="7" s="46" customFormat="1" ht="42" customHeight="1">
      <x:c r="A7" s="4" t="n"/>
      <x:c r="B7" s="4" t="inlineStr">
        <x:is>
          <x:t xml:space="preserve">Оптическая предпосылка</x:t>
        </x:is>
      </x:c>
      <x:c r="C7" s="50" t="inlineStr">
        <x:is>
          <x:t xml:space="preserve">PL-006</x:t>
        </x:is>
      </x:c>
      <x:c r="D7" s="4" t="inlineStr">
        <x:is>
          <x:t xml:space="preserve">Фотогенный рисунок / фотограмма</x:t>
        </x:is>
      </x:c>
      <x:c r="E7" s="4" t="n"/>
      <x:c r="F7" s="4" t="n"/>
      <x:c r="G7" s="8" t="inlineStr">
        <x:is>
          <x:t xml:space="preserve">Связь / переход</x:t>
        </x:is>
      </x:c>
      <x:c r="H7" s="8" t="inlineStr">
        <x:is>
          <x:t xml:space="preserve">Фотохимия / публикация</x:t>
        </x:is>
      </x:c>
    </x:row>
    <x:row r="8" s="46" customFormat="1" ht="21" customHeight="1">
      <x:c r="A8" s="4" t="n"/>
      <x:c r="B8" s="4" t="inlineStr">
        <x:is>
          <x:t xml:space="preserve">Переходная технология</x:t>
        </x:is>
      </x:c>
      <x:c r="C8" s="50" t="inlineStr">
        <x:is>
          <x:t xml:space="preserve">PL-007</x:t>
        </x:is>
      </x:c>
      <x:c r="D8" s="4" t="inlineStr">
        <x:is>
          <x:t xml:space="preserve">Негатив-позитив</x:t>
        </x:is>
      </x:c>
      <x:c r="E8" s="4" t="n"/>
      <x:c r="F8" s="4" t="n"/>
      <x:c r="G8" s="8" t="inlineStr">
        <x:is>
          <x:t xml:space="preserve">Тиражирование / публикация</x:t>
        </x:is>
      </x:c>
      <x:c r="H8" s="8" t="inlineStr">
        <x:is>
          <x:t xml:space="preserve">Фотохимия / первая фиксация</x:t>
        </x:is>
      </x:c>
    </x:row>
    <x:row r="9" s="46" customFormat="1" ht="42" customHeight="1">
      <x:c r="A9" s="4" t="n"/>
      <x:c r="B9" s="4" t="inlineStr">
        <x:is>
          <x:t xml:space="preserve">Переходная технология / художественное возрождение</x:t>
        </x:is>
      </x:c>
      <x:c r="C9" s="50" t="inlineStr">
        <x:is>
          <x:t xml:space="preserve">PL-008</x:t>
        </x:is>
      </x:c>
      <x:c r="D9" s="4" t="inlineStr">
        <x:is>
          <x:t xml:space="preserve">Фиксаж / терминология</x:t>
        </x:is>
      </x:c>
      <x:c r="E9" s="4" t="n"/>
      <x:c r="F9" s="4" t="n"/>
      <x:c r="G9" s="8" t="inlineStr">
        <x:is>
          <x:t xml:space="preserve">Распространение / коммерциализация</x:t>
        </x:is>
      </x:c>
      <x:c r="H9" s="8" t="inlineStr">
        <x:is>
          <x:t xml:space="preserve">Первая фиксация / проблема постоянства</x:t>
        </x:is>
      </x:c>
    </x:row>
    <x:row r="10" s="46" customFormat="1" ht="21" customHeight="1">
      <x:c r="A10" s="4" t="n"/>
      <x:c r="B10" s="4" t="inlineStr">
        <x:is>
          <x:t xml:space="preserve">Тупиковая / не получила развития</x:t>
        </x:is>
      </x:c>
      <x:c r="C10" s="50" t="inlineStr">
        <x:is>
          <x:t xml:space="preserve">PL-009</x:t>
        </x:is>
      </x:c>
      <x:c r="D10" s="4" t="inlineStr">
        <x:is>
          <x:t xml:space="preserve">Печать / тиражирование</x:t>
        </x:is>
      </x:c>
      <x:c r="E10" s="4" t="n"/>
      <x:c r="F10" s="4" t="n"/>
      <x:c r="G10" s="8" t="inlineStr">
        <x:is>
          <x:t xml:space="preserve">Научное применение / пример</x:t>
        </x:is>
      </x:c>
      <x:c r="H10" s="8" t="inlineStr">
        <x:is>
          <x:t xml:space="preserve">Гелиография / первая сохранившаяся фотография</x:t>
        </x:is>
      </x:c>
    </x:row>
    <x:row r="11" s="46" customFormat="1" ht="21" customHeight="1">
      <x:c r="A11" s="4" t="n"/>
      <x:c r="B11" s="4" t="inlineStr">
        <x:is>
          <x:t xml:space="preserve">Химическая предпосылка</x:t>
        </x:is>
      </x:c>
      <x:c r="C11" s="50" t="inlineStr">
        <x:is>
          <x:t xml:space="preserve">PL-010</x:t>
        </x:is>
      </x:c>
      <x:c r="D11" s="4" t="inlineStr">
        <x:is>
          <x:t xml:space="preserve">Мокрый коллодий</x:t>
        </x:is>
      </x:c>
      <x:c r="E11" s="4" t="n"/>
      <x:c r="F11" s="4" t="n"/>
      <x:c r="G11" s="8" t="inlineStr">
        <x:is>
          <x:t xml:space="preserve">Применение / жанр</x:t>
        </x:is>
      </x:c>
      <x:c r="H11" s="8" t="inlineStr">
        <x:is>
          <x:t xml:space="preserve">Передача идеи / развитие процесса</x:t>
        </x:is>
      </x:c>
    </x:row>
    <x:row r="12" s="46" customFormat="1" ht="21" customHeight="1">
      <x:c r="A12" s="4" t="n"/>
      <x:c r="B12" s="4" t="n"/>
      <x:c r="C12" s="50" t="inlineStr">
        <x:is>
          <x:t xml:space="preserve">PL-011</x:t>
        </x:is>
      </x:c>
      <x:c r="D12" s="4" t="inlineStr">
        <x:is>
          <x:t xml:space="preserve">Уникальный позитив</x:t>
        </x:is>
      </x:c>
      <x:c r="E12" s="4" t="n"/>
      <x:c r="F12" s="4" t="n"/>
      <x:c r="G12" s="8" t="inlineStr">
        <x:is>
          <x:t xml:space="preserve">Ключевой исторический узел</x:t>
        </x:is>
      </x:c>
      <x:c r="H12" s="8" t="inlineStr">
        <x:is>
          <x:t xml:space="preserve">Дагеротип / публичное объявление</x:t>
        </x:is>
      </x:c>
    </x:row>
    <x:row r="13" s="46" customFormat="1" ht="21" customHeight="1">
      <x:c r="A13" s="4" t="n"/>
      <x:c r="B13" s="4" t="n"/>
      <x:c r="C13" s="50" t="inlineStr">
        <x:is>
          <x:t xml:space="preserve">PL-012</x:t>
        </x:is>
      </x:c>
      <x:c r="D13" s="4" t="inlineStr">
        <x:is>
          <x:t xml:space="preserve">Цвет</x:t>
        </x:is>
      </x:c>
      <x:c r="E13" s="4" t="n"/>
      <x:c r="F13" s="4" t="n"/>
      <x:c r="G13" s="8" t="n"/>
      <x:c r="H13" s="8" t="inlineStr">
        <x:is>
          <x:t xml:space="preserve">Дагеротип / распространение</x:t>
        </x:is>
      </x:c>
    </x:row>
    <x:row r="14" s="46" customFormat="1" ht="21" customHeight="1">
      <x:c r="A14" s="4" t="n"/>
      <x:c r="B14" s="4" t="n"/>
      <x:c r="C14" s="50" t="inlineStr">
        <x:is>
          <x:t xml:space="preserve">PL-013</x:t>
        </x:is>
      </x:c>
      <x:c r="D14" s="4" t="inlineStr">
        <x:is>
          <x:t xml:space="preserve">Проекция / распространение</x:t>
        </x:is>
      </x:c>
      <x:c r="E14" s="4" t="n"/>
      <x:c r="F14" s="4" t="n"/>
      <x:c r="G14" s="8" t="n"/>
      <x:c r="H14" s="8" t="inlineStr">
        <x:is>
          <x:t xml:space="preserve">Фотогенный рисунок / публикация</x:t>
        </x:is>
      </x:c>
    </x:row>
    <x:row r="15" s="46" customFormat="1" ht="20" customHeight="1">
      <x:c r="A15" s="4" t="n"/>
      <x:c r="B15" s="4" t="n"/>
      <x:c r="C15" s="50" t="inlineStr">
        <x:is>
          <x:t xml:space="preserve">PL-014</x:t>
        </x:is>
      </x:c>
      <x:c r="D15" s="4" t="n"/>
      <x:c r="E15" s="4" t="n"/>
      <x:c r="F15" s="4" t="n"/>
      <x:c r="G15" s="8" t="n"/>
      <x:c r="H15" s="8" t="inlineStr">
        <x:is>
          <x:t xml:space="preserve">Негатив-позитив / проявление</x:t>
        </x:is>
      </x:c>
    </x:row>
    <x:row r="16" s="46" customFormat="1" ht="20" customHeight="1">
      <x:c r="A16" s="4" t="n"/>
      <x:c r="B16" s="4" t="n"/>
      <x:c r="C16" s="50" t="str">
        <x:v>PL-015</x:v>
      </x:c>
      <x:c r="D16" s="4" t="n"/>
      <x:c r="E16" s="4" t="n"/>
      <x:c r="F16" s="4" t="n"/>
      <x:c r="G16" s="8" t="n"/>
      <x:c r="H16" s="8" t="inlineStr">
        <x:is>
          <x:t xml:space="preserve">Научная фотография</x:t>
        </x:is>
      </x:c>
    </x:row>
    <x:row r="17" s="46" customFormat="1" ht="20" customHeight="1">
      <x:c r="A17" s="4" t="n"/>
      <x:c r="B17" s="4" t="n"/>
      <x:c r="C17" s="50" t="str">
        <x:v>PL-016</x:v>
      </x:c>
      <x:c r="D17" s="4" t="n"/>
      <x:c r="E17" s="4" t="n"/>
      <x:c r="F17" s="4" t="n"/>
      <x:c r="G17" s="8" t="n"/>
      <x:c r="H17" s="8" t="inlineStr">
        <x:is>
          <x:t xml:space="preserve">Цианотипия</x:t>
        </x:is>
      </x:c>
    </x:row>
    <x:row r="18" s="46" customFormat="1" ht="20" customHeight="1">
      <x:c r="A18" s="4" t="n"/>
      <x:c r="B18" s="4" t="n"/>
      <x:c r="C18" s="50" t="str">
        <x:v>PL-017</x:v>
      </x:c>
      <x:c r="D18" s="4" t="n"/>
      <x:c r="E18" s="4" t="n"/>
      <x:c r="F18" s="4" t="n"/>
      <x:c r="G18" s="8" t="n"/>
      <x:c r="H18" s="8" t="inlineStr">
        <x:is>
          <x:t xml:space="preserve">Фотокнига / научная документация</x:t>
        </x:is>
      </x:c>
    </x:row>
    <x:row r="19" s="46" customFormat="1" ht="20" customHeight="1">
      <x:c r="A19" s="4" t="n"/>
      <x:c r="B19" s="4" t="n"/>
      <x:c r="C19" s="4" t="str">
        <x:v>будущие PL</x:v>
      </x:c>
      <x:c r="D19" s="4" t="n"/>
      <x:c r="E19" s="4" t="n"/>
      <x:c r="F19" s="4" t="n"/>
      <x:c r="G19" s="8" t="n"/>
      <x:c r="H19" s="8" t="inlineStr">
        <x:is>
          <x:t xml:space="preserve">Фотокнига / тиражирование</x:t>
        </x:is>
      </x:c>
    </x:row>
    <x:row r="20" s="46" customFormat="1" ht="20" customHeight="1">
      <x:c r="A20" s="4" t="n"/>
      <x:c r="B20" s="4" t="n"/>
      <x:c r="C20" s="4" t="str">
        <x:v>межурочный узел</x:v>
      </x:c>
      <x:c r="D20" s="4" t="n"/>
      <x:c r="E20" s="4" t="n"/>
      <x:c r="F20" s="4" t="n"/>
      <x:c r="G20" s="8" t="n"/>
      <x:c r="H20" s="8" t="inlineStr">
        <x:is>
          <x:t xml:space="preserve">Научная / медицинская фотография</x:t>
        </x:is>
      </x:c>
    </x:row>
    <x:row r="21" s="46" customFormat="1" ht="20" customHeight="1">
      <x:c r="A21" s="4" t="n"/>
      <x:c r="B21" s="4" t="n"/>
      <x:c r="C21" s="4" t="str">
        <x:v>проверить</x:v>
      </x:c>
      <x:c r="D21" s="4" t="n"/>
      <x:c r="E21" s="4" t="n"/>
      <x:c r="F21" s="4" t="n"/>
      <x:c r="G21" s="8" t="n"/>
      <x:c r="H21" s="8" t="inlineStr">
        <x:is>
          <x:t xml:space="preserve">Мокрый коллодий / распространение</x:t>
        </x:is>
      </x:c>
    </x:row>
    <x:row r="22" s="46" customFormat="1" ht="20" customHeight="1">
      <x:c r="A22" s="4" t="n"/>
      <x:c r="B22" s="4" t="n"/>
      <x:c r="C22" s="4" t="n"/>
      <x:c r="D22" s="4" t="n"/>
      <x:c r="E22" s="4" t="n"/>
      <x:c r="F22" s="4" t="n"/>
      <x:c r="G22" s="8" t="n"/>
      <x:c r="H22" s="8" t="inlineStr">
        <x:is>
          <x:t xml:space="preserve">Мокрый коллодий / химия</x:t>
        </x:is>
      </x:c>
    </x:row>
    <x:row r="23" s="46" customFormat="1" ht="20" customHeight="1">
      <x:c r="A23" s="4" t="n"/>
      <x:c r="B23" s="4" t="n"/>
      <x:c r="C23" s="4" t="n"/>
      <x:c r="D23" s="4" t="n"/>
      <x:c r="E23" s="4" t="n"/>
      <x:c r="F23" s="4" t="n"/>
      <x:c r="G23" s="8" t="n"/>
      <x:c r="H23" s="8" t="inlineStr">
        <x:is>
          <x:t xml:space="preserve">Мокрый коллодий / камера</x:t>
        </x:is>
      </x:c>
    </x:row>
    <x:row r="24" s="46" customFormat="1" ht="20" customHeight="1">
      <x:c r="A24" s="4" t="n"/>
      <x:c r="B24" s="4" t="n"/>
      <x:c r="C24" s="4" t="n"/>
      <x:c r="D24" s="4" t="n"/>
      <x:c r="E24" s="4" t="n"/>
      <x:c r="F24" s="4" t="n"/>
      <x:c r="G24" s="8" t="n"/>
      <x:c r="H24" s="8" t="inlineStr">
        <x:is>
          <x:t xml:space="preserve">Уникальный позитив / мокрый коллодий</x:t>
        </x:is>
      </x:c>
    </x:row>
    <x:row r="25" s="46" customFormat="1" ht="20" customHeight="1">
      <x:c r="A25" s="4" t="n"/>
      <x:c r="B25" s="4" t="n"/>
      <x:c r="C25" s="4" t="n"/>
      <x:c r="D25" s="4" t="n"/>
      <x:c r="E25" s="4" t="n"/>
      <x:c r="F25" s="4" t="n"/>
      <x:c r="G25" s="8" t="n"/>
      <x:c r="H25" s="8" t="inlineStr">
        <x:is>
          <x:t xml:space="preserve">Мокрый коллодий + печать</x:t>
        </x:is>
      </x:c>
    </x:row>
    <x:row r="26" s="46" customFormat="1" ht="20" customHeight="1">
      <x:c r="A26" s="4" t="n"/>
      <x:c r="B26" s="4" t="n"/>
      <x:c r="C26" s="4" t="n"/>
      <x:c r="D26" s="4" t="n"/>
      <x:c r="E26" s="4" t="n"/>
      <x:c r="F26" s="4" t="n"/>
      <x:c r="G26" s="8" t="n"/>
      <x:c r="H26" s="8" t="inlineStr">
        <x:is>
          <x:t xml:space="preserve">Уникальный позитив / массовый портрет</x:t>
        </x:is>
      </x:c>
    </x:row>
    <x:row r="27" s="46" customFormat="1" ht="20" customHeight="1">
      <x:c r="A27" s="4" t="n"/>
      <x:c r="B27" s="4" t="n"/>
      <x:c r="C27" s="4" t="n"/>
      <x:c r="D27" s="4" t="n"/>
      <x:c r="E27" s="4" t="n"/>
      <x:c r="F27" s="4" t="n"/>
      <x:c r="G27" s="8" t="n"/>
      <x:c r="H27" s="8" t="inlineStr">
        <x:is>
          <x:t xml:space="preserve">Сухие желатиновые пластины / химия</x:t>
        </x:is>
      </x:c>
    </x:row>
    <x:row r="28" s="46" customFormat="1" ht="20" customHeight="1">
      <x:c r="A28" s="4" t="n"/>
      <x:c r="B28" s="4" t="n"/>
      <x:c r="C28" s="4" t="n"/>
      <x:c r="D28" s="4" t="n"/>
      <x:c r="E28" s="4" t="n"/>
      <x:c r="F28" s="4" t="n"/>
      <x:c r="G28" s="8" t="n"/>
      <x:c r="H28" s="8" t="inlineStr">
        <x:is>
          <x:t xml:space="preserve">Сухие желатиновые пластины / коммерциализация</x:t>
        </x:is>
      </x:c>
    </x:row>
    <x:row r="29" s="46" customFormat="1" ht="20" customHeight="1">
      <x:c r="A29" s="4" t="n"/>
      <x:c r="B29" s="4" t="n"/>
      <x:c r="C29" s="4" t="n"/>
      <x:c r="D29" s="4" t="n"/>
      <x:c r="E29" s="4" t="n"/>
      <x:c r="F29" s="4" t="n"/>
      <x:c r="G29" s="8" t="n"/>
      <x:c r="H29" s="8" t="inlineStr">
        <x:is>
          <x:t xml:space="preserve">Сухие желатиновые пластины / повышение чувствительности</x:t>
        </x:is>
      </x:c>
    </x:row>
    <x:row r="30" s="46" customFormat="1" ht="20" customHeight="1">
      <x:c r="A30" s="4" t="n"/>
      <x:c r="B30" s="4" t="n"/>
      <x:c r="C30" s="4" t="n"/>
      <x:c r="D30" s="4" t="n"/>
      <x:c r="E30" s="4" t="n"/>
      <x:c r="F30" s="4" t="n"/>
      <x:c r="G30" s="8" t="n"/>
      <x:c r="H30" s="8" t="inlineStr">
        <x:is>
          <x:t xml:space="preserve">Сухие желатиновые пластины / переход от мокрого коллодия</x:t>
        </x:is>
      </x:c>
    </x:row>
    <x:row r="31" s="46" customFormat="1" ht="20" customHeight="1">
      <x:c r="A31" s="4" t="n"/>
      <x:c r="B31" s="4" t="n"/>
      <x:c r="C31" s="4" t="n"/>
      <x:c r="D31" s="4" t="n"/>
      <x:c r="E31" s="4" t="n"/>
      <x:c r="F31" s="4" t="n"/>
      <x:c r="G31" s="8" t="n"/>
      <x:c r="H31" s="8" t="inlineStr">
        <x:is>
          <x:t xml:space="preserve">Сухие желатиновые пластины / скорость и движение</x:t>
        </x:is>
      </x:c>
    </x:row>
    <x:row r="32" s="46" customFormat="1" ht="20" customHeight="1">
      <x:c r="A32" s="4" t="n"/>
      <x:c r="B32" s="4" t="n"/>
      <x:c r="C32" s="4" t="n"/>
      <x:c r="D32" s="4" t="n"/>
      <x:c r="E32" s="4" t="n"/>
      <x:c r="F32" s="4" t="n"/>
      <x:c r="G32" s="8" t="n"/>
      <x:c r="H32" s="8" t="inlineStr">
        <x:is>
          <x:t xml:space="preserve">Сухие желатиновые пластины / американская индустрия</x:t>
        </x:is>
      </x:c>
    </x:row>
    <x:row r="33" s="46" customFormat="1" ht="20" customHeight="1">
      <x:c r="A33" s="4" t="n"/>
      <x:c r="B33" s="4" t="n"/>
      <x:c r="C33" s="4" t="n"/>
      <x:c r="D33" s="4" t="n"/>
      <x:c r="E33" s="4" t="n"/>
      <x:c r="F33" s="4" t="n"/>
      <x:c r="G33" s="8" t="n"/>
      <x:c r="H33" s="8" t="inlineStr">
        <x:is>
          <x:t xml:space="preserve">Сухие желатиновые пластины / бизнес и масштабирование</x:t>
        </x:is>
      </x:c>
    </x:row>
    <x:row r="34" s="46" customFormat="1" ht="20" customHeight="1">
      <x:c r="A34" s="4" t="n"/>
      <x:c r="B34" s="4" t="n"/>
      <x:c r="C34" s="4" t="n"/>
      <x:c r="D34" s="4" t="n"/>
      <x:c r="E34" s="4" t="n"/>
      <x:c r="F34" s="4" t="n"/>
      <x:c r="G34" s="8" t="n"/>
      <x:c r="H34" s="8" t="inlineStr">
        <x:is>
          <x:t xml:space="preserve">Сухие желатиновые пластины / доминирующая практика</x:t>
        </x:is>
      </x:c>
    </x:row>
    <x:row r="35" s="46" customFormat="1" ht="20" customHeight="1">
      <x:c r="A35" s="4" t="n"/>
      <x:c r="B35" s="4" t="n"/>
      <x:c r="C35" s="4" t="n"/>
      <x:c r="D35" s="4" t="n"/>
      <x:c r="E35" s="4" t="n"/>
      <x:c r="F35" s="4" t="n"/>
      <x:c r="G35" s="8" t="n"/>
      <x:c r="H35" s="8" t="inlineStr">
        <x:is>
          <x:t xml:space="preserve">Сухие желатиновые пластины / мобильность</x:t>
        </x:is>
      </x:c>
    </x:row>
    <x:row r="36" s="46" customFormat="1" ht="20" customHeight="1">
      <x:c r="A36" s="4" t="n"/>
      <x:c r="B36" s="4" t="n"/>
      <x:c r="C36" s="4" t="n"/>
      <x:c r="D36" s="4" t="n"/>
      <x:c r="E36" s="4" t="n"/>
      <x:c r="F36" s="4" t="n"/>
      <x:c r="G36" s="8" t="n"/>
      <x:c r="H36" s="8" t="inlineStr">
        <x:is>
          <x:t xml:space="preserve">Сухие желатиновые пластины / мост к плёнке</x:t>
        </x:is>
      </x:c>
    </x:row>
    <x:row r="37" s="46" customFormat="1" ht="20" customHeight="1">
      <x:c r="A37" s="4" t="n"/>
      <x:c r="B37" s="4" t="n"/>
      <x:c r="C37" s="4" t="n"/>
      <x:c r="D37" s="4" t="n"/>
      <x:c r="E37" s="4" t="n"/>
      <x:c r="F37" s="4" t="n"/>
      <x:c r="G37" s="8" t="n"/>
      <x:c r="H37" s="8" t="inlineStr">
        <x:is>
          <x:t xml:space="preserve">Рулонная плёнка / бизнес-переход</x:t>
        </x:is>
      </x:c>
    </x:row>
    <x:row r="38" s="46" customFormat="1" ht="20" customHeight="1">
      <x:c r="A38" s="4" t="n"/>
      <x:c r="B38" s="4" t="n"/>
      <x:c r="C38" s="4" t="n"/>
      <x:c r="D38" s="4" t="n"/>
      <x:c r="E38" s="4" t="n"/>
      <x:c r="F38" s="4" t="n"/>
      <x:c r="G38" s="8" t="n"/>
      <x:c r="H38" s="8" t="inlineStr">
        <x:is>
          <x:t xml:space="preserve">Рулонная плёнка / держатель</x:t>
        </x:is>
      </x:c>
    </x:row>
    <x:row r="39" s="46" customFormat="1" ht="14" customHeight="1">
      <x:c r="A39" s="8" t="n"/>
      <x:c r="B39" s="8" t="n"/>
      <x:c r="C39" s="8" t="n"/>
      <x:c r="D39" s="8" t="n"/>
      <x:c r="E39" s="8" t="n"/>
      <x:c r="F39" s="8" t="n"/>
      <x:c r="G39" s="8" t="n"/>
      <x:c r="H39" s="8" t="inlineStr">
        <x:is>
          <x:t xml:space="preserve">Рулонная плёнка / бумажная основа</x:t>
        </x:is>
      </x:c>
    </x:row>
    <x:row r="40" s="46" customFormat="1" ht="14" customHeight="1">
      <x:c r="A40" s="8" t="n"/>
      <x:c r="B40" s="8" t="n"/>
      <x:c r="C40" s="8" t="n"/>
      <x:c r="D40" s="8" t="n"/>
      <x:c r="E40" s="8" t="n"/>
      <x:c r="F40" s="8" t="n"/>
      <x:c r="G40" s="8" t="n"/>
      <x:c r="H40" s="8" t="inlineStr">
        <x:is>
          <x:t xml:space="preserve">Рулонная плёнка / целлулоидная основа</x:t>
        </x:is>
      </x:c>
    </x:row>
    <x:row r="41" s="46" customFormat="1" ht="14" customHeight="1">
      <x:c r="A41" s="8" t="n"/>
      <x:c r="B41" s="8" t="n"/>
      <x:c r="C41" s="8" t="n"/>
      <x:c r="D41" s="8" t="n"/>
      <x:c r="E41" s="8" t="n"/>
      <x:c r="F41" s="8" t="n"/>
      <x:c r="G41" s="8" t="n"/>
      <x:c r="H41" s="8" t="inlineStr">
        <x:is>
          <x:t xml:space="preserve">Рулонная плёнка / Kodak camera</x:t>
        </x:is>
      </x:c>
    </x:row>
    <x:row r="42" s="46" customFormat="1" ht="14" customHeight="1">
      <x:c r="A42" s="8" t="n"/>
      <x:c r="B42" s="8" t="n"/>
      <x:c r="C42" s="8" t="n"/>
      <x:c r="D42" s="8" t="n"/>
      <x:c r="E42" s="8" t="n"/>
      <x:c r="F42" s="8" t="n"/>
      <x:c r="G42" s="8" t="n"/>
      <x:c r="H42" s="8" t="inlineStr">
        <x:is>
          <x:t xml:space="preserve">Рулонная плёнка / сервисная модель</x:t>
        </x:is>
      </x:c>
    </x:row>
    <x:row r="43" s="46" customFormat="1" ht="14" customHeight="1">
      <x:c r="A43" s="8" t="n"/>
      <x:c r="B43" s="8" t="n"/>
      <x:c r="C43" s="8" t="n"/>
      <x:c r="D43" s="8" t="n"/>
      <x:c r="E43" s="8" t="n"/>
      <x:c r="F43" s="8" t="n"/>
      <x:c r="G43" s="8" t="n"/>
      <x:c r="H43" s="8" t="inlineStr">
        <x:is>
          <x:t xml:space="preserve">Рулонная плёнка / патент и бренд</x:t>
        </x:is>
      </x:c>
    </x:row>
    <x:row r="44" s="46" customFormat="1" ht="14" customHeight="1">
      <x:c r="A44" s="8" t="n"/>
      <x:c r="B44" s="8" t="n"/>
      <x:c r="C44" s="8" t="n"/>
      <x:c r="D44" s="8" t="n"/>
      <x:c r="E44" s="8" t="n"/>
      <x:c r="F44" s="8" t="n"/>
      <x:c r="G44" s="8" t="n"/>
      <x:c r="H44" s="8" t="inlineStr">
        <x:is>
          <x:t xml:space="preserve">Рулонная плёнка / прозрачная плёнка</x:t>
        </x:is>
      </x:c>
    </x:row>
    <x:row r="45" s="46" customFormat="1" ht="14" customHeight="1">
      <x:c r="A45" s="8" t="n"/>
      <x:c r="B45" s="8" t="n"/>
      <x:c r="C45" s="8" t="n"/>
      <x:c r="D45" s="8" t="n"/>
      <x:c r="E45" s="8" t="n"/>
      <x:c r="F45" s="8" t="n"/>
      <x:c r="G45" s="8" t="n"/>
      <x:c r="H45" s="8" t="inlineStr">
        <x:is>
          <x:t xml:space="preserve">Рулонная плёнка / дневная перезарядка</x:t>
        </x:is>
      </x:c>
    </x:row>
    <x:row r="46" s="46" customFormat="1" ht="14" customHeight="1">
      <x:c r="A46" s="8" t="n"/>
      <x:c r="B46" s="8" t="n"/>
      <x:c r="C46" s="8" t="n"/>
      <x:c r="D46" s="8" t="n"/>
      <x:c r="E46" s="8" t="n"/>
      <x:c r="F46" s="8" t="n"/>
      <x:c r="G46" s="8" t="n"/>
      <x:c r="H46" s="8" t="inlineStr">
        <x:is>
          <x:t xml:space="preserve">Рулонная плёнка / массовая фотография</x:t>
        </x:is>
      </x:c>
    </x:row>
    <x:row r="47" s="46" customFormat="1" ht="14" customHeight="1">
      <x:c r="H47" s="8" t="inlineStr">
        <x:is>
          <x:t xml:space="preserve">Brownie / доступная камера</x:t>
        </x:is>
      </x:c>
    </x:row>
    <x:row r="48" s="46" customFormat="1" ht="14" customHeight="1">
      <x:c r="H48" s="8" t="inlineStr">
        <x:is>
          <x:t xml:space="preserve">Brownie / цена и массовый рынок</x:t>
        </x:is>
      </x:c>
    </x:row>
    <x:row r="49" s="46" customFormat="1" ht="14" customHeight="1">
      <x:c r="H49" s="8" t="inlineStr">
        <x:is>
          <x:t xml:space="preserve">Brownie / детская аудитория и реклама</x:t>
        </x:is>
      </x:c>
    </x:row>
    <x:row r="50" s="46" customFormat="1" ht="14" customHeight="1">
      <x:c r="H50" s="8" t="inlineStr">
        <x:is>
          <x:t xml:space="preserve">Brownie / 120 roll film</x:t>
        </x:is>
      </x:c>
    </x:row>
    <x:row r="51" s="46" customFormat="1" ht="14" customHeight="1">
      <x:c r="H51" s="8" t="inlineStr">
        <x:is>
          <x:t xml:space="preserve">Snapshot-культура / семейный альбом</x:t>
        </x:is>
      </x:c>
    </x:row>
    <x:row r="52" s="46" customFormat="1" ht="14" customHeight="1">
      <x:c r="H52" s="8" t="inlineStr">
        <x:is>
          <x:t xml:space="preserve">Snapshot-культура / любительская практика</x:t>
        </x:is>
      </x:c>
    </x:row>
    <x:row r="53" s="46" customFormat="1" ht="14" customHeight="1">
      <x:c r="H53" s="8" t="inlineStr">
        <x:is>
          <x:t xml:space="preserve">Snapshot-культура / сервисная обработка</x:t>
        </x:is>
      </x:c>
    </x:row>
    <x:row r="54" s="46" customFormat="1" ht="14" customHeight="1">
      <x:c r="H54" s="8" t="inlineStr">
        <x:is>
          <x:t xml:space="preserve">Brownie / долгий жизненный цикл</x:t>
        </x:is>
      </x:c>
    </x:row>
    <x:row r="55" s="46" customFormat="1" ht="14" customHeight="1">
      <x:c r="H55" s="8" t="inlineStr">
        <x:is>
          <x:t xml:space="preserve">Snapshot-культура / культурный архив</x:t>
        </x:is>
      </x:c>
    </x:row>
    <x:row r="56" s="46" customFormat="1" ht="14" customHeight="1">
      <x:c r="H56" s="8" t="inlineStr">
        <x:is>
          <x:t xml:space="preserve">Brownie / мост к 35 мм</x:t>
        </x:is>
      </x:c>
    </x:row>
    <x:row r="57" s="46" customFormat="1" ht="14" customHeight="1">
      <x:c r="H57" s="49" t="inlineStr">
        <x:is>
          <x:t xml:space="preserve">35 мм / прозрачная рулонная плёнка</x:t>
        </x:is>
      </x:c>
    </x:row>
    <x:row r="58" s="46" customFormat="1" ht="14" customHeight="1">
      <x:c r="H58" s="49" t="inlineStr">
        <x:is>
          <x:t xml:space="preserve">35 мм / киноистоки</x:t>
        </x:is>
      </x:c>
    </x:row>
    <x:row r="59" s="46" customFormat="1" ht="14" customHeight="1">
      <x:c r="H59" s="49" t="inlineStr">
        <x:is>
          <x:t xml:space="preserve">35 мм / ширина и перфорация</x:t>
        </x:is>
      </x:c>
    </x:row>
    <x:row r="60" s="46" customFormat="1" ht="14" customHeight="1">
      <x:c r="H60" s="49" t="inlineStr">
        <x:is>
          <x:t xml:space="preserve">35 мм / Kinetoscope</x:t>
        </x:is>
      </x:c>
    </x:row>
    <x:row r="61" s="46" customFormat="1" ht="14" customHeight="1">
      <x:c r="H61" s="49" t="inlineStr">
        <x:is>
          <x:t xml:space="preserve">35 мм / международный стандарт</x:t>
        </x:is>
      </x:c>
    </x:row>
    <x:row r="62" s="46" customFormat="1" ht="14" customHeight="1">
      <x:c r="H62" s="49" t="inlineStr">
        <x:is>
          <x:t xml:space="preserve">35 мм / 24×36</x:t>
        </x:is>
      </x:c>
    </x:row>
    <x:row r="63" s="46" customFormat="1" ht="14" customHeight="1">
      <x:c r="H63" s="49" t="inlineStr">
        <x:is>
          <x:t xml:space="preserve">35 мм / репортажность</x:t>
        </x:is>
      </x:c>
    </x:row>
    <x:row r="64" s="46" customFormat="1" ht="14" customHeight="1">
      <x:c r="H64" s="49" t="inlineStr">
        <x:is>
          <x:t xml:space="preserve">35 мм / коммерциализация Leica</x:t>
        </x:is>
      </x:c>
    </x:row>
    <x:row r="65" s="46" customFormat="1" ht="14" customHeight="1">
      <x:c r="H65" s="49" t="inlineStr">
        <x:is>
          <x:t xml:space="preserve">35 мм / мост к Leica I</x:t>
        </x:is>
      </x:c>
    </x:row>
    <x:row r="66" s="46" customFormat="1" ht="14" customHeight="1">
      <x:c r="H66" s="49" t="inlineStr">
        <x:is>
          <x:t xml:space="preserve">35 мм / 135 cartridge</x:t>
        </x:is>
      </x:c>
    </x:row>
    <x:row r="67" s="46" customFormat="1" ht="14" customHeight="1">
      <x:c r="H67" s="49" t="inlineStr">
        <x:is>
          <x:t xml:space="preserve">Leica I / прототип</x:t>
        </x:is>
      </x:c>
    </x:row>
    <x:row r="68" s="46" customFormat="1" ht="14" customHeight="1">
      <x:c r="H68" s="49" t="inlineStr">
        <x:is>
          <x:t xml:space="preserve">Leica I / проверочная серия</x:t>
        </x:is>
      </x:c>
    </x:row>
    <x:row r="69" s="46" customFormat="1" ht="14" customHeight="1">
      <x:c r="H69" s="49" t="inlineStr">
        <x:is>
          <x:t xml:space="preserve">Leica I / начало производства</x:t>
        </x:is>
      </x:c>
    </x:row>
    <x:row r="70" s="46" customFormat="1" ht="14" customHeight="1">
      <x:c r="H70" s="49" t="inlineStr">
        <x:is>
          <x:t xml:space="preserve">Leica I / публичный дебют</x:t>
        </x:is>
      </x:c>
    </x:row>
    <x:row r="71" s="46" customFormat="1" ht="14" customHeight="1">
      <x:c r="H71" s="49" t="inlineStr">
        <x:is>
          <x:t xml:space="preserve">Leica I / компактная камера</x:t>
        </x:is>
      </x:c>
    </x:row>
    <x:row r="72" s="46" customFormat="1" ht="14" customHeight="1">
      <x:c r="H72" s="49" t="inlineStr">
        <x:is>
          <x:t xml:space="preserve">Leica I / оптика и Elmar</x:t>
        </x:is>
      </x:c>
    </x:row>
    <x:row r="73" s="46" customFormat="1" ht="14" customHeight="1">
      <x:c r="H73" s="49" t="inlineStr">
        <x:is>
          <x:t xml:space="preserve">Leica I / массовое принятие</x:t>
        </x:is>
      </x:c>
    </x:row>
    <x:row r="74" s="46" customFormat="1" ht="14" customHeight="1">
      <x:c r="H74" s="49" t="inlineStr">
        <x:is>
          <x:t xml:space="preserve">Leica I / новая визуальная практика</x:t>
        </x:is>
      </x:c>
    </x:row>
    <x:row r="75" s="46" customFormat="1" ht="14" customHeight="1">
      <x:c r="H75" s="49" t="inlineStr">
        <x:is>
          <x:t xml:space="preserve">Leica I / сменные объективы</x:t>
        </x:is>
      </x:c>
    </x:row>
    <x:row r="76" s="46" customFormat="1" ht="14" customHeight="1">
      <x:c r="H76" s="49" t="inlineStr">
        <x:is>
          <x:t xml:space="preserve">Leica I / мост к дальномерной системе</x:t>
        </x:is>
      </x:c>
    </x:row>
    <x:row r="77" s="46" customFormat="1" ht="14" customHeight="1">
      <x:c r="H77" s="49" t="inlineStr">
        <x:is>
          <x:t xml:space="preserve">Плёнка как материал / прозрачная основа</x:t>
        </x:is>
      </x:c>
    </x:row>
    <x:row r="78" s="46" customFormat="1" ht="14" customHeight="1">
      <x:c r="H78" s="49" t="inlineStr">
        <x:is>
          <x:t xml:space="preserve">Плёнка как материал / нитратная основа</x:t>
        </x:is>
      </x:c>
    </x:row>
    <x:row r="79" s="46" customFormat="1" ht="28" customHeight="1">
      <x:c r="H79" s="49" t="inlineStr">
        <x:is>
          <x:t xml:space="preserve">Плёнка как материал / промышленное производство основы</x:t>
        </x:is>
      </x:c>
    </x:row>
    <x:row r="80" s="46" customFormat="1" ht="28" customHeight="1">
      <x:c r="H80" s="49" t="inlineStr">
        <x:is>
          <x:t xml:space="preserve">Плёнка как материал / механическая стабильность</x:t>
        </x:is>
      </x:c>
    </x:row>
    <x:row r="81" s="46" customFormat="1" ht="14" customHeight="1">
      <x:c r="H81" s="49" t="inlineStr">
        <x:is>
          <x:t xml:space="preserve">Плёнка как материал / safety film</x:t>
        </x:is>
      </x:c>
    </x:row>
    <x:row r="82" s="46" customFormat="1" ht="28" customHeight="1">
      <x:c r="H82" s="49" t="inlineStr">
        <x:is>
          <x:t xml:space="preserve">Плёнка как материал / ацетатная основа и хранение</x:t>
        </x:is>
      </x:c>
    </x:row>
    <x:row r="83" s="46" customFormat="1" ht="14" customHeight="1">
      <x:c r="H83" s="49" t="inlineStr">
        <x:is>
          <x:t xml:space="preserve">Плёнка как материал / структура слоя</x:t>
        </x:is>
      </x:c>
    </x:row>
    <x:row r="84" s="46" customFormat="1" ht="28" customHeight="1">
      <x:c r="H84" s="49" t="inlineStr">
        <x:is>
          <x:t xml:space="preserve">Плёнка как материал / серебряные соли и желатин</x:t>
        </x:is>
      </x:c>
    </x:row>
    <x:row r="85" s="46" customFormat="1" ht="28" customHeight="1">
      <x:c r="H85" s="49" t="inlineStr">
        <x:is>
          <x:t xml:space="preserve">Плёнка как материал / скрытое изображение и обработка</x:t>
        </x:is>
      </x:c>
    </x:row>
    <x:row r="86" s="46" customFormat="1" ht="28" customHeight="1">
      <x:c r="H86" s="49" t="inlineStr">
        <x:is>
          <x:t xml:space="preserve">Плёнка как материал / чувствительность и зерно</x:t>
        </x:is>
      </x:c>
    </x:row>
    <x:row r="87" s="46" customFormat="1" ht="28" customHeight="1">
      <x:c r="H87" s="49" t="inlineStr">
        <x:is>
          <x:t xml:space="preserve">Плёнка как материал / защитные и служебные слои</x:t>
        </x:is>
      </x:c>
    </x:row>
    <x:row r="88">
      <x:c r="H88" s="49" t="inlineStr">
        <x:is>
          <x:t xml:space="preserve">Эмульсия / желатино-бромидный слой</x:t>
        </x:is>
      </x:c>
    </x:row>
    <x:row r="89">
      <x:c r="H89" s="49" t="inlineStr">
        <x:is>
          <x:t xml:space="preserve">Эмульсия / определение</x:t>
        </x:is>
      </x:c>
    </x:row>
    <x:row r="90">
      <x:c r="H90" s="49" t="inlineStr">
        <x:is>
          <x:t xml:space="preserve">Эмульсия / слои фотографического объекта</x:t>
        </x:is>
      </x:c>
    </x:row>
    <x:row r="91">
      <x:c r="H91" s="49" t="inlineStr">
        <x:is>
          <x:t xml:space="preserve">Эмульсия / скрытое изображение</x:t>
        </x:is>
      </x:c>
    </x:row>
    <x:row r="92">
      <x:c r="H92" s="49" t="inlineStr">
        <x:is>
          <x:t xml:space="preserve">Эмульсия / проявление</x:t>
        </x:is>
      </x:c>
    </x:row>
    <x:row r="93">
      <x:c r="H93" s="49" t="inlineStr">
        <x:is>
          <x:t xml:space="preserve">Эмульсия / фиксация</x:t>
        </x:is>
      </x:c>
    </x:row>
    <x:row r="94">
      <x:c r="H94" s="49" t="inlineStr">
        <x:is>
          <x:t xml:space="preserve">Эмульсия / повышение чувствительности</x:t>
        </x:is>
      </x:c>
    </x:row>
    <x:row r="95">
      <x:c r="H95" s="49" t="inlineStr">
        <x:is>
          <x:t xml:space="preserve">Эмульсия / фабричное нанесение</x:t>
        </x:is>
      </x:c>
    </x:row>
    <x:row r="96">
      <x:c r="H96" s="49" t="inlineStr">
        <x:is>
          <x:t xml:space="preserve">Эмульсия / фотобумага и developing-out print</x:t>
        </x:is>
      </x:c>
    </x:row>
    <x:row r="97">
      <x:c r="H97" s="49" t="inlineStr">
        <x:is>
          <x:t xml:space="preserve">Эмульсия / панхроматическая чувствительность</x:t>
        </x:is>
      </x:c>
    </x:row>
    <x:row r="98">
      <x:c r="H98" s="49" t="inlineStr">
        <x:is>
          <x:t xml:space="preserve">Эмульсия / чувствительность и зерно</x:t>
        </x:is>
      </x:c>
    </x:row>
    <x:row r="99">
      <x:c r="H99" s="49" t="inlineStr">
        <x:is>
          <x:t xml:space="preserve">Негатив-позитив / тональная инверсия</x:t>
        </x:is>
      </x:c>
    </x:row>
    <x:row r="100">
      <x:c r="H100" s="49" t="inlineStr">
        <x:is>
          <x:t xml:space="preserve">Негатив-позитив / бумажный негатив</x:t>
        </x:is>
      </x:c>
    </x:row>
    <x:row r="101">
      <x:c r="H101" s="49" t="inlineStr">
        <x:is>
          <x:t xml:space="preserve">Негатив-позитив / терминология</x:t>
        </x:is>
      </x:c>
    </x:row>
    <x:row r="102">
      <x:c r="H102" s="49" t="inlineStr">
        <x:is>
          <x:t xml:space="preserve">Негатив-позитив / калотип</x:t>
        </x:is>
      </x:c>
    </x:row>
    <x:row r="103">
      <x:c r="H103" s="49" t="inlineStr">
        <x:is>
          <x:t xml:space="preserve">Негатив-позитив / множественные отпечатки</x:t>
        </x:is>
      </x:c>
    </x:row>
    <x:row r="104">
      <x:c r="H104" s="49" t="inlineStr">
        <x:is>
          <x:t xml:space="preserve">Негатив-позитив / позитивная печать</x:t>
        </x:is>
      </x:c>
    </x:row>
    <x:row r="105">
      <x:c r="H105" s="49" t="inlineStr">
        <x:is>
          <x:t xml:space="preserve">Негатив-позитив / стеклянный негатив</x:t>
        </x:is>
      </x:c>
    </x:row>
    <x:row r="106">
      <x:c r="H106" s="49" t="inlineStr">
        <x:is>
          <x:t xml:space="preserve">Негатив-позитив / массовый портрет</x:t>
        </x:is>
      </x:c>
    </x:row>
    <x:row r="107">
      <x:c r="H107" s="49" t="inlineStr">
        <x:is>
          <x:t xml:space="preserve">Негатив-позитив / плёночный негатив</x:t>
        </x:is>
      </x:c>
    </x:row>
    <x:row r="108">
      <x:c r="H108" s="49" t="inlineStr">
        <x:is>
          <x:t xml:space="preserve">Негатив-позитив / позитив на бумаге</x:t>
        </x:is>
      </x:c>
    </x:row>
    <x:row r="109">
      <x:c r="H109" s="49" t="inlineStr">
        <x:is>
          <x:t xml:space="preserve">Негатив-позитив / позитивная прозрачность</x:t>
        </x:is>
      </x:c>
    </x:row>
    <x:row r="110">
      <x:c r="H110" s="49" t="inlineStr">
        <x:is>
          <x:t xml:space="preserve">Позитив / прямой позитив</x:t>
        </x:is>
      </x:c>
    </x:row>
    <x:row r="111">
      <x:c r="H111" s="49" t="inlineStr">
        <x:is>
          <x:t xml:space="preserve">Позитив / соляная печать</x:t>
        </x:is>
      </x:c>
    </x:row>
    <x:row r="112">
      <x:c r="H112" s="49" t="inlineStr">
        <x:is>
          <x:t xml:space="preserve">Позитив / фотокнига и публикация</x:t>
        </x:is>
      </x:c>
    </x:row>
    <x:row r="113">
      <x:c r="H113" s="49" t="inlineStr">
        <x:is>
          <x:t xml:space="preserve">Позитив / альбуминовая печать</x:t>
        </x:is>
      </x:c>
    </x:row>
    <x:row r="114">
      <x:c r="H114" s="49" t="inlineStr">
        <x:is>
          <x:t xml:space="preserve">Позитив / printing-out paper</x:t>
        </x:is>
      </x:c>
    </x:row>
    <x:row r="115">
      <x:c r="H115" s="49" t="inlineStr">
        <x:is>
          <x:t xml:space="preserve">Позитив / developing-out paper</x:t>
        </x:is>
      </x:c>
    </x:row>
    <x:row r="116">
      <x:c r="H116" s="49" t="inlineStr">
        <x:is>
          <x:t xml:space="preserve">Позитив / сервисная печать</x:t>
        </x:is>
      </x:c>
    </x:row>
    <x:row r="117">
      <x:c r="H117" s="49" t="inlineStr">
        <x:is>
          <x:t xml:space="preserve">Позитив / цветная прозрачность</x:t>
        </x:is>
      </x:c>
    </x:row>
    <x:row r="118">
      <x:c r="H118" s="49" t="inlineStr">
        <x:is>
          <x:t xml:space="preserve">Позитив / instant print</x:t>
        </x:is>
      </x:c>
    </x:row>
    <x:row r="119">
      <x:c r="H119" s="49" t="inlineStr">
        <x:is>
          <x:t xml:space="preserve">Позитив / chromogenic print</x:t>
        </x:is>
      </x:c>
    </x:row>
    <x:row r="120">
      <x:c r="H120" t="str">
        <x:v>Чёрно-белая плёнка / серебряно-желатиновая основа</x:v>
      </x:c>
    </x:row>
    <x:row r="121">
      <x:c r="H121" t="str">
        <x:v>Чёрно-белая плёнка / спектральная чувствительность</x:v>
      </x:c>
    </x:row>
    <x:row r="122">
      <x:c r="H122" t="str">
        <x:v>Чёрно-белая плёнка / панхроматическая чувствительность</x:v>
      </x:c>
    </x:row>
    <x:row r="123">
      <x:c r="H123" t="str">
        <x:v>Чёрно-белая плёнка / структура материала</x:v>
      </x:c>
    </x:row>
    <x:row r="124">
      <x:c r="H124" t="str">
        <x:v>Чёрно-белая плёнка / проявление</x:v>
      </x:c>
    </x:row>
    <x:row r="125">
      <x:c r="H125" t="str">
        <x:v>Чёрно-белая плёнка / фиксация</x:v>
      </x:c>
    </x:row>
    <x:row r="126">
      <x:c r="H126" t="str">
        <x:v>Чёрно-белая плёнка / домашняя проявка</x:v>
      </x:c>
    </x:row>
    <x:row r="127">
      <x:c r="H127" t="str">
        <x:v>Чёрно-белая плёнка / характер проявления</x:v>
      </x:c>
    </x:row>
    <x:row r="128">
      <x:c r="H128" t="str">
        <x:v>Чёрно-белая плёнка / классическое зерно</x:v>
      </x:c>
    </x:row>
    <x:row r="129">
      <x:c r="H129" t="str">
        <x:v>Чёрно-белая плёнка / мелкозернистая технология</x:v>
      </x:c>
    </x:row>
    <x:row r="130">
      <x:c r="H130" t="str">
        <x:v>Чёрно-белая плёнка / chromogenic B&amp;W</x:v>
      </x:c>
    </x:row>
    <x:row r="131">
      <x:c r="H131" t="str">
        <x:v>Цветная негативная плёнка / Kodacolor</x:v>
      </x:c>
    </x:row>
    <x:row r="132">
      <x:c r="H132" t="str">
        <x:v>Цветная негативная плёнка / негатив-позитив</x:v>
      </x:c>
    </x:row>
    <x:row r="133">
      <x:c r="H133" t="str">
        <x:v>Цветная негативная плёнка / слои красителей</x:v>
      </x:c>
    </x:row>
    <x:row r="134">
      <x:c r="H134" t="str">
        <x:v>Цветная негативная плёнка / color couplers</x:v>
      </x:c>
    </x:row>
    <x:row r="135">
      <x:c r="H135" t="str">
        <x:v>Цветная негативная плёнка / оранжевая маска</x:v>
      </x:c>
    </x:row>
    <x:row r="136">
      <x:c r="H136" t="str">
        <x:v>Цветная негативная плёнка / печать позитивов</x:v>
      </x:c>
    </x:row>
    <x:row r="137">
      <x:c r="H137" t="str">
        <x:v>Цветная негативная плёнка / C-41</x:v>
      </x:c>
    </x:row>
    <x:row r="138">
      <x:c r="H138" t="str">
        <x:v>Цветная негативная плёнка / лабораторный стандарт</x:v>
      </x:c>
    </x:row>
    <x:row r="139">
      <x:c r="H139" t="str">
        <x:v>Цветная негативная плёнка / экспозиционная гибкость</x:v>
      </x:c>
    </x:row>
    <x:row r="140">
      <x:c r="H140" t="str">
        <x:v>Цветная негативная плёнка / современный профессиональный материал</x:v>
      </x:c>
    </x:row>
    <x:row r="141">
      <x:c r="H141" t="str">
        <x:v>Слайдовая плёнка / ранний цветной позитив</x:v>
      </x:c>
    </x:row>
    <x:row r="142">
      <x:c r="H142" t="str">
        <x:v>Слайдовая плёнка / reversal и проекция</x:v>
      </x:c>
    </x:row>
    <x:row r="143">
      <x:c r="H143" t="str">
        <x:v>Слайдовая плёнка / Kodachrome</x:v>
      </x:c>
    </x:row>
    <x:row r="144">
      <x:c r="H144" t="str">
        <x:v>Слайдовая плёнка / Ektachrome</x:v>
      </x:c>
    </x:row>
    <x:row r="145">
      <x:c r="H145" t="str">
        <x:v>Слайдовая плёнка / E-6</x:v>
      </x:c>
    </x:row>
    <x:row r="146">
      <x:c r="H146" t="str">
        <x:v>Слайдовая плёнка / точность экспозиции</x:v>
      </x:c>
    </x:row>
    <x:row r="147">
      <x:c r="H147" t="str">
        <x:v>Слайдовая плёнка / хранение и архив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style="46" customWidth="1"/>
    <x:col min="2" max="2" width="165" style="46" customWidth="1"/>
  </x:cols>
  <x:sheetData>
    <x:row r="1" s="46" customFormat="1" ht="40" customHeight="1">
      <x:c r="A1" s="32" t="str">
        <x:v>PHOTO LAB — History Map Master v0.14</x:v>
      </x:c>
      <x:c r="B1" s="20" t="n"/>
    </x:row>
    <x:row r="2" s="46" customFormat="1" ht="21" customHeight="1">
      <x:c r="A2" s="56" t="inlineStr">
        <x:is>
          <x:t xml:space="preserve">Назначение</x:t>
        </x:is>
      </x:c>
      <x:c r="B2" s="54" t="inlineStr">
        <x:is>
          <x:t xml:space="preserve">Исследовательская база для будущей интерактивной карты развития фотографии: география + время + ветки технологий + привязка к урокам.</x:t>
        </x:is>
      </x:c>
    </x:row>
    <x:row r="3" s="46" customFormat="1" ht="21" customHeight="1">
      <x:c r="A3" s="56" t="str">
        <x:v>Охват v0.13</x:v>
      </x:c>
      <x:c r="B3" s="54" t="str">
        <x:v>От оптических предпосылок камеры-обскуры до Leica I и Модуля 2: плёнка как материал, эмульсия, негатив, позитив, чёрно-белая, цветная негативная и слайдовая плёнка; основа для PL-001–PL-017.</x:v>
      </x:c>
    </x:row>
    <x:row r="4" s="46" customFormat="1" ht="21" customHeight="1">
      <x:c r="A4" s="56" t="inlineStr">
        <x:is>
          <x:t xml:space="preserve">Принцип</x:t>
        </x:is>
      </x:c>
      <x:c r="B4" s="54" t="inlineStr">
        <x:is>
          <x:t xml:space="preserve">Каждый факт должен отвечать на 5 вопросов: что произошло, где, кто связан, почему важно, чем подтверждено.</x:t>
        </x:is>
      </x:c>
    </x:row>
    <x:row r="5" s="46" customFormat="1" ht="21" customHeight="1">
      <x:c r="A5" s="56" t="inlineStr">
        <x:is>
          <x:t xml:space="preserve">Как пользоваться</x:t>
        </x:is>
      </x:c>
      <x:c r="B5" s="54" t="inlineStr">
        <x:is>
          <x:t xml:space="preserve">Фильтровать лист 01_Master_Facts по уроку, ветке развития, статусу ветки, типу узла, стране или уровню уверенности.</x:t>
        </x:is>
      </x:c>
    </x:row>
    <x:row r="6" s="46" customFormat="1" ht="21" customHeight="1">
      <x:c r="A6" s="56" t="inlineStr">
        <x:is>
          <x:t xml:space="preserve">Важно</x:t>
        </x:is>
      </x:c>
      <x:c r="B6" s="54" t="inlineStr">
        <x:is>
          <x:t xml:space="preserve">Поля «Проверить позже» и «Уверенность 1–5» оставлены специально: спорные даты и слабые источники не должны попадать в финальную карту без доработки.</x:t>
        </x:is>
      </x:c>
    </x:row>
    <x:row r="7" s="46" customFormat="1" ht="21" customHeight="1">
      <x:c r="A7" s="56" t="inlineStr">
        <x:is>
          <x:t xml:space="preserve">Правило веток</x:t>
        </x:is>
      </x:c>
      <x:c r="B7" s="54" t="str">
        <x:v>Ветка развития = одна из 13 крупных линий из 02_Branches. Для PL-017 слайдовая плёнка связана с «Цвет», «Фотохимия», «Проекция / распространение» и «Уникальный позитив».</x:v>
      </x:c>
    </x:row>
    <x:row r="8" s="46" customFormat="1" ht="21" customHeight="1">
      <x:c r="A8" s="56" t="inlineStr">
        <x:is>
          <x:t xml:space="preserve">Правило подветок</x:t>
        </x:is>
      </x:c>
      <x:c r="B8" s="54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позитив, чёрно-белая плёнка, цветная негативная плёнка, слайдовая плёнка и т.п.</x:v>
      </x:c>
    </x:row>
    <x:row r="9" s="46" customFormat="1" ht="17" customHeight="1">
      <x:c r="A9" s="49" t="inlineStr">
        <x:is>
          <x:t xml:space="preserve">Правило типа узла</x:t>
        </x:is>
      </x:c>
      <x:c r="B9" s="49" t="inlineStr">
        <x:is>
          <x:t xml:space="preserve">Тип узла = назначение факта на карте: технология, предпосылка, инструмент, публикация, терминология, применение, распространение, связь/переход и т.п.</x:t>
        </x:is>
      </x:c>
    </x:row>
    <x:row r="10" s="46" customFormat="1" ht="31" customHeight="1">
      <x:c r="A10" s="49" t="inlineStr">
        <x:is>
          <x:t xml:space="preserve">Единственный источник истины по урокам</x:t>
        </x:is>
      </x:c>
      <x:c r="B10" s="49" t="inlineStr">
        <x:is>
          <x:t xml:space="preserve"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t>
        </x:is>
      </x:c>
    </x:row>
    <x:row r="11" s="46" customFormat="1" ht="31" customHeight="1">
      <x:c r="A11" s="49" t="inlineStr">
        <x:is>
          <x:t xml:space="preserve">Что изменено в v0.2.1</x:t>
        </x:is>
      </x:c>
      <x:c r="B11" s="49" t="inlineStr">
        <x:is>
          <x:t xml:space="preserve"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t>
        </x:is>
      </x:c>
    </x:row>
    <x:row r="12" s="46" customFormat="1" ht="31" customHeight="1">
      <x:c r="A12" s="49" t="inlineStr">
        <x:is>
          <x:t xml:space="preserve">Что изменено в v0.3</x:t>
        </x:is>
      </x:c>
      <x:c r="B12" s="49" t="inlineStr">
        <x:is>
          <x:t xml:space="preserve">Заполнен PL-006: добавлены PL-HIST-0049…0058 по сухим желатиновым пластинам, добавлены источники SRC-027…SRC-034, обновлены 02_Branches, 03_Lessons_Map, 06_Lists и Dashboard.</x:t>
        </x:is>
      </x:c>
    </x:row>
    <x:row r="13" s="46" customFormat="1" ht="17" customHeight="1">
      <x:c r="A13" s="49" t="inlineStr">
        <x:is>
          <x:t xml:space="preserve">Что изменено в v0.3.1</x:t>
        </x:is>
      </x:c>
      <x:c r="B13" s="49" t="inlineStr">
        <x:is>
          <x:t xml:space="preserve">Добавлена колонка «Флагман урока (да/нет)» в 01_Master_Facts: по одному флагманскому узлу на каждый из PL-001–PL-006.</x:t>
        </x:is>
      </x:c>
    </x:row>
    <x:row r="14" s="46" customFormat="1" ht="17" customHeight="1">
      <x:c r="A14" s="49" t="inlineStr">
        <x:is>
          <x:t xml:space="preserve">Что изменено в v0.4</x:t>
        </x:is>
      </x:c>
      <x:c r="B14" s="49" t="inlineStr">
        <x:is>
          <x:t xml:space="preserve"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x:t>
        </x:is>
      </x:c>
    </x:row>
    <x:row r="15" s="46" customFormat="1" ht="17" customHeight="1">
      <x:c r="A15" s="49" t="inlineStr">
        <x:is>
          <x:t xml:space="preserve">Что изменено в v0.5</x:t>
        </x:is>
      </x:c>
      <x:c r="B15" s="49" t="inlineStr">
        <x:is>
          <x:t xml:space="preserve"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x:t>
        </x:is>
      </x:c>
    </x:row>
    <x:row r="16" s="46" customFormat="1" ht="17" customHeight="1">
      <x:c r="A16" s="49" t="inlineStr">
        <x:is>
          <x:t xml:space="preserve">Что изменено в v0.6</x:t>
        </x:is>
      </x:c>
      <x:c r="B16" s="49" t="inlineStr">
        <x:is>
          <x:t xml:space="preserve"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x:t>
        </x:is>
      </x:c>
    </x:row>
    <x:row r="17" s="46" customFormat="1" ht="28" customHeight="1">
      <x:c r="A17" s="49" t="inlineStr">
        <x:is>
          <x:t xml:space="preserve">Что изменено в v0.7</x:t>
        </x:is>
      </x:c>
      <x:c r="B17" s="49" t="inlineStr">
        <x:is>
          <x:t xml:space="preserve"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x:t>
        </x:is>
      </x:c>
    </x:row>
    <x:row r="18" s="46" customFormat="1" ht="28" customHeight="1">
      <x:c r="A18" s="49" t="inlineStr">
        <x:is>
          <x:t xml:space="preserve">Что изменено в v0.8</x:t>
        </x:is>
      </x:c>
      <x:c r="B18" s="49" t="inlineStr">
        <x:is>
          <x:t xml:space="preserve"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x:t>
        </x:is>
      </x:c>
    </x:row>
    <x:row r="19" s="46" customFormat="1" ht="28" customHeight="1">
      <x:c r="A19" s="49" t="inlineStr">
        <x:is>
          <x:t xml:space="preserve">Что изменено в v0.9</x:t>
        </x:is>
      </x:c>
      <x:c r="B19" s="49" t="inlineStr">
        <x:is>
          <x:t xml:space="preserve"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x:t>
        </x:is>
      </x:c>
    </x:row>
    <x:row r="20" s="46" customFormat="1" ht="28" customHeight="1">
      <x:c r="A20" s="49" t="inlineStr">
        <x:is>
          <x:t xml:space="preserve">Что изменено в v0.10</x:t>
        </x:is>
      </x:c>
      <x:c r="B20" s="49" t="inlineStr">
        <x:is>
          <x:t xml:space="preserve"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x:t>
        </x:is>
      </x:c>
    </x:row>
    <x:row r="21" s="46" customFormat="1" ht="14" customHeight="1">
      <x:c r="A21" s="49" t="inlineStr">
        <x:is>
          <x:t xml:space="preserve">Что изменено в v0.11</x:t>
        </x:is>
      </x:c>
      <x:c r="B21" s="49" t="inlineStr">
        <x:is>
          <x:t xml:space="preserve"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x:t>
        </x:is>
      </x:c>
    </x:row>
    <x:row r="22">
      <x:c r="A22" s="49" t="str">
        <x:v>Что изменено в v0.12</x:v>
      </x:c>
      <x:c r="B22" s="49" t="str">
        <x:v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x:v>
      </x:c>
    </x:row>
    <x:row r="23">
      <x:c r="A23" s="49" t="str">
        <x:v>Правило флагманских узлов</x:v>
      </x:c>
      <x:c r="B23" s="49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24">
      <x:c r="A24" t="str">
        <x:v>Что изменено в v0.13</x:v>
      </x:c>
      <x:c r="B24" t="str">
        <x:v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x:v>
      </x:c>
    </x:row>
    <x:row r="25">
      <x:c r="A25" t="str">
        <x:v>Что изменено в v0.14</x:v>
      </x:c>
      <x:c r="B25" t="str">
        <x:v>Заполнен PL-017: добавлены PL-HIST-0165…0175 по слайдовой плёнке — Autochrome как ранняя цветная прозрачность, 16-мм reversal, Kodachrome 1935, 35-мм слайды, принцип direct positive, Ektachrome 1946, E-6, точность экспозиции, современный Ektachrome E100 и архивное хранение прозрачностей. Добавлены источники SRC-131…SRC-142 и флагманский узел PL-HIST-0167.</x:v>
      </x:c>
    </x:row>
    <x:row r="26">
      <x:c r="A26" t="str">
        <x:v>Следующий шаг</x:v>
      </x:c>
      <x:c r="B26" t="str">
        <x:v>PL-018: ISO плёнки — объяснить светочувствительность материала, коробочный ISO, экспонометрию, push/pull и практический выбор плёнки под свет.</x:v>
      </x:c>
    </x:row>
    <x:row r="27">
      <x:c r="A27"/>
      <x:c r="B27"/>
    </x:row>
  </x:sheetData>
  <x:mergeCells>
    <x:mergeCell ref="A1:B1"/>
  </x:mergeCells>
  <x:pageMargins left="0.7" right="0.7" top="0.75" bottom="0.75" header="0.3" footer="0.3"/>
</x:worksheet>
</file>