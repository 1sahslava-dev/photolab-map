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5_Dashboard" sheetId="1" state="visible" r:id="rId1"/>
    <sheet xmlns:r="http://schemas.openxmlformats.org/officeDocument/2006/relationships" name="01_Master_Facts" sheetId="2" state="visible" r:id="rId2"/>
    <sheet xmlns:r="http://schemas.openxmlformats.org/officeDocument/2006/relationships" name="02_Branches" sheetId="3" state="visible" r:id="rId3"/>
    <sheet xmlns:r="http://schemas.openxmlformats.org/officeDocument/2006/relationships" name="03_Lessons_Map" sheetId="4" state="visible" r:id="rId4"/>
    <sheet xmlns:r="http://schemas.openxmlformats.org/officeDocument/2006/relationships" name="04_Sources" sheetId="5" state="visible" r:id="rId5"/>
    <sheet xmlns:r="http://schemas.openxmlformats.org/officeDocument/2006/relationships" name="06_Lists" sheetId="6" state="visible" r:id="rId6"/>
    <sheet xmlns:r="http://schemas.openxmlformats.org/officeDocument/2006/relationships" name="00_README" sheetId="7" state="visible" r:id="rId7"/>
  </sheets>
  <definedNames/>
</workbook>
</file>

<file path=xl/styles.xml><?xml version="1.0" encoding="utf-8"?>
<styleSheet xmlns="http://schemas.openxmlformats.org/spreadsheetml/2006/main">
  <numFmts count="0"/>
  <fonts count="10">
    <font>
      <name val="Arial"/>
      <sz val="10"/>
    </font>
    <font>
      <name val="Arial"/>
      <sz val="10"/>
    </font>
    <font>
      <name val="Calibri"/>
      <b val="1"/>
      <color rgb="FFFFFFFF"/>
      <sz val="14"/>
    </font>
    <font>
      <name val="Calibri"/>
      <b val="1"/>
      <color rgb="FFFFFFFF"/>
      <sz val="11"/>
    </font>
    <font>
      <name val="Arial"/>
      <b val="1"/>
      <color rgb="FFFFFFFF"/>
      <sz val="10"/>
    </font>
    <font>
      <name val="Calibri"/>
      <sz val="11"/>
    </font>
    <font>
      <name val="Calibri"/>
      <b val="1"/>
      <sz val="12"/>
    </font>
    <font>
      <name val="Calibri"/>
      <sz val="10"/>
    </font>
    <font>
      <name val="Calibri"/>
      <b val="1"/>
      <color rgb="FF111827"/>
      <sz val="11"/>
    </font>
    <font>
      <name val="Arial"/>
      <sz val="10"/>
    </font>
  </fonts>
  <fills count="6">
    <fill>
      <patternFill/>
    </fill>
    <fill>
      <patternFill patternType="gray125"/>
    </fill>
    <fill>
      <patternFill patternType="solid">
        <fgColor rgb="FFB8860B"/>
      </patternFill>
    </fill>
    <fill>
      <patternFill patternType="solid">
        <fgColor rgb="FF111827"/>
      </patternFill>
    </fill>
    <fill>
      <patternFill patternType="solid">
        <fgColor rgb="FF1F2937"/>
      </patternFill>
    </fill>
    <fill>
      <patternFill patternType="solid">
        <fgColor rgb="FFFDECC8"/>
      </patternFill>
    </fill>
  </fills>
  <borders count="3">
    <border/>
    <border/>
    <border/>
  </borders>
  <cellStyleXfs count="7">
    <xf numFmtId="0" fontId="9" fillId="0" borderId="2"/>
    <xf numFmtId="43" fontId="9" fillId="0" borderId="2"/>
    <xf numFmtId="41" fontId="9" fillId="0" borderId="2"/>
    <xf numFmtId="44" fontId="9" fillId="0" borderId="2"/>
    <xf numFmtId="42" fontId="9" fillId="0" borderId="2"/>
    <xf numFmtId="9" fontId="9" fillId="0" borderId="2"/>
    <xf numFmtId="0" fontId="9" fillId="0" borderId="2"/>
  </cellStyleXfs>
  <cellXfs count="85">
    <xf numFmtId="0" fontId="0" fillId="0" borderId="0" pivotButton="0" quotePrefix="0" xfId="0"/>
    <xf numFmtId="0" fontId="3" fillId="3" borderId="0" applyAlignment="1" pivotButton="0" quotePrefix="0" xfId="6">
      <alignment horizontal="center" vertical="center" wrapText="1"/>
    </xf>
    <xf numFmtId="0" fontId="4" fillId="3" borderId="0" applyAlignment="1" pivotButton="0" quotePrefix="0" xfId="6">
      <alignment horizontal="center" vertical="center" wrapText="1"/>
    </xf>
    <xf numFmtId="0" fontId="1" fillId="0" borderId="0" applyAlignment="1" pivotButton="0" quotePrefix="0" xfId="6">
      <alignment wrapText="1"/>
    </xf>
    <xf numFmtId="0" fontId="5" fillId="0" borderId="0" applyAlignment="1" pivotButton="0" quotePrefix="0" xfId="6">
      <alignment wrapText="1"/>
    </xf>
    <xf numFmtId="0" fontId="7" fillId="0" borderId="0" applyAlignment="1" pivotButton="0" quotePrefix="0" xfId="6">
      <alignment vertical="top" wrapText="1"/>
    </xf>
    <xf numFmtId="0" fontId="7" fillId="0" borderId="0" applyAlignment="1" pivotButton="0" quotePrefix="0" xfId="6">
      <alignment horizontal="center" vertical="top" wrapText="1"/>
    </xf>
    <xf numFmtId="0" fontId="3" fillId="4" borderId="0" applyAlignment="1" pivotButton="0" quotePrefix="0" xfId="6">
      <alignment horizontal="center" vertical="center" wrapText="1"/>
    </xf>
    <xf numFmtId="0" fontId="0" fillId="0" borderId="0" applyAlignment="1" pivotButton="0" quotePrefix="0" xfId="6">
      <alignment wrapText="1"/>
    </xf>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0" borderId="0" applyAlignment="1" pivotButton="0" quotePrefix="0" xfId="0">
      <alignment vertical="top" wrapText="1"/>
    </xf>
    <xf numFmtId="0" fontId="6" fillId="0" borderId="0" applyAlignment="1" pivotButton="0" quotePrefix="0" xfId="0">
      <alignment horizontal="center" vertical="top" wrapText="1"/>
    </xf>
    <xf numFmtId="0" fontId="5" fillId="0" borderId="0" applyAlignment="1" pivotButton="0" quotePrefix="0" xfId="0">
      <alignment wrapText="1"/>
    </xf>
    <xf numFmtId="0" fontId="8" fillId="5" borderId="0" applyAlignment="1" pivotButton="0" quotePrefix="0" xfId="0">
      <alignment vertical="top" wrapText="1"/>
    </xf>
    <xf numFmtId="0" fontId="2" fillId="2" borderId="0" applyAlignment="1" pivotButton="0" quotePrefix="0" xfId="0">
      <alignment horizontal="center" vertical="center" wrapText="1"/>
    </xf>
    <xf numFmtId="0" fontId="0" fillId="0" borderId="0" applyAlignment="1" pivotButton="0" quotePrefix="0" xfId="0">
      <alignment wrapText="1"/>
    </xf>
    <xf numFmtId="0" fontId="0" fillId="0" borderId="1" pivotButton="0" quotePrefix="0" xfId="6"/>
    <xf numFmtId="0" fontId="2" fillId="3" borderId="0" applyAlignment="1" pivotButton="0" quotePrefix="0" xfId="0">
      <alignment horizontal="center" vertical="center" wrapText="1"/>
    </xf>
    <xf numFmtId="0" fontId="0" fillId="0" borderId="2" pivotButton="0" quotePrefix="0" xfId="0"/>
    <xf numFmtId="0" fontId="3" fillId="3" borderId="2" applyAlignment="1" pivotButton="0" quotePrefix="0" xfId="0">
      <alignment horizontal="center" vertical="center" wrapText="1"/>
    </xf>
    <xf numFmtId="0" fontId="4" fillId="3" borderId="2" applyAlignment="1" pivotButton="0" quotePrefix="0" xfId="0">
      <alignment horizontal="center" vertical="center" wrapText="1"/>
    </xf>
    <xf numFmtId="0" fontId="0" fillId="0" borderId="2" applyAlignment="1" pivotButton="0" quotePrefix="0" xfId="0">
      <alignment wrapText="1"/>
    </xf>
    <xf numFmtId="0" fontId="5" fillId="0" borderId="2" applyAlignment="1" pivotButton="0" quotePrefix="0" xfId="0">
      <alignment wrapText="1"/>
    </xf>
    <xf numFmtId="0" fontId="7" fillId="0" borderId="2" applyAlignment="1" pivotButton="0" quotePrefix="0" xfId="0">
      <alignment vertical="top" wrapText="1"/>
    </xf>
    <xf numFmtId="0" fontId="7" fillId="0" borderId="2" applyAlignment="1" pivotButton="0" quotePrefix="0" xfId="0">
      <alignment horizontal="center" vertical="top" wrapText="1"/>
    </xf>
    <xf numFmtId="0" fontId="3" fillId="4" borderId="2" applyAlignment="1" pivotButton="0" quotePrefix="0" xfId="0">
      <alignment horizontal="center" vertical="center" wrapText="1"/>
    </xf>
    <xf numFmtId="0" fontId="5" fillId="0" borderId="2" applyAlignment="1" pivotButton="0" quotePrefix="0" xfId="0">
      <alignment vertical="top" wrapText="1"/>
    </xf>
    <xf numFmtId="0" fontId="6" fillId="0" borderId="2" applyAlignment="1" pivotButton="0" quotePrefix="0" xfId="0">
      <alignment horizontal="center" vertical="top" wrapText="1"/>
    </xf>
    <xf numFmtId="0" fontId="8" fillId="5" borderId="2" applyAlignment="1" pivotButton="0" quotePrefix="0" xfId="0">
      <alignment vertical="top" wrapText="1"/>
    </xf>
    <xf numFmtId="0" fontId="2"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0" fillId="0" borderId="0" applyAlignment="1" pivotButton="0" quotePrefix="0" xfId="0">
      <alignment wrapText="1"/>
    </xf>
    <xf numFmtId="0" fontId="5" fillId="0" borderId="0" applyAlignment="1" pivotButton="0" quotePrefix="0" xfId="0">
      <alignment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0" borderId="0" applyAlignment="1" pivotButton="0" quotePrefix="0" xfId="0">
      <alignment vertical="top" wrapText="1"/>
    </xf>
    <xf numFmtId="0" fontId="6" fillId="0" borderId="0" applyAlignment="1" pivotButton="0" quotePrefix="0" xfId="0">
      <alignment horizontal="center" vertical="top" wrapText="1"/>
    </xf>
    <xf numFmtId="0" fontId="2" fillId="3" borderId="0" applyAlignment="1" pivotButton="0" quotePrefix="0" xfId="0">
      <alignment horizontal="center" vertical="center" wrapText="1"/>
    </xf>
    <xf numFmtId="0" fontId="8" fillId="5" borderId="0" applyAlignment="1" pivotButton="0" quotePrefix="0" xfId="0">
      <alignment vertical="top" wrapText="1"/>
    </xf>
    <xf numFmtId="0" fontId="0" fillId="0" borderId="0" pivotButton="0" quotePrefix="0" xfId="0"/>
    <xf numFmtId="0" fontId="7" fillId="0" borderId="0" applyAlignment="1" pivotButton="0" quotePrefix="0" xfId="0">
      <alignment vertical="top" wrapText="1"/>
    </xf>
    <xf numFmtId="0" fontId="7" fillId="0" borderId="0" applyAlignment="1" pivotButton="0" quotePrefix="0" xfId="0">
      <alignment horizontal="center" vertical="top" wrapText="1"/>
    </xf>
    <xf numFmtId="0" fontId="3" fillId="4" borderId="0" applyAlignment="1" pivotButton="0" quotePrefix="0" xfId="0">
      <alignment horizontal="center" vertical="center" wrapText="1"/>
    </xf>
    <xf numFmtId="0" fontId="0" fillId="0" borderId="0" pivotButton="0" quotePrefix="0" xfId="0"/>
    <xf numFmtId="0" fontId="3" fillId="3" borderId="0" applyAlignment="1" pivotButton="0" quotePrefix="0" xfId="0">
      <alignment horizontal="center" vertical="center" wrapText="1"/>
    </xf>
    <xf numFmtId="0" fontId="4" fillId="3" borderId="0" applyAlignment="1" pivotButton="0" quotePrefix="0" xfId="0">
      <alignment horizontal="center" vertical="center" wrapText="1"/>
    </xf>
    <xf numFmtId="0" fontId="0" fillId="0" borderId="0" applyAlignment="1" pivotButton="0" quotePrefix="0" xfId="0">
      <alignment wrapText="1"/>
    </xf>
    <xf numFmtId="0" fontId="5" fillId="0" borderId="0" applyAlignment="1" pivotButton="0" quotePrefix="0" xfId="0">
      <alignment wrapText="1"/>
    </xf>
    <xf numFmtId="0" fontId="7" fillId="0" borderId="0" applyAlignment="1" pivotButton="0" quotePrefix="0" xfId="0">
      <alignment vertical="top" wrapText="1"/>
    </xf>
    <xf numFmtId="0" fontId="7" fillId="0" borderId="0" applyAlignment="1" pivotButton="0" quotePrefix="0" xfId="0">
      <alignment horizontal="center" vertical="top" wrapText="1"/>
    </xf>
    <xf numFmtId="0" fontId="3" fillId="4" borderId="0" applyAlignment="1" pivotButton="0" quotePrefix="0" xfId="0">
      <alignment horizontal="center" vertical="center" wrapText="1"/>
    </xf>
    <xf numFmtId="0" fontId="5" fillId="0" borderId="0" applyAlignment="1" pivotButton="0" quotePrefix="0" xfId="0">
      <alignment vertical="top" wrapText="1"/>
    </xf>
    <xf numFmtId="0" fontId="6" fillId="0" borderId="0" applyAlignment="1" pivotButton="0" quotePrefix="0" xfId="0">
      <alignment horizontal="center" vertical="top" wrapText="1"/>
    </xf>
    <xf numFmtId="0" fontId="8" fillId="5" borderId="0" applyAlignment="1" pivotButton="0" quotePrefix="0" xfId="0">
      <alignment vertical="top" wrapText="1"/>
    </xf>
    <xf numFmtId="0" fontId="2"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0" fillId="0" borderId="0" pivotButton="0" quotePrefix="0" xfId="0"/>
    <xf numFmtId="0" fontId="3" fillId="3" borderId="0" applyAlignment="1" pivotButton="0" quotePrefix="0" xfId="0">
      <alignment horizontal="center" vertical="center" wrapText="1"/>
    </xf>
    <xf numFmtId="0" fontId="4" fillId="3" borderId="0" applyAlignment="1" pivotButton="0" quotePrefix="0" xfId="0">
      <alignment horizontal="center" vertical="center" wrapText="1"/>
    </xf>
    <xf numFmtId="0" fontId="0" fillId="0" borderId="0" applyAlignment="1" pivotButton="0" quotePrefix="0" xfId="0">
      <alignment wrapText="1"/>
    </xf>
    <xf numFmtId="0" fontId="5" fillId="0" borderId="0" applyAlignment="1" pivotButton="0" quotePrefix="0" xfId="0">
      <alignment wrapText="1"/>
    </xf>
    <xf numFmtId="0" fontId="7" fillId="0" borderId="0" applyAlignment="1" pivotButton="0" quotePrefix="0" xfId="0">
      <alignment vertical="top" wrapText="1"/>
    </xf>
    <xf numFmtId="0" fontId="7" fillId="0" borderId="0" applyAlignment="1" pivotButton="0" quotePrefix="0" xfId="0">
      <alignment horizontal="center" vertical="top" wrapText="1"/>
    </xf>
    <xf numFmtId="0" fontId="3" fillId="4" borderId="0" applyAlignment="1" pivotButton="0" quotePrefix="0" xfId="0">
      <alignment horizontal="center" vertical="center" wrapText="1"/>
    </xf>
    <xf numFmtId="0" fontId="5" fillId="0" borderId="0" applyAlignment="1" pivotButton="0" quotePrefix="0" xfId="0">
      <alignment vertical="top" wrapText="1"/>
    </xf>
    <xf numFmtId="0" fontId="6" fillId="0" borderId="0" applyAlignment="1" pivotButton="0" quotePrefix="0" xfId="0">
      <alignment horizontal="center" vertical="top" wrapText="1"/>
    </xf>
    <xf numFmtId="0" fontId="8" fillId="5" borderId="0" applyAlignment="1" pivotButton="0" quotePrefix="0" xfId="0">
      <alignment vertical="top" wrapText="1"/>
    </xf>
    <xf numFmtId="0" fontId="2"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0" fillId="0" borderId="0" pivotButton="0" quotePrefix="0" xfId="0"/>
    <xf numFmtId="0" fontId="3" fillId="3" borderId="0" applyAlignment="1" pivotButton="0" quotePrefix="0" xfId="0">
      <alignment horizontal="center" vertical="center" wrapText="1"/>
    </xf>
    <xf numFmtId="0" fontId="4" fillId="3" borderId="0" applyAlignment="1" pivotButton="0" quotePrefix="0" xfId="0">
      <alignment horizontal="center" vertical="center" wrapText="1"/>
    </xf>
    <xf numFmtId="0" fontId="0" fillId="0" borderId="0" applyAlignment="1" pivotButton="0" quotePrefix="0" xfId="0">
      <alignment wrapText="1"/>
    </xf>
    <xf numFmtId="0" fontId="5" fillId="0" borderId="0" applyAlignment="1" pivotButton="0" quotePrefix="0" xfId="0">
      <alignment wrapText="1"/>
    </xf>
    <xf numFmtId="0" fontId="7" fillId="0" borderId="0" applyAlignment="1" pivotButton="0" quotePrefix="0" xfId="0">
      <alignment vertical="top" wrapText="1"/>
    </xf>
    <xf numFmtId="0" fontId="7" fillId="0" borderId="0" applyAlignment="1" pivotButton="0" quotePrefix="0" xfId="0">
      <alignment horizontal="center" vertical="top" wrapText="1"/>
    </xf>
    <xf numFmtId="0" fontId="3" fillId="4" borderId="0" applyAlignment="1" pivotButton="0" quotePrefix="0" xfId="0">
      <alignment horizontal="center" vertical="center" wrapText="1"/>
    </xf>
    <xf numFmtId="0" fontId="5" fillId="0" borderId="0" applyAlignment="1" pivotButton="0" quotePrefix="0" xfId="0">
      <alignment vertical="top" wrapText="1"/>
    </xf>
    <xf numFmtId="0" fontId="6" fillId="0" borderId="0" applyAlignment="1" pivotButton="0" quotePrefix="0" xfId="0">
      <alignment horizontal="center" vertical="top" wrapText="1"/>
    </xf>
    <xf numFmtId="0" fontId="8" fillId="5" borderId="0" applyAlignment="1" pivotButton="0" quotePrefix="0" xfId="0">
      <alignment vertical="top" wrapText="1"/>
    </xf>
    <xf numFmtId="0" fontId="2" fillId="2" borderId="0" applyAlignment="1" pivotButton="0" quotePrefix="0" xfId="0">
      <alignment horizontal="center" vertical="center" wrapText="1"/>
    </xf>
    <xf numFmtId="0" fontId="2" fillId="3" borderId="0" applyAlignment="1" pivotButton="0" quotePrefix="0" xfId="0">
      <alignment horizontal="center" vertical="center" wrapText="1"/>
    </xf>
  </cellXfs>
  <cellStyles count="7">
    <cellStyle name="Обычный" xfId="0"/>
    <cellStyle name="Comma" xfId="1"/>
    <cellStyle name="Comma [0]" xfId="2"/>
    <cellStyle name="Currency" xfId="3"/>
    <cellStyle name="Currency [0]" xfId="4"/>
    <cellStyle name="Percent" xfId="5"/>
    <cellStyle name="Normal" xfId="6"/>
  </cellStyle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156082"/>
      <rgbColor rgb="FFCCCCCC"/>
      <rgbColor rgb="FF8B8B8B"/>
      <rgbColor rgb="FF9999FF"/>
      <rgbColor rgb="FF993366"/>
      <rgbColor rgb="FFFDECC8"/>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11827"/>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Узлы по веткам развитияNone</a:t>
            </a:r>
          </a:p>
        </rich>
      </tx>
      <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r>
            <a:t>None</a:t>
          </a:r>
        </a:p>
      </txPr>
    </title>
    <plotArea>
      <barChart>
        <barDir val="col"/>
        <grouping val="clustered"/>
        <varyColors val="0"/>
        <ser>
          <idx val="0"/>
          <order val="0"/>
          <tx>
            <v>Количество узлов</v>
          </tx>
          <spPr>
            <a:solidFill xmlns:a="http://schemas.openxmlformats.org/drawingml/2006/main">
              <a:srgbClr val="156082"/>
            </a:solidFill>
            <a:ln xmlns:a="http://schemas.openxmlformats.org/drawingml/2006/main" w="0">
              <a:noFill/>
              <a:prstDash val="solid"/>
            </a:ln>
          </spPr>
          <cat>
            <strRef>
              <f>'05_Dashboard'!$A$10:$A$46</f>
              <strCache>
                <ptCount val="27"/>
                <pt idx="0">
                  <v>Оптика / камера-обскура</v>
                </pt>
                <pt idx="1">
                  <v>Оптические инструменты</v>
                </pt>
                <pt idx="2">
                  <v>Фотохимия</v>
                </pt>
                <pt idx="3">
                  <v>Гелиография</v>
                </pt>
                <pt idx="4">
                  <v>Дагеротип</v>
                </pt>
                <pt idx="5">
                  <v>Фотогенный рисунок / фотограмма</v>
                </pt>
                <pt idx="6">
                  <v>Негатив-позитив</v>
                </pt>
                <pt idx="7">
                  <v>Фиксаж / терминология</v>
                </pt>
                <pt idx="8">
                  <v>Печать / тиражирование</v>
                </pt>
                <pt idx="9">
                  <v>Мокрый коллодий</v>
                </pt>
                <pt idx="10">
                  <v>Уникальный позитив</v>
                </pt>
                <pt idx="11">
                  <v>Цвет</v>
                </pt>
                <pt idx="12">
                  <v>Проекция / распространение</v>
                </pt>
                <pt idx="15">
                  <v>Тип узла</v>
                </pt>
                <pt idx="16">
                  <v>Фундаментальная предпосылка</v>
                </pt>
                <pt idx="17">
                  <v>Технология / процесс</v>
                </pt>
                <pt idx="18">
                  <v>Инструмент / устройство</v>
                </pt>
                <pt idx="19">
                  <v>Публикация / объявление</v>
                </pt>
                <pt idx="20">
                  <v>Терминология / язык</v>
                </pt>
                <pt idx="21">
                  <v>Связь / переход</v>
                </pt>
                <pt idx="22">
                  <v>Тиражирование / публикация</v>
                </pt>
                <pt idx="23">
                  <v>Распространение / коммерциализация</v>
                </pt>
                <pt idx="24">
                  <v>Научное применение / пример</v>
                </pt>
                <pt idx="25">
                  <v>Применение / жанр</v>
                </pt>
                <pt idx="26">
                  <v>Ключевой исторический узел</v>
                </pt>
              </strCache>
            </strRef>
          </cat>
          <val>
            <numRef>
              <f>'05_Dashboard'!$B$10:$B$46</f>
              <numCache>
                <formatCode>General</formatCode>
                <ptCount val="37"/>
                <pt idx="0">
                  <v>6</v>
                </pt>
                <pt idx="1">
                  <v>15</v>
                </pt>
                <pt idx="2">
                  <v>8</v>
                </pt>
                <pt idx="3">
                  <v>3</v>
                </pt>
                <pt idx="4">
                  <v>7</v>
                </pt>
                <pt idx="5">
                  <v>2</v>
                </pt>
                <pt idx="6">
                  <v>41</v>
                </pt>
                <pt idx="7">
                  <v>2</v>
                </pt>
                <pt idx="8">
                  <v>10</v>
                </pt>
                <pt idx="9">
                  <v>5</v>
                </pt>
                <pt idx="10">
                  <v>4</v>
                </pt>
                <pt idx="11">
                  <v>1</v>
                </pt>
                <pt idx="12">
                  <v>5</v>
                </pt>
                <pt idx="15">
                  <v>0</v>
                </pt>
                <pt idx="16">
                  <v>5</v>
                </pt>
                <pt idx="17">
                  <v>30</v>
                </pt>
                <pt idx="18">
                  <v>11</v>
                </pt>
                <pt idx="19">
                  <v>5</v>
                </pt>
                <pt idx="20">
                  <v>3</v>
                </pt>
                <pt idx="21">
                  <v>16</v>
                </pt>
                <pt idx="22">
                  <v>5</v>
                </pt>
                <pt idx="23">
                  <v>16</v>
                </pt>
                <pt idx="24">
                  <v>2</v>
                </pt>
                <pt idx="25">
                  <v>7</v>
                </pt>
                <pt idx="26">
                  <v>9</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360">
              <a:solidFill>
                <a:srgbClr val="CCCCCC"/>
              </a:solidFill>
              <a:prstDash val="dash"/>
            </a:ln>
          </spPr>
        </majorGridlines>
        <numFmt formatCode="General" sourceLinked="0"/>
        <majorTickMark val="none"/>
        <minorTickMark val="none"/>
        <tickLblPos val="nextTo"/>
        <spPr>
          <a:ln xmlns:a="http://schemas.openxmlformats.org/drawingml/2006/main" w="12600">
            <a:solidFill>
              <a:srgbClr val="8B8B8B"/>
            </a:solidFill>
            <a:prstDash val="solid"/>
          </a:ln>
        </spPr>
        <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r>
              <a:t>None</a:t>
            </a:r>
          </a:p>
        </txPr>
        <crossAx val="48672768"/>
        <crosses val="autoZero"/>
        <lblAlgn val="ctr"/>
        <lblOffset val="100"/>
        <noMultiLvlLbl val="0"/>
      </catAx>
      <valAx>
        <axId val="48672768"/>
        <scaling>
          <orientation val="minMax"/>
        </scaling>
        <delete val="0"/>
        <axPos val="l"/>
        <majorGridlines>
          <spPr>
            <a:ln xmlns:a="http://schemas.openxmlformats.org/drawingml/2006/main" w="9360">
              <a:solidFill>
                <a:srgbClr val="CCCCCC"/>
              </a:solidFill>
              <a:prstDash val="dash"/>
            </a:ln>
          </spPr>
        </majorGridlines>
        <numFmt formatCode="General" sourceLinked="0"/>
        <majorTickMark val="none"/>
        <minorTickMark val="none"/>
        <tickLblPos val="nextTo"/>
        <spPr>
          <a:ln xmlns:a="http://schemas.openxmlformats.org/drawingml/2006/main" w="12600">
            <a:solidFill>
              <a:srgbClr val="8B8B8B"/>
            </a:solidFill>
            <a:prstDash val="solid"/>
          </a:ln>
        </spPr>
        <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r>
              <a:t>None</a:t>
            </a:r>
          </a:p>
        </txPr>
        <crossAx val="48650112"/>
        <crosses val="autoZero"/>
        <crossBetween val="between"/>
      </valAx>
    </plotArea>
    <legend>
      <legendPos val="b"/>
      <overlay val="0"/>
      <spPr>
        <a:noFill xmlns:a="http://schemas.openxmlformats.org/drawingml/2006/main"/>
        <a:ln xmlns:a="http://schemas.openxmlformats.org/drawingml/2006/main">
          <a:prstDash val="solid"/>
        </a:ln>
      </spPr>
      <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6</col>
      <colOff>0</colOff>
      <row>1</row>
      <rowOff>0</rowOff>
    </from>
    <to>
      <col>13</col>
      <colOff>610560</colOff>
      <row>19</row>
      <rowOff>19800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asterFactsTable" displayName="MasterFactsTable" ref="A1:W49" headerRowCount="1">
  <tableColumns count="23">
    <tableColumn id="1" name="ID"/>
    <tableColumn id="2" name="Период / дата"/>
    <tableColumn id="3" name="Точность даты"/>
    <tableColumn id="4" name="Страна"/>
    <tableColumn id="5" name="Город / регион"/>
    <tableColumn id="6" name="Персона / группа"/>
    <tableColumn id="7" name="Событие"/>
    <tableColumn id="8" name="Ветка развития"/>
    <tableColumn id="9" name="Технология / процесс"/>
    <tableColumn id="10" name="Что изменилось"/>
    <tableColumn id="11" name="Предыдущая связь"/>
    <tableColumn id="12" name="Следующая связь"/>
    <tableColumn id="13" name="Статус ветки"/>
    <tableColumn id="14" name="Важность 1–5"/>
    <tableColumn id="15" name="Привязка к уроку"/>
    <tableColumn id="16" name="Источник ID"/>
    <tableColumn id="17" name="Название источника"/>
    <tableColumn id="18" name="URL источника"/>
    <tableColumn id="19" name="Уверенность 1–5"/>
    <tableColumn id="20" name="Комментарий для лекции"/>
    <tableColumn id="21" name="Визуальная идея для карты"/>
    <tableColumn id="22" name="Теги"/>
    <tableColumn id="23" name="Проверить позже"/>
  </tableColumns>
  <tableStyleInfo showFirstColumn="0" showLastColumn="0" showRowStripes="1" showColumnStripes="0"/>
</table>
</file>

<file path=xl/tables/table2.xml><?xml version="1.0" encoding="utf-8"?>
<table xmlns="http://schemas.openxmlformats.org/spreadsheetml/2006/main" id="2" name="BranchesTable" displayName="BranchesTable" ref="A1:E14" headerRowCount="1">
  <tableColumns count="5">
    <tableColumn id="1" name="Ветка"/>
    <tableColumn id="2" name="Что включает"/>
    <tableColumn id="3" name="Для каких уроков"/>
    <tableColumn id="4" name="Визуальный цвет/код"/>
    <tableColumn id="5" name="Комментарий"/>
  </tableColumns>
  <tableStyleInfo showFirstColumn="0" showLastColumn="0" showRowStripes="1" showColumnStripes="0"/>
</table>
</file>

<file path=xl/tables/table3.xml><?xml version="1.0" encoding="utf-8"?>
<table xmlns="http://schemas.openxmlformats.org/spreadsheetml/2006/main" id="3" name="LessonsTable" displayName="LessonsTable" ref="A1:E7" headerRowCount="1">
  <tableColumns count="5">
    <tableColumn id="1" name="Урок"/>
    <tableColumn id="2" name="Главная тема"/>
    <tableColumn id="3" name="Исторические узлы"/>
    <tableColumn id="4" name="Что должен понять новичок"/>
    <tableColumn id="5" name="Статус"/>
  </tableColumns>
  <tableStyleInfo showFirstColumn="0" showLastColumn="0" showRowStripes="1" showColumnStripes="0"/>
</table>
</file>

<file path=xl/tables/table4.xml><?xml version="1.0" encoding="utf-8"?>
<table xmlns="http://schemas.openxmlformats.org/spreadsheetml/2006/main" id="4" name="SourcesTable" displayName="SourcesTable" ref="A1:E27" headerRowCount="1">
  <tableColumns count="5">
    <tableColumn id="1" name="Источник ID"/>
    <tableColumn id="2" name="Название"/>
    <tableColumn id="3" name="URL"/>
    <tableColumn id="4" name="Используется для"/>
    <tableColumn id="5" name="Примечание"/>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10" defaultColWidth="8.6640625" defaultRowHeight="13"/>
  <cols>
    <col width="37.1640625" customWidth="1" style="72" min="1" max="1"/>
    <col width="14.6640625" customWidth="1" style="72" min="2" max="2"/>
    <col width="50.5" customWidth="1" style="72" min="3" max="3"/>
    <col width="14.6640625" customWidth="1" style="72" min="4" max="5"/>
  </cols>
  <sheetData>
    <row r="1" ht="40" customHeight="1" s="72">
      <c r="A1" s="31" t="inlineStr">
        <is>
          <t>PHOTO LAB — Master Timeline v0.20</t>
        </is>
      </c>
      <c r="B1" s="20" t="n"/>
      <c r="C1" s="20" t="n"/>
      <c r="D1" s="20" t="n"/>
      <c r="E1" s="20" t="n"/>
      <c r="F1" s="20" t="n"/>
    </row>
    <row r="2" ht="37" customHeight="1" s="72">
      <c r="A2" s="73" t="inlineStr">
        <is>
          <t>KPI</t>
        </is>
      </c>
      <c r="B2" s="73" t="inlineStr">
        <is>
          <t>Значение</t>
        </is>
      </c>
      <c r="C2" s="73" t="inlineStr">
        <is>
          <t>Комментарий</t>
        </is>
      </c>
      <c r="D2" s="74" t="n"/>
      <c r="E2" s="74" t="n"/>
    </row>
    <row r="3" ht="21" customHeight="1" s="72">
      <c r="A3" s="80" t="inlineStr">
        <is>
          <t>Всего исторических узлов</t>
        </is>
      </c>
      <c r="B3" s="81">
        <f>COUNTA('01_Master_Facts'!$A$2:$A$800)</f>
        <v/>
      </c>
      <c r="C3" s="80" t="inlineStr">
        <is>
          <t>Количество строк в 01_Master_Facts</t>
        </is>
      </c>
      <c r="D3" s="75" t="n"/>
      <c r="E3" s="75" t="n"/>
    </row>
    <row r="4" ht="21" customHeight="1" s="72">
      <c r="A4" s="80" t="inlineStr">
        <is>
          <t>Узлов с важностью 5</t>
        </is>
      </c>
      <c r="B4" s="81">
        <f>COUNTIF('01_Master_Facts'!$N$2:$N$800,5)</f>
        <v/>
      </c>
      <c r="C4" s="80" t="inlineStr">
        <is>
          <t>Критические для карты и уроков</t>
        </is>
      </c>
      <c r="D4" s="75" t="n"/>
      <c r="E4" s="75" t="n"/>
    </row>
    <row r="5" ht="21" customHeight="1" s="72">
      <c r="A5" s="80" t="inlineStr">
        <is>
          <t>Узлов для PL-001–PL-041</t>
        </is>
      </c>
      <c r="B5" s="81">
        <f>SUM(E10:E55)</f>
        <v/>
      </c>
      <c r="C5" s="80" t="inlineStr">
        <is>
          <t>Узлы для заполненных PL; PL-040 пока планируется и даёт 0 узлов</t>
        </is>
      </c>
      <c r="D5" s="75" t="n"/>
      <c r="E5" s="75" t="n"/>
    </row>
    <row r="6" ht="42" customHeight="1" s="72">
      <c r="A6" s="80" t="inlineStr">
        <is>
          <t>Строк с пометкой «проверить позже»</t>
        </is>
      </c>
      <c r="B6" s="81">
        <f>COUNTA('01_Master_Facts'!$W$2:$W$800)</f>
        <v/>
      </c>
      <c r="C6" s="80" t="inlineStr">
        <is>
          <t>Живая формула: считает непустые ячейки в «Проверить позже»</t>
        </is>
      </c>
      <c r="D6" s="75" t="n"/>
      <c r="E6" s="75" t="n"/>
    </row>
    <row r="7" ht="17" customHeight="1" s="72">
      <c r="A7" s="75" t="n"/>
      <c r="B7" s="75" t="n"/>
      <c r="C7" s="75" t="n"/>
      <c r="D7" s="75" t="n"/>
      <c r="E7" s="75" t="n"/>
    </row>
    <row r="8" ht="17" customHeight="1" s="72">
      <c r="A8" s="75" t="n"/>
      <c r="B8" s="75" t="n"/>
      <c r="C8" s="75" t="n"/>
      <c r="D8" s="75" t="n"/>
      <c r="E8" s="75" t="n"/>
    </row>
    <row r="9" ht="37" customHeight="1" s="72">
      <c r="A9" s="73" t="inlineStr">
        <is>
          <t>Ветка развития</t>
        </is>
      </c>
      <c r="B9" s="73" t="inlineStr">
        <is>
          <t>Количество узлов</t>
        </is>
      </c>
      <c r="C9" s="75" t="n"/>
      <c r="D9" s="73" t="inlineStr">
        <is>
          <t>Урок</t>
        </is>
      </c>
      <c r="E9" s="73" t="inlineStr">
        <is>
          <t>Количество узлов</t>
        </is>
      </c>
    </row>
    <row r="10" ht="21" customHeight="1" s="72">
      <c r="A10" s="76" t="inlineStr">
        <is>
          <t>Оптика / камера-обскура</t>
        </is>
      </c>
      <c r="B10" s="76">
        <f>COUNTIF('01_Master_Facts'!$H$2:$H$800,A10)</f>
        <v/>
      </c>
      <c r="C10" s="75" t="n"/>
      <c r="D10" s="76" t="inlineStr">
        <is>
          <t>PL-001</t>
        </is>
      </c>
      <c r="E10" s="76">
        <f>COUNTIF('01_Master_Facts'!$O$2:$O$800,D10)</f>
        <v/>
      </c>
    </row>
    <row r="11" ht="21" customHeight="1" s="72">
      <c r="A11" s="76" t="inlineStr">
        <is>
          <t>Оптические инструменты</t>
        </is>
      </c>
      <c r="B11" s="76">
        <f>COUNTIF('01_Master_Facts'!$H$2:$H$800,A11)</f>
        <v/>
      </c>
      <c r="C11" s="75" t="n"/>
      <c r="D11" s="76" t="inlineStr">
        <is>
          <t>PL-002</t>
        </is>
      </c>
      <c r="E11" s="76">
        <f>COUNTIF('01_Master_Facts'!$O$2:$O$800,D11)</f>
        <v/>
      </c>
    </row>
    <row r="12" ht="21" customHeight="1" s="72">
      <c r="A12" s="76" t="inlineStr">
        <is>
          <t>Фотохимия</t>
        </is>
      </c>
      <c r="B12" s="76">
        <f>COUNTIF('01_Master_Facts'!$H$2:$H$800,A12)</f>
        <v/>
      </c>
      <c r="C12" s="75" t="n"/>
      <c r="D12" s="76" t="inlineStr">
        <is>
          <t>PL-003</t>
        </is>
      </c>
      <c r="E12" s="76">
        <f>COUNTIF('01_Master_Facts'!$O$2:$O$800,D12)</f>
        <v/>
      </c>
    </row>
    <row r="13" ht="21" customHeight="1" s="72">
      <c r="A13" s="76" t="inlineStr">
        <is>
          <t>Гелиография</t>
        </is>
      </c>
      <c r="B13" s="76">
        <f>COUNTIF('01_Master_Facts'!$H$2:$H$800,A13)</f>
        <v/>
      </c>
      <c r="C13" s="75" t="n"/>
      <c r="D13" s="76" t="inlineStr">
        <is>
          <t>PL-004</t>
        </is>
      </c>
      <c r="E13" s="76">
        <f>COUNTIF('01_Master_Facts'!$O$2:$O$800,D13)</f>
        <v/>
      </c>
    </row>
    <row r="14" ht="21" customHeight="1" s="72">
      <c r="A14" s="76" t="inlineStr">
        <is>
          <t>Дагеротип</t>
        </is>
      </c>
      <c r="B14" s="76">
        <f>COUNTIF('01_Master_Facts'!$H$2:$H$800,A14)</f>
        <v/>
      </c>
      <c r="C14" s="75" t="n"/>
      <c r="D14" s="76" t="inlineStr">
        <is>
          <t>PL-005</t>
        </is>
      </c>
      <c r="E14" s="76">
        <f>COUNTIF('01_Master_Facts'!$O$2:$O$800,D14)</f>
        <v/>
      </c>
    </row>
    <row r="15" ht="21" customHeight="1" s="72">
      <c r="A15" s="76" t="inlineStr">
        <is>
          <t>Фотогенный рисунок / фотограмма</t>
        </is>
      </c>
      <c r="B15" s="76">
        <f>COUNTIF('01_Master_Facts'!$H$2:$H$800,A15)</f>
        <v/>
      </c>
      <c r="C15" s="75" t="n"/>
      <c r="D15" s="76" t="inlineStr">
        <is>
          <t>PL-006</t>
        </is>
      </c>
      <c r="E15" s="76">
        <f>COUNTIF('01_Master_Facts'!$O$2:$O$800,D15)</f>
        <v/>
      </c>
    </row>
    <row r="16" ht="21" customHeight="1" s="72">
      <c r="A16" s="76" t="inlineStr">
        <is>
          <t>Негатив-позитив</t>
        </is>
      </c>
      <c r="B16" s="76">
        <f>COUNTIF('01_Master_Facts'!$H$2:$H$800,A16)</f>
        <v/>
      </c>
      <c r="C16" s="75" t="n"/>
      <c r="D16" s="76" t="inlineStr">
        <is>
          <t>PL-007</t>
        </is>
      </c>
      <c r="E16" s="76">
        <f>COUNTIF('01_Master_Facts'!$O$2:$O$800,D16)</f>
        <v/>
      </c>
    </row>
    <row r="17" ht="42" customHeight="1" s="72">
      <c r="A17" s="76" t="inlineStr">
        <is>
          <t>Печать / тиражирование</t>
        </is>
      </c>
      <c r="B17" s="76">
        <f>COUNTIF('01_Master_Facts'!$H$2:$H$800,A17)</f>
        <v/>
      </c>
      <c r="C17" s="75" t="n"/>
      <c r="D17" s="76" t="inlineStr">
        <is>
          <t>PL-008</t>
        </is>
      </c>
      <c r="E17" s="76">
        <f>COUNTIF('01_Master_Facts'!$O$2:$O$800,D17)</f>
        <v/>
      </c>
    </row>
    <row r="18" ht="21" customHeight="1" s="72">
      <c r="A18" s="76" t="inlineStr">
        <is>
          <t>Уникальный позитив</t>
        </is>
      </c>
      <c r="B18" s="76">
        <f>COUNTIF('01_Master_Facts'!$H$2:$H$800,A18)</f>
        <v/>
      </c>
      <c r="C18" s="75" t="n"/>
      <c r="D18" s="75" t="inlineStr">
        <is>
          <t>PL-009</t>
        </is>
      </c>
      <c r="E18" s="75">
        <f>COUNTIF('01_Master_Facts'!$O$2:$O$800,D18)</f>
        <v/>
      </c>
    </row>
    <row r="19" ht="21" customHeight="1" s="72">
      <c r="A19" s="76" t="inlineStr">
        <is>
          <t>Цвет</t>
        </is>
      </c>
      <c r="B19" s="76">
        <f>COUNTIF('01_Master_Facts'!$H$2:$H$800,A19)</f>
        <v/>
      </c>
      <c r="C19" s="75" t="n"/>
      <c r="D19" s="75" t="inlineStr">
        <is>
          <t>PL-010</t>
        </is>
      </c>
      <c r="E19" s="75">
        <f>COUNTIF('01_Master_Facts'!$O$2:$O$800,D19)</f>
        <v/>
      </c>
    </row>
    <row r="20" ht="21" customHeight="1" s="72">
      <c r="A20" s="76" t="inlineStr">
        <is>
          <t>Проекция / распространение</t>
        </is>
      </c>
      <c r="B20" s="76">
        <f>COUNTIF('01_Master_Facts'!$H$2:$H$800,A20)</f>
        <v/>
      </c>
      <c r="C20" s="75" t="n"/>
      <c r="D20" s="75" t="inlineStr">
        <is>
          <t>PL-011</t>
        </is>
      </c>
      <c r="E20" s="75">
        <f>COUNTIF('01_Master_Facts'!$O$2:$O$800,D20)</f>
        <v/>
      </c>
    </row>
    <row r="21" ht="21" customHeight="1" s="72">
      <c r="A21" s="76" t="inlineStr">
        <is>
          <t>Цвет</t>
        </is>
      </c>
      <c r="B21" s="76">
        <f>COUNTIF('01_Master_Facts'!$H$2:$H$600,A21)</f>
        <v/>
      </c>
      <c r="C21" s="75" t="n"/>
      <c r="D21" s="75" t="inlineStr">
        <is>
          <t>PL-012</t>
        </is>
      </c>
      <c r="E21" s="75">
        <f>COUNTIF('01_Master_Facts'!$O$2:$O$800,D21)</f>
        <v/>
      </c>
    </row>
    <row r="22" ht="21" customHeight="1" s="72">
      <c r="A22" s="76" t="inlineStr">
        <is>
          <t>Проекция / распространение</t>
        </is>
      </c>
      <c r="B22" s="76">
        <f>COUNTIF('01_Master_Facts'!$H$2:$H$600,A22)</f>
        <v/>
      </c>
      <c r="C22" s="75" t="n"/>
      <c r="D22" s="75" t="inlineStr">
        <is>
          <t>PL-013</t>
        </is>
      </c>
      <c r="E22" s="75">
        <f>COUNTIF('01_Master_Facts'!$O$2:$O$800,D22)</f>
        <v/>
      </c>
    </row>
    <row r="23" ht="20" customHeight="1" s="72">
      <c r="A23" s="76" t="n"/>
      <c r="B23" s="76" t="n"/>
      <c r="C23" s="75" t="n"/>
      <c r="D23" s="75" t="inlineStr">
        <is>
          <t>PL-014</t>
        </is>
      </c>
      <c r="E23" s="75">
        <f>COUNTIF('01_Master_Facts'!$O$2:$O$800,D23)</f>
        <v/>
      </c>
    </row>
    <row r="24" ht="20" customHeight="1" s="72">
      <c r="A24" s="76" t="n"/>
      <c r="B24" s="76" t="n"/>
      <c r="C24" s="75" t="n"/>
      <c r="D24" s="75" t="inlineStr">
        <is>
          <t>PL-015</t>
        </is>
      </c>
      <c r="E24" s="75">
        <f>COUNTIF('01_Master_Facts'!$O$2:$O$800,D24)</f>
        <v/>
      </c>
    </row>
    <row r="25" ht="42" customHeight="1" s="72">
      <c r="A25" s="73" t="n"/>
      <c r="B25" s="73" t="n"/>
      <c r="C25" s="75" t="n"/>
      <c r="D25" s="75" t="inlineStr">
        <is>
          <t>PL-016</t>
        </is>
      </c>
      <c r="E25" s="75">
        <f>COUNTIF('01_Master_Facts'!$O$2:$O$800,D25)</f>
        <v/>
      </c>
    </row>
    <row r="26" ht="21" customHeight="1" s="72">
      <c r="A26" s="76" t="n"/>
      <c r="B26" s="76" t="n"/>
      <c r="C26" s="75" t="n"/>
      <c r="D26" s="75" t="inlineStr">
        <is>
          <t>PL-017</t>
        </is>
      </c>
      <c r="E26" s="75">
        <f>COUNTIF('01_Master_Facts'!$O$2:$O$800,D26)</f>
        <v/>
      </c>
    </row>
    <row r="27" ht="21" customHeight="1" s="72">
      <c r="A27" s="76" t="n"/>
      <c r="B27" s="76" t="n"/>
      <c r="C27" s="75" t="n"/>
      <c r="D27" s="75" t="inlineStr">
        <is>
          <t>PL-018</t>
        </is>
      </c>
      <c r="E27" s="75">
        <f>COUNTIF('01_Master_Facts'!$O$2:$O$800,D27)</f>
        <v/>
      </c>
    </row>
    <row r="28" ht="21" customHeight="1" s="72">
      <c r="A28" s="76" t="n"/>
      <c r="B28" s="76" t="n"/>
      <c r="C28" s="75" t="n"/>
      <c r="D28" s="75" t="inlineStr">
        <is>
          <t>PL-019</t>
        </is>
      </c>
      <c r="E28" s="75">
        <f>COUNTIF('01_Master_Facts'!$O$2:$O$800,D28)</f>
        <v/>
      </c>
    </row>
    <row r="29" ht="21" customHeight="1" s="72">
      <c r="A29" s="76" t="n"/>
      <c r="B29" s="76" t="n"/>
      <c r="C29" s="75" t="n"/>
      <c r="D29" s="75" t="inlineStr">
        <is>
          <t>PL-020</t>
        </is>
      </c>
      <c r="E29" s="75">
        <f>COUNTIF('01_Master_Facts'!$O$2:$O$800,D29)</f>
        <v/>
      </c>
    </row>
    <row r="30" ht="21" customHeight="1" s="72">
      <c r="A30" s="76" t="n"/>
      <c r="B30" s="76" t="n"/>
      <c r="C30" s="75" t="n"/>
      <c r="D30" s="75" t="inlineStr">
        <is>
          <t>PL-021</t>
        </is>
      </c>
      <c r="E30" s="75">
        <f>COUNTIF('01_Master_Facts'!$O$2:$O$800,D30)</f>
        <v/>
      </c>
    </row>
    <row r="31" ht="21" customHeight="1" s="72">
      <c r="A31" s="76" t="n"/>
      <c r="B31" s="76" t="n"/>
      <c r="C31" s="75" t="n"/>
      <c r="D31" s="75" t="inlineStr">
        <is>
          <t>PL-022</t>
        </is>
      </c>
      <c r="E31" s="75">
        <f>COUNTIF('01_Master_Facts'!$O$2:$O$800,D31)</f>
        <v/>
      </c>
    </row>
    <row r="32" ht="21" customHeight="1" s="72">
      <c r="A32" s="76" t="n"/>
      <c r="B32" s="76" t="n"/>
      <c r="C32" s="75" t="n"/>
      <c r="D32" s="75" t="inlineStr">
        <is>
          <t>PL-023</t>
        </is>
      </c>
      <c r="E32" s="75">
        <f>COUNTIF('01_Master_Facts'!$O$2:$O$800,D32)</f>
        <v/>
      </c>
    </row>
    <row r="33" ht="21" customHeight="1" s="72">
      <c r="A33" s="76" t="n"/>
      <c r="B33" s="76" t="n"/>
      <c r="C33" s="75" t="n"/>
      <c r="D33" s="75" t="inlineStr">
        <is>
          <t>PL-024</t>
        </is>
      </c>
      <c r="E33" s="75">
        <f>COUNTIF('01_Master_Facts'!$O$2:$O$800,D33)</f>
        <v/>
      </c>
    </row>
    <row r="34" ht="21" customHeight="1" s="72">
      <c r="A34" s="76" t="n"/>
      <c r="B34" s="76" t="n"/>
      <c r="C34" s="75" t="n"/>
      <c r="D34" s="75" t="inlineStr">
        <is>
          <t>PL-025</t>
        </is>
      </c>
      <c r="E34" s="75">
        <f>COUNTIF('01_Master_Facts'!$O$2:$O$800,D34)</f>
        <v/>
      </c>
    </row>
    <row r="35" ht="21" customHeight="1" s="72">
      <c r="A35" s="76" t="n"/>
      <c r="B35" s="76" t="n"/>
      <c r="C35" s="75" t="n"/>
      <c r="D35" s="75" t="inlineStr">
        <is>
          <t>PL-026</t>
        </is>
      </c>
      <c r="E35" s="75">
        <f>COUNTIF('01_Master_Facts'!$O$2:$O$800,D35)</f>
        <v/>
      </c>
    </row>
    <row r="36" ht="21" customHeight="1" s="72">
      <c r="A36" s="76" t="n"/>
      <c r="B36" s="76" t="n"/>
      <c r="C36" s="75" t="n"/>
      <c r="D36" s="75" t="inlineStr">
        <is>
          <t>PL-027</t>
        </is>
      </c>
      <c r="E36" s="75">
        <f>COUNTIF('01_Master_Facts'!$O$2:$O$800,D36)</f>
        <v/>
      </c>
    </row>
    <row r="37" ht="20" customHeight="1" s="72">
      <c r="A37" s="76" t="n"/>
      <c r="B37" s="76" t="n"/>
      <c r="C37" s="75" t="n"/>
      <c r="D37" s="75" t="inlineStr">
        <is>
          <t>PL-028</t>
        </is>
      </c>
      <c r="E37" s="75">
        <f>COUNTIF('01_Master_Facts'!$O$2:$O$800,D37)</f>
        <v/>
      </c>
    </row>
    <row r="38" ht="20" customHeight="1" s="72">
      <c r="A38" s="76" t="n"/>
      <c r="B38" s="76" t="n"/>
      <c r="C38" s="75" t="n"/>
      <c r="D38" s="75" t="inlineStr">
        <is>
          <t>PL-029</t>
        </is>
      </c>
      <c r="E38" s="75">
        <f>COUNTIF('01_Master_Facts'!$O$2:$O$800,D38)</f>
        <v/>
      </c>
    </row>
    <row r="39" ht="20" customHeight="1" s="72">
      <c r="A39" s="76" t="n"/>
      <c r="B39" s="76" t="n"/>
      <c r="C39" s="75" t="n"/>
      <c r="D39" s="75" t="inlineStr">
        <is>
          <t>PL-030</t>
        </is>
      </c>
      <c r="E39" s="75">
        <f>COUNTIF('01_Master_Facts'!$O$2:$O$800,D39)</f>
        <v/>
      </c>
    </row>
    <row r="40" ht="20" customHeight="1" s="72">
      <c r="A40" s="76" t="n"/>
      <c r="B40" s="76" t="n"/>
      <c r="C40" s="75" t="n"/>
      <c r="D40" s="75" t="inlineStr">
        <is>
          <t>PL-031</t>
        </is>
      </c>
      <c r="E40" s="75">
        <f>COUNTIF('01_Master_Facts'!$O$2:$O$800,D40)</f>
        <v/>
      </c>
    </row>
    <row r="41" ht="20" customHeight="1" s="72">
      <c r="A41" s="4" t="n"/>
      <c r="B41" s="4" t="n"/>
      <c r="D41" t="inlineStr">
        <is>
          <t>PL-032</t>
        </is>
      </c>
      <c r="E41">
        <f>COUNTIF('01_Master_Facts'!$O$2:$O$800,D41)</f>
        <v/>
      </c>
    </row>
    <row r="42" ht="20" customHeight="1" s="72">
      <c r="A42" s="4" t="n"/>
      <c r="B42" s="4" t="n"/>
      <c r="D42" t="inlineStr">
        <is>
          <t>PL-033</t>
        </is>
      </c>
      <c r="E42">
        <f>COUNTIF('01_Master_Facts'!$O$2:$O$800,D42)</f>
        <v/>
      </c>
    </row>
    <row r="43" ht="20" customHeight="1" s="72">
      <c r="A43" s="4" t="n"/>
      <c r="B43" s="4" t="n"/>
      <c r="D43" t="inlineStr">
        <is>
          <t>PL-034</t>
        </is>
      </c>
      <c r="E43">
        <f>COUNTIF('01_Master_Facts'!$O$2:$O$800,D43)</f>
        <v/>
      </c>
    </row>
    <row r="44" ht="20" customHeight="1" s="72">
      <c r="A44" s="4" t="n"/>
      <c r="B44" s="4" t="n"/>
      <c r="D44" t="inlineStr">
        <is>
          <t>PL-035</t>
        </is>
      </c>
      <c r="E44">
        <f>COUNTIF('01_Master_Facts'!$O$2:$O$800,D44)</f>
        <v/>
      </c>
    </row>
    <row r="45" ht="20" customHeight="1" s="72">
      <c r="A45" s="4" t="n"/>
      <c r="B45" s="4" t="n"/>
      <c r="D45" t="inlineStr">
        <is>
          <t>PL-036</t>
        </is>
      </c>
      <c r="E45">
        <f>COUNTIF('01_Master_Facts'!$O$2:$O$800,D45)</f>
        <v/>
      </c>
    </row>
    <row r="46" ht="20" customHeight="1" s="72">
      <c r="A46" s="4" t="n"/>
      <c r="B46" s="4" t="n"/>
      <c r="D46" t="inlineStr">
        <is>
          <t>PL-037</t>
        </is>
      </c>
      <c r="E46">
        <f>COUNTIF('01_Master_Facts'!$O$2:$O$800,D46)</f>
        <v/>
      </c>
    </row>
    <row r="47">
      <c r="D47" t="inlineStr">
        <is>
          <t>PL-038</t>
        </is>
      </c>
      <c r="E47">
        <f>COUNTIF('01_Master_Facts'!$O$2:$O$800,D47)</f>
        <v/>
      </c>
    </row>
    <row r="48">
      <c r="D48" t="inlineStr">
        <is>
          <t>PL-039</t>
        </is>
      </c>
      <c r="E48">
        <f>COUNTIF('01_Master_Facts'!$O$2:$O$800,D48)</f>
        <v/>
      </c>
    </row>
    <row r="49">
      <c r="D49" t="inlineStr">
        <is>
          <t>PL-040</t>
        </is>
      </c>
      <c r="E49">
        <f>COUNTIF('01_Master_Facts'!$O$2:$O$800,D49)</f>
        <v/>
      </c>
    </row>
    <row r="50">
      <c r="D50" t="inlineStr">
        <is>
          <t>PL-041</t>
        </is>
      </c>
      <c r="E50">
        <f>COUNTIF('01_Master_Facts'!$O$2:$O$800,D50)</f>
        <v/>
      </c>
    </row>
    <row r="51">
      <c r="D51" t="inlineStr">
        <is>
          <t>PL-042</t>
        </is>
      </c>
      <c r="E51">
        <f>COUNTIF('01_Master_Facts'!$O$2:$O$800,D51)</f>
        <v/>
      </c>
    </row>
    <row r="52">
      <c r="D52" t="inlineStr">
        <is>
          <t>PL-043</t>
        </is>
      </c>
      <c r="E52">
        <f>COUNTIF('01_Master_Facts'!$O$2:$O$800,D52)</f>
        <v/>
      </c>
    </row>
    <row r="53">
      <c r="D53" t="inlineStr">
        <is>
          <t>PL-044</t>
        </is>
      </c>
      <c r="E53">
        <f>COUNTIF('01_Master_Facts'!$O$2:$O$800,D53)</f>
        <v/>
      </c>
    </row>
    <row r="54">
      <c r="D54" t="inlineStr">
        <is>
          <t>PL-045</t>
        </is>
      </c>
      <c r="E54">
        <f>COUNTIF('01_Master_Facts'!$O$2:$O$800,D54)</f>
        <v/>
      </c>
    </row>
    <row r="55">
      <c r="A55" t="inlineStr">
        <is>
          <t>Фундаментальная предпосылка</t>
        </is>
      </c>
      <c r="B55">
        <f>COUNTIF('01_Master_Facts'!$Z$2:$Z$800,"Фундаментальная предпосылка")</f>
        <v/>
      </c>
      <c r="D55" t="inlineStr">
        <is>
          <t>PL-046</t>
        </is>
      </c>
      <c r="E55">
        <f>COUNTIF('01_Master_Facts'!$O$2:$O$800,D55)</f>
        <v/>
      </c>
    </row>
    <row r="56">
      <c r="A56" t="inlineStr">
        <is>
          <t>Технология / процесс</t>
        </is>
      </c>
      <c r="B56">
        <f>COUNTIF('01_Master_Facts'!$Z$2:$Z$800,"Технология / процесс")</f>
        <v/>
      </c>
      <c r="D56" t="inlineStr">
        <is>
          <t>будущие PL</t>
        </is>
      </c>
      <c r="E56">
        <f>COUNTIF('01_Master_Facts'!$O$2:$O$800,D56)</f>
        <v/>
      </c>
    </row>
    <row r="57">
      <c r="A57" t="inlineStr">
        <is>
          <t>Инструмент / устройство</t>
        </is>
      </c>
      <c r="B57">
        <f>COUNTIF('01_Master_Facts'!$Z$2:$Z$800,"Инструмент / устройство")</f>
        <v/>
      </c>
      <c r="D57" t="inlineStr">
        <is>
          <t>межурочный узел</t>
        </is>
      </c>
      <c r="E57">
        <f>COUNTIF('01_Master_Facts'!$O$2:$O$800,D57)</f>
        <v/>
      </c>
    </row>
    <row r="58">
      <c r="A58" t="inlineStr">
        <is>
          <t>Публикация / объявление</t>
        </is>
      </c>
      <c r="B58">
        <f>COUNTIF('01_Master_Facts'!$Z$2:$Z$800,"Публикация / объявление")</f>
        <v/>
      </c>
    </row>
    <row r="59">
      <c r="A59" t="inlineStr">
        <is>
          <t>Терминология / язык</t>
        </is>
      </c>
      <c r="B59">
        <f>COUNTIF('01_Master_Facts'!$Z$2:$Z$800,"Терминология / язык")</f>
        <v/>
      </c>
    </row>
    <row r="60">
      <c r="A60" t="inlineStr">
        <is>
          <t>Связь / переход</t>
        </is>
      </c>
      <c r="B60">
        <f>COUNTIF('01_Master_Facts'!$Z$2:$Z$800,"Связь / переход")</f>
        <v/>
      </c>
    </row>
    <row r="61">
      <c r="A61" t="inlineStr">
        <is>
          <t>Тиражирование / публикация</t>
        </is>
      </c>
      <c r="B61">
        <f>COUNTIF('01_Master_Facts'!$Z$2:$Z$800,"Тиражирование / публикация")</f>
        <v/>
      </c>
    </row>
    <row r="62">
      <c r="A62" t="inlineStr">
        <is>
          <t>Распространение / коммерциализация</t>
        </is>
      </c>
      <c r="B62">
        <f>COUNTIF('01_Master_Facts'!$Z$2:$Z$800,"Распространение / коммерциализация")</f>
        <v/>
      </c>
    </row>
    <row r="63">
      <c r="A63" t="inlineStr">
        <is>
          <t>Научное применение / пример</t>
        </is>
      </c>
      <c r="B63">
        <f>COUNTIF('01_Master_Facts'!$Z$2:$Z$800,"Научное применение / пример")</f>
        <v/>
      </c>
    </row>
    <row r="64">
      <c r="A64" t="inlineStr">
        <is>
          <t>Применение / жанр</t>
        </is>
      </c>
      <c r="B64">
        <f>COUNTIF('01_Master_Facts'!$Z$2:$Z$800,"Применение / жанр")</f>
        <v/>
      </c>
    </row>
    <row r="65">
      <c r="A65" t="inlineStr">
        <is>
          <t>Ключевой исторический узел</t>
        </is>
      </c>
      <c r="B65">
        <f>COUNTIF('01_Master_Facts'!$Z$2:$Z$800,"Ключевой исторический узел")</f>
        <v/>
      </c>
    </row>
  </sheetData>
  <mergeCells count="1">
    <mergeCell ref="A1:F1"/>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A484"/>
  <sheetViews>
    <sheetView workbookViewId="0">
      <selection activeCell="A1" sqref="A1"/>
    </sheetView>
  </sheetViews>
  <sheetFormatPr baseColWidth="10" defaultColWidth="8.6640625" defaultRowHeight="13"/>
  <cols>
    <col width="14" customWidth="1" style="72" min="1" max="1"/>
    <col width="16" customWidth="1" style="72" min="2" max="3"/>
    <col width="20" customWidth="1" style="72" min="4" max="4"/>
    <col width="22" customWidth="1" style="72" min="5" max="5"/>
    <col width="24" customWidth="1" style="72" min="6" max="6"/>
    <col width="44" customWidth="1" style="72" min="7" max="7"/>
    <col width="24" customWidth="1" style="72" min="8" max="9"/>
    <col width="46" customWidth="1" style="72" min="10" max="10"/>
    <col width="30" customWidth="1" style="72" min="11" max="12"/>
    <col width="26" customWidth="1" style="72" min="13" max="13"/>
    <col width="12" customWidth="1" style="72" min="14" max="14"/>
    <col width="18" customWidth="1" style="72" min="15" max="15"/>
    <col width="12" customWidth="1" style="72" min="16" max="16"/>
    <col width="34" customWidth="1" style="72" min="17" max="17"/>
    <col width="52" customWidth="1" style="72" min="18" max="18"/>
    <col width="14" customWidth="1" style="72" min="19" max="19"/>
    <col width="46" customWidth="1" style="72" min="20" max="20"/>
    <col width="38" customWidth="1" style="72" min="21" max="21"/>
    <col width="24" customWidth="1" style="72" min="22" max="22"/>
    <col width="34" customWidth="1" style="72" min="23" max="23"/>
    <col width="20" customWidth="1" style="72" min="24" max="24"/>
    <col width="28" customWidth="1" style="72" min="25" max="25"/>
    <col width="26" customWidth="1" style="72" min="26" max="26"/>
    <col width="16" customWidth="1" style="72" min="27" max="27"/>
  </cols>
  <sheetData>
    <row r="1" ht="37" customHeight="1" s="72">
      <c r="A1" s="73" t="inlineStr">
        <is>
          <t>ID</t>
        </is>
      </c>
      <c r="B1" s="73" t="inlineStr">
        <is>
          <t>Период / дата</t>
        </is>
      </c>
      <c r="C1" s="73" t="inlineStr">
        <is>
          <t>Точность даты</t>
        </is>
      </c>
      <c r="D1" s="73" t="inlineStr">
        <is>
          <t>Страна</t>
        </is>
      </c>
      <c r="E1" s="73" t="inlineStr">
        <is>
          <t>Город / регион</t>
        </is>
      </c>
      <c r="F1" s="73" t="inlineStr">
        <is>
          <t>Персона / группа</t>
        </is>
      </c>
      <c r="G1" s="73" t="inlineStr">
        <is>
          <t>Событие</t>
        </is>
      </c>
      <c r="H1" s="73" t="inlineStr">
        <is>
          <t>Ветка развития</t>
        </is>
      </c>
      <c r="I1" s="73" t="inlineStr">
        <is>
          <t>Технология / процесс</t>
        </is>
      </c>
      <c r="J1" s="73" t="inlineStr">
        <is>
          <t>Что изменилось</t>
        </is>
      </c>
      <c r="K1" s="73" t="inlineStr">
        <is>
          <t>Предыдущая связь</t>
        </is>
      </c>
      <c r="L1" s="73" t="inlineStr">
        <is>
          <t>Следующая связь</t>
        </is>
      </c>
      <c r="M1" s="73" t="inlineStr">
        <is>
          <t>Статус ветки</t>
        </is>
      </c>
      <c r="N1" s="73" t="inlineStr">
        <is>
          <t>Важность 1–5</t>
        </is>
      </c>
      <c r="O1" s="73" t="inlineStr">
        <is>
          <t>Привязка к уроку</t>
        </is>
      </c>
      <c r="P1" s="73" t="inlineStr">
        <is>
          <t>Источник ID</t>
        </is>
      </c>
      <c r="Q1" s="73" t="inlineStr">
        <is>
          <t>Название источника</t>
        </is>
      </c>
      <c r="R1" s="73" t="inlineStr">
        <is>
          <t>URL источника</t>
        </is>
      </c>
      <c r="S1" s="73" t="inlineStr">
        <is>
          <t>Уверенность 1–5</t>
        </is>
      </c>
      <c r="T1" s="73" t="inlineStr">
        <is>
          <t>Комментарий для лекции</t>
        </is>
      </c>
      <c r="U1" s="73" t="inlineStr">
        <is>
          <t>Визуальная идея для карты</t>
        </is>
      </c>
      <c r="V1" s="73" t="inlineStr">
        <is>
          <t>Теги</t>
        </is>
      </c>
      <c r="W1" s="73" t="inlineStr">
        <is>
          <t>Проверить позже</t>
        </is>
      </c>
      <c r="X1" s="74" t="inlineStr">
        <is>
          <t>Координаты (lat, lon)</t>
        </is>
      </c>
      <c r="Y1" s="74" t="inlineStr">
        <is>
          <t>Подветка (детали)</t>
        </is>
      </c>
      <c r="Z1" s="74" t="inlineStr">
        <is>
          <t>Тип узла</t>
        </is>
      </c>
      <c r="AA1" s="75" t="inlineStr">
        <is>
          <t>Флагман урока (да/нет)</t>
        </is>
      </c>
    </row>
    <row r="2" ht="60" customHeight="1" s="72">
      <c r="A2" s="5" t="inlineStr">
        <is>
          <t>PL-HIST-0001</t>
        </is>
      </c>
      <c r="B2" s="5" t="inlineStr">
        <is>
          <t>ок. 1011–1021</t>
        </is>
      </c>
      <c r="C2" s="5" t="inlineStr">
        <is>
          <t>диапазон</t>
        </is>
      </c>
      <c r="D2" s="5" t="inlineStr">
        <is>
          <t>Египет / исламский научный мир</t>
        </is>
      </c>
      <c r="E2" s="5" t="inlineStr">
        <is>
          <t>Каир / Басра (контекст учёного)</t>
        </is>
      </c>
      <c r="F2" s="5" t="inlineStr">
        <is>
          <t>Ибн аль-Хайсам (Альхазен)</t>
        </is>
      </c>
      <c r="G2" s="5" t="inlineStr">
        <is>
          <t>В «Книге оптики» системно исследует свет, зрение и опыт тёмной комнаты с малым отверстием.</t>
        </is>
      </c>
      <c r="H2" s="5" t="inlineStr">
        <is>
          <t>Оптика / камера-обскура</t>
        </is>
      </c>
      <c r="I2" s="5" t="inlineStr">
        <is>
          <t>Камера-обскура / pinhole image</t>
        </is>
      </c>
      <c r="J2" s="5" t="inlineStr">
        <is>
          <t>Фотографии ещё нет, но появляется научная база: свет распространяется прямыми линиями и может строить изображение.</t>
        </is>
      </c>
      <c r="K2" s="5" t="inlineStr">
        <is>
          <t>Античная оптика и астрономические наблюдения</t>
        </is>
      </c>
      <c r="L2" s="5" t="inlineStr">
        <is>
          <t>Европейская оптика, камера-обскура как инструмент наблюдения</t>
        </is>
      </c>
      <c r="M2" s="5" t="inlineStr">
        <is>
          <t>Оптическая предпосылка</t>
        </is>
      </c>
      <c r="N2" s="6" t="n">
        <v>5</v>
      </c>
      <c r="O2" s="5" t="inlineStr">
        <is>
          <t>PL-001</t>
        </is>
      </c>
      <c r="P2" s="5" t="inlineStr">
        <is>
          <t>SRC-001</t>
        </is>
      </c>
      <c r="Q2" s="5" t="inlineStr">
        <is>
          <t>AramcoWorld — Ibn al-Haytham: Testing is Believing</t>
        </is>
      </c>
      <c r="R2" s="5" t="inlineStr">
        <is>
          <t>https://www.aramcoworld.com/en/articles/2023/ibn-al-haytham-testing-is-believing</t>
        </is>
      </c>
      <c r="S2" s="6" t="n">
        <v>4</v>
      </c>
      <c r="T2" s="5" t="inlineStr">
        <is>
          <t>Важно сказать аккуратно: он не изобрёл фотографию, а дал фундамент для понимания изображения светом.</t>
        </is>
      </c>
      <c r="U2" s="5" t="inlineStr">
        <is>
          <t>Стартовая точка карты: луч света входит в тёмную комнату и строит перевёрнутое изображение.</t>
        </is>
      </c>
      <c r="V2" s="5" t="inlineStr">
        <is>
          <t>#оптика #камера-обскура #ИбнАльХайсам #PL001</t>
        </is>
      </c>
      <c r="W2" s="5" t="inlineStr">
        <is>
          <t>Уточнить формулировку места: не привязывать к современной стране слишком жёстко.</t>
        </is>
      </c>
      <c r="X2" t="inlineStr">
        <is>
          <t>30.0444, 31.2357</t>
        </is>
      </c>
      <c r="Z2" t="inlineStr">
        <is>
          <t>Фундаментальная предпосылка</t>
        </is>
      </c>
      <c r="AA2" t="inlineStr">
        <is>
          <t>да</t>
        </is>
      </c>
    </row>
    <row r="3" ht="60" customHeight="1" s="72">
      <c r="A3" s="5" t="inlineStr">
        <is>
          <t>PL-HIST-0002</t>
        </is>
      </c>
      <c r="B3" s="5" t="inlineStr">
        <is>
          <t>1545</t>
        </is>
      </c>
      <c r="C3" s="5" t="inlineStr">
        <is>
          <t>год</t>
        </is>
      </c>
      <c r="D3" s="5" t="inlineStr">
        <is>
          <t>Нидерланды / Священная Римская империя</t>
        </is>
      </c>
      <c r="E3" s="5" t="inlineStr">
        <is>
          <t>Лёвен / Фрисландия (контекст публикации)</t>
        </is>
      </c>
      <c r="F3" s="5" t="inlineStr">
        <is>
          <t>Гемма Фризиус</t>
        </is>
      </c>
      <c r="G3" s="5" t="inlineStr">
        <is>
          <t>Публикует один из ранних известных рисунков камеры-обскуры, использованной для наблюдения солнечного затмения.</t>
        </is>
      </c>
      <c r="H3" s="5" t="inlineStr">
        <is>
          <t>Оптика / камера-обскура</t>
        </is>
      </c>
      <c r="I3" s="5" t="inlineStr">
        <is>
          <t>Камера-обскура как астрономический инструмент</t>
        </is>
      </c>
      <c r="J3" s="5" t="inlineStr">
        <is>
          <t>Принцип тёмной комнаты становится не только философским описанием, но и изображаемым инструментом наблюдения.</t>
        </is>
      </c>
      <c r="K3" s="5" t="inlineStr">
        <is>
          <t>Ибн аль-Хайсам и средневековая оптика</t>
        </is>
      </c>
      <c r="L3" s="5" t="inlineStr">
        <is>
          <t>Линза и художественное применение камеры-обскуры</t>
        </is>
      </c>
      <c r="M3" s="5" t="inlineStr">
        <is>
          <t>Оптическая предпосылка</t>
        </is>
      </c>
      <c r="N3" s="6" t="n">
        <v>3</v>
      </c>
      <c r="O3" s="5" t="inlineStr">
        <is>
          <t>PL-001</t>
        </is>
      </c>
      <c r="P3" s="5" t="inlineStr">
        <is>
          <t>SRC-003</t>
        </is>
      </c>
      <c r="Q3" s="5" t="inlineStr">
        <is>
          <t>Max Planck Institute — Camera Obscura PDF</t>
        </is>
      </c>
      <c r="R3" s="5" t="inlineStr">
        <is>
          <t>https://www.mpiwg-berlin.mpg.de/sites/default/files/Preprints/P307.pdf</t>
        </is>
      </c>
      <c r="S3" s="6" t="n">
        <v>3</v>
      </c>
      <c r="T3" s="5" t="inlineStr">
        <is>
          <t>Можно использовать как промежуточный узел: камера-обскура служит не фотографии, а безопасному наблюдению солнца.</t>
        </is>
      </c>
      <c r="U3" s="5" t="inlineStr">
        <is>
          <t>Иконка солнечного затмения + тёмная комната.</t>
        </is>
      </c>
      <c r="V3" s="5" t="inlineStr">
        <is>
          <t>#оптика #астрономия #камера-обскура</t>
        </is>
      </c>
      <c r="W3" s="5" t="inlineStr">
        <is>
          <t>Нужен первичный источник/точная ссылка на публикацию Frisius.</t>
        </is>
      </c>
      <c r="X3" t="inlineStr">
        <is>
          <t>50.8798, 4.7005</t>
        </is>
      </c>
      <c r="Z3" t="inlineStr">
        <is>
          <t>Инструмент / устройство</t>
        </is>
      </c>
    </row>
    <row r="4" ht="60" customHeight="1" s="72">
      <c r="A4" s="5" t="inlineStr">
        <is>
          <t>PL-HIST-0003</t>
        </is>
      </c>
      <c r="B4" s="5" t="inlineStr">
        <is>
          <t>1550</t>
        </is>
      </c>
      <c r="C4" s="5" t="inlineStr">
        <is>
          <t>год</t>
        </is>
      </c>
      <c r="D4" s="5" t="inlineStr">
        <is>
          <t>Италия</t>
        </is>
      </c>
      <c r="E4" s="5" t="inlineStr">
        <is>
          <t>Павия / Италия</t>
        </is>
      </c>
      <c r="F4" s="5" t="inlineStr">
        <is>
          <t>Джероламо Кардано</t>
        </is>
      </c>
      <c r="G4" s="5" t="inlineStr">
        <is>
          <t>Описывает использование стеклянной линзы в камере-обскуре для улучшения изображения.</t>
        </is>
      </c>
      <c r="H4" s="5" t="inlineStr">
        <is>
          <t>Оптика / камера-обскура</t>
        </is>
      </c>
      <c r="I4" s="5" t="inlineStr">
        <is>
          <t>Линза в камере-обскуре</t>
        </is>
      </c>
      <c r="J4" s="5" t="inlineStr">
        <is>
          <t>Камера-обскура становится ближе к будущей камере: не просто отверстие, а оптическое формирование более яркого и резкого изображения.</t>
        </is>
      </c>
      <c r="K4" s="5" t="inlineStr">
        <is>
          <t>Пинхол / тёмная комната</t>
        </is>
      </c>
      <c r="L4" s="5" t="inlineStr">
        <is>
          <t>Della Porta и популяризация камеры-обскуры</t>
        </is>
      </c>
      <c r="M4" s="5" t="inlineStr">
        <is>
          <t>Оптическая предпосылка</t>
        </is>
      </c>
      <c r="N4" s="6" t="n">
        <v>4</v>
      </c>
      <c r="O4" s="5" t="inlineStr">
        <is>
          <t>PL-001</t>
        </is>
      </c>
      <c r="P4" s="5" t="inlineStr">
        <is>
          <t>SRC-002</t>
        </is>
      </c>
      <c r="Q4" s="5" t="inlineStr">
        <is>
          <t>IMSS / Museo Galileo — Camera Obscura</t>
        </is>
      </c>
      <c r="R4" s="5" t="inlineStr">
        <is>
          <t>https://redi.imss.fi.it/inventions/index.php/Camera_Obscura</t>
        </is>
      </c>
      <c r="S4" s="6" t="n">
        <v>4</v>
      </c>
      <c r="T4" s="5" t="inlineStr">
        <is>
          <t>Для новичка: отверстие даёт картинку, линза делает её ярче и удобнее.</t>
        </is>
      </c>
      <c r="U4" s="5" t="inlineStr">
        <is>
          <t>На линии добавить маленькую линзу перед тёмной комнатой.</t>
        </is>
      </c>
      <c r="V4" s="5" t="inlineStr">
        <is>
          <t>#оптика #линза #камера</t>
        </is>
      </c>
      <c r="W4" s="5" t="n"/>
      <c r="X4" t="inlineStr">
        <is>
          <t>45.1847, 9.1582</t>
        </is>
      </c>
      <c r="Z4" t="inlineStr">
        <is>
          <t>Инструмент / устройство</t>
        </is>
      </c>
    </row>
    <row r="5" ht="60" customHeight="1" s="72">
      <c r="A5" s="5" t="inlineStr">
        <is>
          <t>PL-HIST-0004</t>
        </is>
      </c>
      <c r="B5" s="5" t="inlineStr">
        <is>
          <t>1558</t>
        </is>
      </c>
      <c r="C5" s="5" t="inlineStr">
        <is>
          <t>год</t>
        </is>
      </c>
      <c r="D5" s="5" t="inlineStr">
        <is>
          <t>Италия</t>
        </is>
      </c>
      <c r="E5" s="5" t="inlineStr">
        <is>
          <t>Неаполь</t>
        </is>
      </c>
      <c r="F5" s="5" t="inlineStr">
        <is>
          <t>Джамбаттиста делла Порта</t>
        </is>
      </c>
      <c r="G5" s="5" t="inlineStr">
        <is>
          <t>В «Magia Naturalis» описывает камеру-обскуру как зрелищный и практический инструмент наблюдения/рисования.</t>
        </is>
      </c>
      <c r="H5" s="5" t="inlineStr">
        <is>
          <t>Оптика / камера-обскура</t>
        </is>
      </c>
      <c r="I5" s="5" t="inlineStr">
        <is>
          <t>Камера-обскура как инструмент художника</t>
        </is>
      </c>
      <c r="J5" s="5" t="inlineStr">
        <is>
          <t>Камера-обскура входит в европейскую культуру изображения: становится помощником перспективы и точного рисунка.</t>
        </is>
      </c>
      <c r="K5" s="5" t="inlineStr">
        <is>
          <t>Кардано и линза</t>
        </is>
      </c>
      <c r="L5" s="5" t="inlineStr">
        <is>
          <t>Kepler, портативные камеры-обскуры</t>
        </is>
      </c>
      <c r="M5" s="5" t="inlineStr">
        <is>
          <t>Оптическая предпосылка</t>
        </is>
      </c>
      <c r="N5" s="6" t="n">
        <v>4</v>
      </c>
      <c r="O5" s="5" t="inlineStr">
        <is>
          <t>PL-001</t>
        </is>
      </c>
      <c r="P5" s="5" t="inlineStr">
        <is>
          <t>SRC-002</t>
        </is>
      </c>
      <c r="Q5" s="5" t="inlineStr">
        <is>
          <t>IMSS / Museo Galileo — Camera Obscura</t>
        </is>
      </c>
      <c r="R5" s="5" t="inlineStr">
        <is>
          <t>https://redi.imss.fi.it/inventions/index.php/Camera_Obscura</t>
        </is>
      </c>
      <c r="S5" s="6" t="n">
        <v>4</v>
      </c>
      <c r="T5" s="5" t="inlineStr">
        <is>
          <t>Здесь можно показать мост от науки к искусству: камера ещё не фотографирует, но уже помогает изображать реальность.</t>
        </is>
      </c>
      <c r="U5" s="5" t="inlineStr">
        <is>
          <t>Иконка художника, который обводит проекцию.</t>
        </is>
      </c>
      <c r="V5" s="5" t="inlineStr">
        <is>
          <t>#оптика #искусство #DellaPorta</t>
        </is>
      </c>
      <c r="W5" s="5" t="n"/>
      <c r="X5" t="inlineStr">
        <is>
          <t>40.8518, 14.2681</t>
        </is>
      </c>
      <c r="Z5" t="inlineStr">
        <is>
          <t>Применение / жанр</t>
        </is>
      </c>
    </row>
    <row r="6" ht="40" customHeight="1" s="72">
      <c r="A6" s="5" t="inlineStr">
        <is>
          <t>PL-HIST-0005</t>
        </is>
      </c>
      <c r="B6" s="5" t="inlineStr">
        <is>
          <t>1604</t>
        </is>
      </c>
      <c r="C6" s="5" t="inlineStr">
        <is>
          <t>год</t>
        </is>
      </c>
      <c r="D6" s="5" t="inlineStr">
        <is>
          <t>Германия</t>
        </is>
      </c>
      <c r="E6" s="5" t="inlineStr">
        <is>
          <t>Прага / Линц (контекст Kepler)</t>
        </is>
      </c>
      <c r="F6" s="5" t="inlineStr">
        <is>
          <t>Иоганн Кеплер</t>
        </is>
      </c>
      <c r="G6" s="5" t="inlineStr">
        <is>
          <t>Использует/закрепляет термин «camera obscura» и анализирует формирование оптического изображения.</t>
        </is>
      </c>
      <c r="H6" s="5" t="inlineStr">
        <is>
          <t>Оптика / камера-обскура</t>
        </is>
      </c>
      <c r="I6" s="5" t="inlineStr">
        <is>
          <t>Camera obscura</t>
        </is>
      </c>
      <c r="J6" s="5" t="inlineStr">
        <is>
          <t>Понятие получает устойчивое научное имя и входит в язык оптики.</t>
        </is>
      </c>
      <c r="K6" s="5" t="inlineStr">
        <is>
          <t>Renaissance descriptions of camera obscura</t>
        </is>
      </c>
      <c r="L6" s="5" t="inlineStr">
        <is>
          <t>Kepler's Dioptrice and portable camera obscura</t>
        </is>
      </c>
      <c r="M6" s="5" t="inlineStr">
        <is>
          <t>Оптическая предпосылка</t>
        </is>
      </c>
      <c r="N6" s="6" t="n">
        <v>3</v>
      </c>
      <c r="O6" s="5" t="inlineStr">
        <is>
          <t>PL-001</t>
        </is>
      </c>
      <c r="P6" s="5" t="inlineStr">
        <is>
          <t>SRC-003</t>
        </is>
      </c>
      <c r="Q6" s="5" t="inlineStr">
        <is>
          <t>Max Planck Institute — Camera Obscura PDF</t>
        </is>
      </c>
      <c r="R6" s="5" t="inlineStr">
        <is>
          <t>https://www.mpiwg-berlin.mpg.de/sites/default/files/Preprints/P307.pdf</t>
        </is>
      </c>
      <c r="S6" s="6" t="n">
        <v>4</v>
      </c>
      <c r="T6" s="5" t="inlineStr">
        <is>
          <t>На карте можно показать, что слова тоже важны: когда явление получает имя, его проще передавать и развивать.</t>
        </is>
      </c>
      <c r="U6" s="5" t="inlineStr">
        <is>
          <t>Плашка-термин: CAMERA OBSCURA.</t>
        </is>
      </c>
      <c r="V6" s="5" t="inlineStr">
        <is>
          <t>#оптика #Kepler #термин</t>
        </is>
      </c>
      <c r="W6" s="5" t="n"/>
      <c r="X6" t="inlineStr">
        <is>
          <t>50.0755, 14.4378</t>
        </is>
      </c>
      <c r="Y6" t="inlineStr">
        <is>
          <t>Оптика / терминология</t>
        </is>
      </c>
      <c r="Z6" t="inlineStr">
        <is>
          <t>Терминология / язык</t>
        </is>
      </c>
    </row>
    <row r="7" ht="40" customHeight="1" s="72">
      <c r="A7" s="5" t="inlineStr">
        <is>
          <t>PL-HIST-0006</t>
        </is>
      </c>
      <c r="B7" s="5" t="inlineStr">
        <is>
          <t>1611</t>
        </is>
      </c>
      <c r="C7" s="5" t="inlineStr">
        <is>
          <t>год</t>
        </is>
      </c>
      <c r="D7" s="5" t="inlineStr">
        <is>
          <t>Германия</t>
        </is>
      </c>
      <c r="E7" s="5" t="inlineStr">
        <is>
          <t>Линц / Прага</t>
        </is>
      </c>
      <c r="F7" s="5" t="inlineStr">
        <is>
          <t>Иоганн Кеплер</t>
        </is>
      </c>
      <c r="G7" s="5" t="inlineStr">
        <is>
          <t>В «Dioptrice» развивает понимание линз, проекции и улучшения изображения в оптических системах.</t>
        </is>
      </c>
      <c r="H7" s="5" t="inlineStr">
        <is>
          <t>Оптика / камера-обскура</t>
        </is>
      </c>
      <c r="I7" s="5" t="inlineStr">
        <is>
          <t>Линзовая камера-обскура</t>
        </is>
      </c>
      <c r="J7" s="5" t="inlineStr">
        <is>
          <t>Будущая камера всё больше зависит от оптики: линзы дают контроль над изображением.</t>
        </is>
      </c>
      <c r="K7" s="5" t="inlineStr">
        <is>
          <t>Термин camera obscura</t>
        </is>
      </c>
      <c r="L7" s="5" t="inlineStr">
        <is>
          <t>Портативные камеры-обскуры и объективы</t>
        </is>
      </c>
      <c r="M7" s="5" t="inlineStr">
        <is>
          <t>Оптическая предпосылка</t>
        </is>
      </c>
      <c r="N7" s="6" t="n">
        <v>4</v>
      </c>
      <c r="O7" s="5" t="inlineStr">
        <is>
          <t>PL-001</t>
        </is>
      </c>
      <c r="P7" s="5" t="inlineStr">
        <is>
          <t>SRC-003</t>
        </is>
      </c>
      <c r="Q7" s="5" t="inlineStr">
        <is>
          <t>Max Planck Institute — Camera Obscura PDF</t>
        </is>
      </c>
      <c r="R7" s="5" t="inlineStr">
        <is>
          <t>https://www.mpiwg-berlin.mpg.de/sites/default/files/Preprints/P307.pdf</t>
        </is>
      </c>
      <c r="S7" s="6" t="n">
        <v>3</v>
      </c>
      <c r="T7" s="5" t="inlineStr">
        <is>
          <t>Не перегружать урок формулами; объяснить как «переход от дырочки к оптической системе».</t>
        </is>
      </c>
      <c r="U7" s="5" t="inlineStr">
        <is>
          <t>Схема: отверстие → линза → более яркая проекция.</t>
        </is>
      </c>
      <c r="V7" s="5" t="inlineStr">
        <is>
          <t>#оптика #линзы #Kepler</t>
        </is>
      </c>
      <c r="W7" s="5" t="inlineStr">
        <is>
          <t>Подтвердить конкретные формулировки по первичному тексту Dioptrice.</t>
        </is>
      </c>
      <c r="X7" t="inlineStr">
        <is>
          <t>48.3069, 14.2858</t>
        </is>
      </c>
      <c r="Y7" t="inlineStr">
        <is>
          <t>Оптика / камера</t>
        </is>
      </c>
      <c r="Z7" t="inlineStr">
        <is>
          <t>Фундаментальная предпосылка</t>
        </is>
      </c>
    </row>
    <row r="8" ht="40" customHeight="1" s="72">
      <c r="A8" s="5" t="inlineStr">
        <is>
          <t>PL-HIST-0007</t>
        </is>
      </c>
      <c r="B8" s="5" t="inlineStr">
        <is>
          <t>ок. 1620</t>
        </is>
      </c>
      <c r="C8" s="5" t="inlineStr">
        <is>
          <t>примерно</t>
        </is>
      </c>
      <c r="D8" s="5" t="inlineStr">
        <is>
          <t>Австрия / Германия</t>
        </is>
      </c>
      <c r="E8" s="5" t="inlineStr">
        <is>
          <t>Верхняя Австрия</t>
        </is>
      </c>
      <c r="F8" s="5" t="inlineStr">
        <is>
          <t>Иоганн Кеплер</t>
        </is>
      </c>
      <c r="G8" s="5" t="inlineStr">
        <is>
          <t>Использует переносную камеру-обскуру в виде палатки для наблюдения и зарисовок ландшафта.</t>
        </is>
      </c>
      <c r="H8" s="5" t="inlineStr">
        <is>
          <t>Оптические инструменты</t>
        </is>
      </c>
      <c r="I8" s="5" t="inlineStr">
        <is>
          <t>Портативная camera obscura</t>
        </is>
      </c>
      <c r="J8" s="5" t="inlineStr">
        <is>
          <t>Камера-обскура становится мобильной: это важный шаг к переносной камере.</t>
        </is>
      </c>
      <c r="K8" s="5" t="inlineStr">
        <is>
          <t>Линзовая камера-обскура</t>
        </is>
      </c>
      <c r="L8" s="5" t="inlineStr">
        <is>
          <t>Zahn and portable camera designs</t>
        </is>
      </c>
      <c r="M8" s="5" t="inlineStr">
        <is>
          <t>Оптическая предпосылка</t>
        </is>
      </c>
      <c r="N8" s="6" t="n">
        <v>3</v>
      </c>
      <c r="O8" s="5" t="inlineStr">
        <is>
          <t>PL-001</t>
        </is>
      </c>
      <c r="P8" s="5" t="inlineStr">
        <is>
          <t>SRC-003</t>
        </is>
      </c>
      <c r="Q8" s="5" t="inlineStr">
        <is>
          <t>Max Planck Institute — Camera Obscura PDF</t>
        </is>
      </c>
      <c r="R8" s="5" t="inlineStr">
        <is>
          <t>https://www.mpiwg-berlin.mpg.de/sites/default/files/Preprints/P307.pdf</t>
        </is>
      </c>
      <c r="S8" s="6" t="n">
        <v>3</v>
      </c>
      <c r="T8" s="5" t="inlineStr">
        <is>
          <t>Хороший визуальный эпизод для рилса: учёный в тёмной палатке ловит изображение мира.</t>
        </is>
      </c>
      <c r="U8" s="5" t="inlineStr">
        <is>
          <t>Карта: линия от комнаты к переносной палатке.</t>
        </is>
      </c>
      <c r="V8" s="5" t="inlineStr">
        <is>
          <t>#камера-обскура #портативность #Kepler</t>
        </is>
      </c>
      <c r="W8" s="5" t="inlineStr">
        <is>
          <t>Проверить год и источники письма Henry Wotton.</t>
        </is>
      </c>
      <c r="X8" t="inlineStr">
        <is>
          <t>48.3069, 14.2858</t>
        </is>
      </c>
      <c r="Z8" t="inlineStr">
        <is>
          <t>Инструмент / устройство</t>
        </is>
      </c>
    </row>
    <row r="9" ht="60" customHeight="1" s="72">
      <c r="A9" s="5" t="inlineStr">
        <is>
          <t>PL-HIST-0008</t>
        </is>
      </c>
      <c r="B9" s="5" t="inlineStr">
        <is>
          <t>1685</t>
        </is>
      </c>
      <c r="C9" s="5" t="inlineStr">
        <is>
          <t>год</t>
        </is>
      </c>
      <c r="D9" s="5" t="inlineStr">
        <is>
          <t>Германия</t>
        </is>
      </c>
      <c r="E9" s="5" t="inlineStr">
        <is>
          <t>Вюрцбург</t>
        </is>
      </c>
      <c r="F9" s="5" t="inlineStr">
        <is>
          <t>Иоганн Цан</t>
        </is>
      </c>
      <c r="G9" s="5" t="inlineStr">
        <is>
          <t>Публикует схемы переносных камер-обскур и оптических устройств в «Oculus Artificialis».</t>
        </is>
      </c>
      <c r="H9" s="5" t="inlineStr">
        <is>
          <t>Оптические инструменты</t>
        </is>
      </c>
      <c r="I9" s="5" t="inlineStr">
        <is>
          <t>Портативная / зеркальная camera obscura</t>
        </is>
      </c>
      <c r="J9" s="5" t="inlineStr">
        <is>
          <t>Идея камеры становится почти предметной: устройство уже похоже на будущий фотоаппарат, но без химической фиксации.</t>
        </is>
      </c>
      <c r="K9" s="5" t="inlineStr">
        <is>
          <t>Портативные камеры-обскуры XVII века</t>
        </is>
      </c>
      <c r="L9" s="5" t="inlineStr">
        <is>
          <t>Фотохимия XVIII века</t>
        </is>
      </c>
      <c r="M9" s="5" t="inlineStr">
        <is>
          <t>Оптическая предпосылка</t>
        </is>
      </c>
      <c r="N9" s="6" t="n">
        <v>4</v>
      </c>
      <c r="O9" s="5" t="inlineStr">
        <is>
          <t>PL-001</t>
        </is>
      </c>
      <c r="P9" s="5" t="inlineStr">
        <is>
          <t>SRC-004</t>
        </is>
      </c>
      <c r="Q9" s="5" t="inlineStr">
        <is>
          <t>Public Domain Review — Johann Zahn's Oculus Artificialis</t>
        </is>
      </c>
      <c r="R9" s="5" t="inlineStr">
        <is>
          <t>https://publicdomainreview.org/collection/images-from-johann-zahn-s-oculus-artificialis-1685</t>
        </is>
      </c>
      <c r="S9" s="6" t="n">
        <v>4</v>
      </c>
      <c r="T9" s="5" t="inlineStr">
        <is>
          <t>Можно показать как «корпус камеры появился раньше фотографии».</t>
        </is>
      </c>
      <c r="U9" s="5" t="inlineStr">
        <is>
          <t>Иконка деревянной камеры с зеркалом.</t>
        </is>
      </c>
      <c r="V9" s="5" t="inlineStr">
        <is>
          <t>#камера #Zahn #оптика</t>
        </is>
      </c>
      <c r="W9" s="5" t="n"/>
      <c r="X9" t="inlineStr">
        <is>
          <t>49.7913, 9.9534</t>
        </is>
      </c>
      <c r="Z9" t="inlineStr">
        <is>
          <t>Инструмент / устройство</t>
        </is>
      </c>
    </row>
    <row r="10" ht="40" customHeight="1" s="72">
      <c r="A10" s="5" t="inlineStr">
        <is>
          <t>PL-HIST-0009</t>
        </is>
      </c>
      <c r="B10" s="5" t="inlineStr">
        <is>
          <t>1727</t>
        </is>
      </c>
      <c r="C10" s="5" t="inlineStr">
        <is>
          <t>год</t>
        </is>
      </c>
      <c r="D10" s="5" t="inlineStr">
        <is>
          <t>Германия</t>
        </is>
      </c>
      <c r="E10" s="5" t="inlineStr">
        <is>
          <t>Альтдорф / Галле</t>
        </is>
      </c>
      <c r="F10" s="5" t="inlineStr">
        <is>
          <t>Иоганн Генрих Шульце</t>
        </is>
      </c>
      <c r="G10" s="5" t="inlineStr">
        <is>
          <t>Публикует научное исследование: соли серебра темнеют под действием света, а не тепла.</t>
        </is>
      </c>
      <c r="H10" s="5" t="inlineStr">
        <is>
          <t>Фотохимия</t>
        </is>
      </c>
      <c r="I10" s="5" t="inlineStr">
        <is>
          <t>Серебряные соли</t>
        </is>
      </c>
      <c r="J10" s="5" t="inlineStr">
        <is>
          <t>Появляется химическая половина фотографии: материал может реагировать на свет.</t>
        </is>
      </c>
      <c r="K10" s="5" t="inlineStr">
        <is>
          <t>Алхимические наблюдения потемнения серебра</t>
        </is>
      </c>
      <c r="L10" s="5" t="inlineStr">
        <is>
          <t>Scheele, Wedgwood, Niépce</t>
        </is>
      </c>
      <c r="M10" s="5" t="inlineStr">
        <is>
          <t>Химическая предпосылка</t>
        </is>
      </c>
      <c r="N10" s="6" t="n">
        <v>5</v>
      </c>
      <c r="O10" s="5" t="inlineStr">
        <is>
          <t>PL-002</t>
        </is>
      </c>
      <c r="P10" s="5" t="inlineStr">
        <is>
          <t>SRC-005</t>
        </is>
      </c>
      <c r="Q10" s="5" t="inlineStr">
        <is>
          <t>Swiss Camera Museum — Johann Heinrich Schulze</t>
        </is>
      </c>
      <c r="R10" s="5" t="inlineStr">
        <is>
          <t>https://www.cameramuseum.ch/en/discover/permanent-exhibition/the-origins-of-photography/the-precursors-johann-heinrich-schulze/</t>
        </is>
      </c>
      <c r="S10" s="6" t="n">
        <v>5</v>
      </c>
      <c r="T10" s="5" t="inlineStr">
        <is>
          <t>Это ключевой мост: камера уже строила изображение, но теперь появился материал, который свет может менять.</t>
        </is>
      </c>
      <c r="U10" s="5" t="inlineStr">
        <is>
          <t>Серебряная колба/бутылка, на которой свет оставляет след.</t>
        </is>
      </c>
      <c r="V10" s="5" t="inlineStr">
        <is>
          <t>#фотохимия #серебро #Schulze #PL002</t>
        </is>
      </c>
      <c r="W10" s="5" t="n"/>
      <c r="X10" t="inlineStr">
        <is>
          <t>49.3833, 11.3833</t>
        </is>
      </c>
      <c r="Z10" t="inlineStr">
        <is>
          <t>Фундаментальная предпосылка</t>
        </is>
      </c>
    </row>
    <row r="11" ht="60" customHeight="1" s="72">
      <c r="A11" s="5" t="inlineStr">
        <is>
          <t>PL-HIST-0010</t>
        </is>
      </c>
      <c r="B11" s="5" t="inlineStr">
        <is>
          <t>1777</t>
        </is>
      </c>
      <c r="C11" s="5" t="inlineStr">
        <is>
          <t>год</t>
        </is>
      </c>
      <c r="D11" s="5" t="inlineStr">
        <is>
          <t>Швеция</t>
        </is>
      </c>
      <c r="E11" s="5" t="inlineStr">
        <is>
          <t>Кёпинг / Стокгольм (контекст)</t>
        </is>
      </c>
      <c r="F11" s="5" t="inlineStr">
        <is>
          <t>Карл Вильгельм Шееле</t>
        </is>
      </c>
      <c r="G11" s="5" t="inlineStr">
        <is>
          <t>Изучает свойства хлорида серебра: потемнение на свету и роль аммиака для растворения/стабилизации соединений серебра.</t>
        </is>
      </c>
      <c r="H11" s="5" t="inlineStr">
        <is>
          <t>Фотохимия</t>
        </is>
      </c>
      <c r="I11" s="5" t="inlineStr">
        <is>
          <t>Silver chloride / ammonia</t>
        </is>
      </c>
      <c r="J11" s="5" t="inlineStr">
        <is>
          <t>Фиксация становится главным нерешённым вопросом: как сделать след света устойчивым.</t>
        </is>
      </c>
      <c r="K11" s="5" t="inlineStr">
        <is>
          <t>Schulze and silver salts</t>
        </is>
      </c>
      <c r="L11" s="5" t="inlineStr">
        <is>
          <t>Wedgwood and Davy, then Niépce</t>
        </is>
      </c>
      <c r="M11" s="5" t="inlineStr">
        <is>
          <t>Химическая предпосылка</t>
        </is>
      </c>
      <c r="N11" s="6" t="n">
        <v>4</v>
      </c>
      <c r="O11" s="5" t="inlineStr">
        <is>
          <t>PL-002</t>
        </is>
      </c>
      <c r="P11" s="5" t="inlineStr">
        <is>
          <t>SRC-006</t>
        </is>
      </c>
      <c r="Q11" s="5" t="inlineStr">
        <is>
          <t>Science History Institute — Silver and Sunlight</t>
        </is>
      </c>
      <c r="R11" s="5" t="inlineStr">
        <is>
          <t>https://www.sciencehistory.org/stories/magazine/silver-and-sunlight/</t>
        </is>
      </c>
      <c r="S11" s="6" t="n">
        <v>4</v>
      </c>
      <c r="T11" s="5" t="inlineStr">
        <is>
          <t>Новичку объяснить: мало получить изображение — нужно остановить дальнейшее потемнение.</t>
        </is>
      </c>
      <c r="U11" s="5" t="inlineStr">
        <is>
          <t>Иконка: след света + знак «зафиксировать».</t>
        </is>
      </c>
      <c r="V11" s="5" t="inlineStr">
        <is>
          <t>#фотохимия #фиксаж #серебро</t>
        </is>
      </c>
      <c r="W11" s="5" t="inlineStr">
        <is>
          <t>Уточнить связь Scheele с практическим фиксированием: не преувеличивать.</t>
        </is>
      </c>
      <c r="X11" t="inlineStr">
        <is>
          <t>59.5117, 15.9992</t>
        </is>
      </c>
      <c r="Y11" t="inlineStr">
        <is>
          <t>Фотохимия / фиксация</t>
        </is>
      </c>
      <c r="Z11" t="inlineStr">
        <is>
          <t>Фундаментальная предпосылка</t>
        </is>
      </c>
    </row>
    <row r="12" ht="40" customHeight="1" s="72">
      <c r="A12" s="5" t="inlineStr">
        <is>
          <t>PL-HIST-0011</t>
        </is>
      </c>
      <c r="B12" s="5" t="inlineStr">
        <is>
          <t>ок. 1800</t>
        </is>
      </c>
      <c r="C12" s="5" t="inlineStr">
        <is>
          <t>примерно</t>
        </is>
      </c>
      <c r="D12" s="5" t="inlineStr">
        <is>
          <t>Великобритания</t>
        </is>
      </c>
      <c r="E12" s="5" t="inlineStr">
        <is>
          <t>Этрурия / Стаффордшир</t>
        </is>
      </c>
      <c r="F12" s="5" t="inlineStr">
        <is>
          <t>Томас Веджвуд</t>
        </is>
      </c>
      <c r="G12" s="5" t="inlineStr">
        <is>
          <t>Проводит опыты с бумагой/кожей, обработанными нитратом серебра, пытаясь получать изображения светом.</t>
        </is>
      </c>
      <c r="H12" s="5" t="inlineStr">
        <is>
          <t>Фотохимия</t>
        </is>
      </c>
      <c r="I12" s="5" t="inlineStr">
        <is>
          <t>Серебряный нитрат на бумаге/коже</t>
        </is>
      </c>
      <c r="J12" s="5" t="inlineStr">
        <is>
          <t>Появляется идея фотографического изображения, но проблема сохранения ещё не решена.</t>
        </is>
      </c>
      <c r="K12" s="5" t="inlineStr">
        <is>
          <t>Schulze and Scheele</t>
        </is>
      </c>
      <c r="L12" s="5" t="inlineStr">
        <is>
          <t>Davy publication, Niépce's experiments</t>
        </is>
      </c>
      <c r="M12" s="5" t="inlineStr">
        <is>
          <t>Тупиковая / не получила развития</t>
        </is>
      </c>
      <c r="N12" s="6" t="n">
        <v>4</v>
      </c>
      <c r="O12" s="5" t="inlineStr">
        <is>
          <t>PL-002</t>
        </is>
      </c>
      <c r="P12" s="5" t="inlineStr">
        <is>
          <t>SRC-007</t>
        </is>
      </c>
      <c r="Q12" s="5" t="inlineStr">
        <is>
          <t>Swiss Camera Museum — Thomas Wedgwood</t>
        </is>
      </c>
      <c r="R12" s="5" t="inlineStr">
        <is>
          <t>https://www.cameramuseum.ch/en/discover/permanent-exhibition/the-origins-of-photography/the-precursors-thomas-wedgwood/</t>
        </is>
      </c>
      <c r="S12" s="6" t="n">
        <v>4</v>
      </c>
      <c r="T12" s="5" t="inlineStr">
        <is>
          <t>Хорошо показать как честную неудачу: попытка почти фотографическая, но изображение исчезает.</t>
        </is>
      </c>
      <c r="U12" s="5" t="inlineStr">
        <is>
          <t>Пунктирная линия: «почти получилось, но не закрепилось».</t>
        </is>
      </c>
      <c r="V12" s="5" t="inlineStr">
        <is>
          <t>#Wedgwood #фотохимия #неудача</t>
        </is>
      </c>
      <c r="W12" s="5" t="n"/>
      <c r="X12" t="inlineStr">
        <is>
          <t>53.0027, -2.1794</t>
        </is>
      </c>
      <c r="Y12" t="inlineStr">
        <is>
          <t>Фотохимия / первая фиксация</t>
        </is>
      </c>
      <c r="Z12" t="inlineStr">
        <is>
          <t>Технология / процесс</t>
        </is>
      </c>
    </row>
    <row r="13" ht="40" customHeight="1" s="72">
      <c r="A13" s="5" t="inlineStr">
        <is>
          <t>PL-HIST-0012</t>
        </is>
      </c>
      <c r="B13" s="5" t="inlineStr">
        <is>
          <t>1802</t>
        </is>
      </c>
      <c r="C13" s="5" t="inlineStr">
        <is>
          <t>год</t>
        </is>
      </c>
      <c r="D13" s="5" t="inlineStr">
        <is>
          <t>Великобритания</t>
        </is>
      </c>
      <c r="E13" s="5" t="inlineStr">
        <is>
          <t>Лондон / Бристоль</t>
        </is>
      </c>
      <c r="F13" s="5" t="inlineStr">
        <is>
          <t>Хамфри Дэви и Томас Веджвуд</t>
        </is>
      </c>
      <c r="G13" s="5" t="inlineStr">
        <is>
          <t>Дэви публикует отчёт о методе копирования изображений светом на нитрате серебра.</t>
        </is>
      </c>
      <c r="H13" s="5" t="inlineStr">
        <is>
          <t>Фотохимия</t>
        </is>
      </c>
      <c r="I13" s="5" t="inlineStr">
        <is>
          <t>Photogenic copying on silver nitrate</t>
        </is>
      </c>
      <c r="J13" s="5" t="inlineStr">
        <is>
          <t>Первые эксперименты становятся опубликованным знанием, но без полноценного фиксирования изображения.</t>
        </is>
      </c>
      <c r="K13" s="5" t="inlineStr">
        <is>
          <t>Wedgwood experiments</t>
        </is>
      </c>
      <c r="L13" s="5" t="inlineStr">
        <is>
          <t>Niépce and Talbot later address permanence</t>
        </is>
      </c>
      <c r="M13" s="5" t="inlineStr">
        <is>
          <t>Тупиковая / не получила развития</t>
        </is>
      </c>
      <c r="N13" s="6" t="n">
        <v>4</v>
      </c>
      <c r="O13" s="5" t="inlineStr">
        <is>
          <t>PL-002</t>
        </is>
      </c>
      <c r="P13" s="5" t="inlineStr">
        <is>
          <t>SRC-008</t>
        </is>
      </c>
      <c r="Q13" s="5" t="inlineStr">
        <is>
          <t>Bodleian — Talbot Catalogue: Photogenic Drawing</t>
        </is>
      </c>
      <c r="R13" s="5" t="inlineStr">
        <is>
          <t>https://talbot.bodleian.ox.ac.uk/2017/02/17/an-account-of-the-processes-employed-in-photogenic-drawing/</t>
        </is>
      </c>
      <c r="S13" s="6" t="n">
        <v>4</v>
      </c>
      <c r="T13" s="5" t="inlineStr">
        <is>
          <t>В лекции: до Ньепса уже были люди, которые понимали направление, но не решили задачу постоянства.</t>
        </is>
      </c>
      <c r="U13" s="5" t="inlineStr">
        <is>
          <t>Иконка публикации/лист бумаги, который постепенно темнеет.</t>
        </is>
      </c>
      <c r="V13" s="5" t="inlineStr">
        <is>
          <t>#Davy #Wedgwood #публикация</t>
        </is>
      </c>
      <c r="W13" s="5" t="inlineStr">
        <is>
          <t>Добавить первичный PDF/текст Journal of the Royal Institution при углублении.</t>
        </is>
      </c>
      <c r="X13" t="inlineStr">
        <is>
          <t>51.5074, -0.1278</t>
        </is>
      </c>
      <c r="Y13" t="inlineStr">
        <is>
          <t>Фотохимия / публикация</t>
        </is>
      </c>
      <c r="Z13" t="inlineStr">
        <is>
          <t>Публикация / объявление</t>
        </is>
      </c>
    </row>
    <row r="14" ht="40" customHeight="1" s="72">
      <c r="A14" s="5" t="inlineStr">
        <is>
          <t>PL-HIST-0013</t>
        </is>
      </c>
      <c r="B14" s="5" t="inlineStr">
        <is>
          <t>1806–1807</t>
        </is>
      </c>
      <c r="C14" s="5" t="inlineStr">
        <is>
          <t>диапазон</t>
        </is>
      </c>
      <c r="D14" s="5" t="inlineStr">
        <is>
          <t>Великобритания</t>
        </is>
      </c>
      <c r="E14" s="5" t="inlineStr">
        <is>
          <t>Лондон</t>
        </is>
      </c>
      <c r="F14" s="5" t="inlineStr">
        <is>
          <t>Уильям Хайд Волластон</t>
        </is>
      </c>
      <c r="G14" s="5" t="inlineStr">
        <is>
          <t>Патентует и называет camera lucida — оптический прибор для точного рисования.</t>
        </is>
      </c>
      <c r="H14" s="5" t="inlineStr">
        <is>
          <t>Оптические инструменты</t>
        </is>
      </c>
      <c r="I14" s="5" t="inlineStr">
        <is>
          <t>Camera lucida</t>
        </is>
      </c>
      <c r="J14" s="5" t="inlineStr">
        <is>
          <t>Показывает, что до фотографии общество уже искало способы механизировать точность изображения.</t>
        </is>
      </c>
      <c r="K14" s="5" t="inlineStr">
        <is>
          <t>Camera obscura drawing tools</t>
        </is>
      </c>
      <c r="L14" s="5" t="inlineStr">
        <is>
          <t>Photography will replace drawing aids for some purposes</t>
        </is>
      </c>
      <c r="M14" s="5" t="inlineStr">
        <is>
          <t>Оптическая предпосылка</t>
        </is>
      </c>
      <c r="N14" s="6" t="n">
        <v>3</v>
      </c>
      <c r="O14" s="5" t="inlineStr">
        <is>
          <t>межурочный узел</t>
        </is>
      </c>
      <c r="P14" s="5" t="inlineStr">
        <is>
          <t>SRC-009</t>
        </is>
      </c>
      <c r="Q14" s="5" t="inlineStr">
        <is>
          <t>Smithsonian NMAH — Camera Lucida</t>
        </is>
      </c>
      <c r="R14" s="5" t="inlineStr">
        <is>
          <t>https://americanhistory.si.edu/collections/object/nmah_1184286</t>
        </is>
      </c>
      <c r="S14" s="6" t="n">
        <v>5</v>
      </c>
      <c r="T14" s="5" t="inlineStr">
        <is>
          <t>Это не фотография, но очень полезный узел: люди хотели точного изображения до химической фотографии.</t>
        </is>
      </c>
      <c r="U14" s="5" t="inlineStr">
        <is>
          <t>Иконка призмы и руки художника.</t>
        </is>
      </c>
      <c r="V14" s="5" t="inlineStr">
        <is>
          <t>#оптика #camera-lucida #рисование</t>
        </is>
      </c>
      <c r="W14" s="5" t="n"/>
      <c r="X14" t="inlineStr">
        <is>
          <t>51.5074, -0.1278</t>
        </is>
      </c>
      <c r="Z14" t="inlineStr">
        <is>
          <t>Инструмент / устройство</t>
        </is>
      </c>
    </row>
    <row r="15" ht="40" customHeight="1" s="72">
      <c r="A15" s="5" t="inlineStr">
        <is>
          <t>PL-HIST-0014</t>
        </is>
      </c>
      <c r="B15" s="5" t="inlineStr">
        <is>
          <t>1816</t>
        </is>
      </c>
      <c r="C15" s="5" t="inlineStr">
        <is>
          <t>год</t>
        </is>
      </c>
      <c r="D15" s="5" t="inlineStr">
        <is>
          <t>Франция</t>
        </is>
      </c>
      <c r="E15" s="5" t="inlineStr">
        <is>
          <t>Сен-Лу-де-Варенн / Ле-Гра</t>
        </is>
      </c>
      <c r="F15" s="5" t="inlineStr">
        <is>
          <t>Нисефор Ньепс</t>
        </is>
      </c>
      <c r="G15" s="5" t="inlineStr">
        <is>
          <t>Получает исчезающие негативные изображения в камере-обскуре на бумаге с солями серебра.</t>
        </is>
      </c>
      <c r="H15" s="5" t="inlineStr">
        <is>
          <t>Гелиография</t>
        </is>
      </c>
      <c r="I15" s="5" t="inlineStr">
        <is>
          <t>Silver chloride paper negative</t>
        </is>
      </c>
      <c r="J15" s="5" t="inlineStr">
        <is>
          <t>Ньепс впервые подходит к реальной камере-фотографии, но изображение ещё не устойчиво.</t>
        </is>
      </c>
      <c r="K15" s="5" t="inlineStr">
        <is>
          <t>Wedgwood/Davy experiments</t>
        </is>
      </c>
      <c r="L15" s="5" t="inlineStr">
        <is>
          <t>Niépce switches to bitumen heliography</t>
        </is>
      </c>
      <c r="M15" s="5" t="inlineStr">
        <is>
          <t>Переходная технология</t>
        </is>
      </c>
      <c r="N15" s="6" t="n">
        <v>5</v>
      </c>
      <c r="O15" s="5" t="inlineStr">
        <is>
          <t>PL-002</t>
        </is>
      </c>
      <c r="P15" s="5" t="inlineStr">
        <is>
          <t>SRC-011</t>
        </is>
      </c>
      <c r="Q15" s="5" t="inlineStr">
        <is>
          <t>Maison Nicéphore Niépce — First experiments</t>
        </is>
      </c>
      <c r="R15" s="5" t="inlineStr">
        <is>
          <t>https://bicentennial-of-photography.org/niepce-and-the-invention-of-photography-niepce-s-first-experiments/</t>
        </is>
      </c>
      <c r="S15" s="6" t="n">
        <v>4</v>
      </c>
      <c r="T15" s="5" t="inlineStr">
        <is>
          <t>Важно: это не первый сохранившийся снимок, а первая стадия Ньепса — изображение было, но исчезало.</t>
        </is>
      </c>
      <c r="U15" s="5" t="inlineStr">
        <is>
          <t>Светлая линия появляется на бумаге и затем исчезает.</t>
        </is>
      </c>
      <c r="V15" s="5" t="inlineStr">
        <is>
          <t>#Niépce #1816 #PL002 #негатив</t>
        </is>
      </c>
      <c r="W15" s="5" t="n"/>
      <c r="X15" t="inlineStr">
        <is>
          <t>46.7828, 4.8892</t>
        </is>
      </c>
      <c r="Y15" t="inlineStr">
        <is>
          <t>Первая фиксация / проблема постоянства</t>
        </is>
      </c>
      <c r="Z15" t="inlineStr">
        <is>
          <t>Технология / процесс</t>
        </is>
      </c>
    </row>
    <row r="16" ht="60" customHeight="1" s="72">
      <c r="A16" s="5" t="inlineStr">
        <is>
          <t>PL-HIST-0015</t>
        </is>
      </c>
      <c r="B16" s="5" t="inlineStr">
        <is>
          <t>1822–1825</t>
        </is>
      </c>
      <c r="C16" s="5" t="inlineStr">
        <is>
          <t>диапазон</t>
        </is>
      </c>
      <c r="D16" s="5" t="inlineStr">
        <is>
          <t>Франция</t>
        </is>
      </c>
      <c r="E16" s="5" t="inlineStr">
        <is>
          <t>Сен-Лу-де-Варенн / Ле-Гра</t>
        </is>
      </c>
      <c r="F16" s="5" t="inlineStr">
        <is>
          <t>Нисефор Ньепс</t>
        </is>
      </c>
      <c r="G16" s="5" t="inlineStr">
        <is>
          <t>Развивает гелиографию: использует светочувствительный битум для создания устойчивых изображений/копий гравюр.</t>
        </is>
      </c>
      <c r="H16" s="5" t="inlineStr">
        <is>
          <t>Гелиография</t>
        </is>
      </c>
      <c r="I16" s="5" t="inlineStr">
        <is>
          <t>Bitumen of Judea on metal/stone</t>
        </is>
      </c>
      <c r="J16" s="5" t="inlineStr">
        <is>
          <t>Путь меняется: вместо серебряных солей Ньепс ищет материал, который свет делает не темнее, а твёрже/нерастворимее.</t>
        </is>
      </c>
      <c r="K16" s="5" t="inlineStr">
        <is>
          <t>1816 silver-salt negatives</t>
        </is>
      </c>
      <c r="L16" s="5" t="inlineStr">
        <is>
          <t>View from the Window at Le Gras</t>
        </is>
      </c>
      <c r="M16" s="5" t="inlineStr">
        <is>
          <t>Переходная технология</t>
        </is>
      </c>
      <c r="N16" s="6" t="n">
        <v>4</v>
      </c>
      <c r="O16" s="5" t="inlineStr">
        <is>
          <t>PL-002</t>
        </is>
      </c>
      <c r="P16" s="5" t="inlineStr">
        <is>
          <t>SRC-010</t>
        </is>
      </c>
      <c r="Q16" s="5" t="inlineStr">
        <is>
          <t>Harry Ransom Center — The Niépce Heliograph</t>
        </is>
      </c>
      <c r="R16" s="5" t="inlineStr">
        <is>
          <t>https://www.hrc.utexas.edu/niepce-heliograph/</t>
        </is>
      </c>
      <c r="S16" s="6" t="n">
        <v>4</v>
      </c>
      <c r="T16" s="5" t="inlineStr">
        <is>
          <t>Для лекции: Ньепс думал не только о камере, но и о механическом копировании изображений.</t>
        </is>
      </c>
      <c r="U16" s="5" t="inlineStr">
        <is>
          <t>Узел «гелиография»: солнце превращает покрытие в устойчивый след.</t>
        </is>
      </c>
      <c r="V16" s="5" t="inlineStr">
        <is>
          <t>#гелиография #Niépce #битум</t>
        </is>
      </c>
      <c r="W16" s="5" t="inlineStr">
        <is>
          <t>Проверить дату 1822 для несохранившейся heliograph copy.</t>
        </is>
      </c>
      <c r="X16" t="inlineStr">
        <is>
          <t>46.7828, 4.8892</t>
        </is>
      </c>
      <c r="Z16" t="inlineStr">
        <is>
          <t>Технология / процесс</t>
        </is>
      </c>
    </row>
    <row r="17" ht="60" customHeight="1" s="72">
      <c r="A17" s="5" t="inlineStr">
        <is>
          <t>PL-HIST-0016</t>
        </is>
      </c>
      <c r="B17" s="5" t="inlineStr">
        <is>
          <t>1826 / 1827</t>
        </is>
      </c>
      <c r="C17" s="5" t="inlineStr">
        <is>
          <t>спорно/уточнить</t>
        </is>
      </c>
      <c r="D17" s="5" t="inlineStr">
        <is>
          <t>Франция</t>
        </is>
      </c>
      <c r="E17" s="5" t="inlineStr">
        <is>
          <t>Ле-Гра, Сен-Лу-де-Варенн</t>
        </is>
      </c>
      <c r="F17" s="5" t="inlineStr">
        <is>
          <t>Нисефор Ньепс</t>
        </is>
      </c>
      <c r="G17" s="5" t="inlineStr">
        <is>
          <t>Создаёт «Вид из окна в Ле-Гра» — самое раннее сохранившееся изображение, полученное с помощью камеры-обскуры.</t>
        </is>
      </c>
      <c r="H17" s="5" t="inlineStr">
        <is>
          <t>Гелиография</t>
        </is>
      </c>
      <c r="I17" s="5" t="inlineStr">
        <is>
          <t>Heliograph on pewter plate</t>
        </is>
      </c>
      <c r="J17" s="5" t="inlineStr">
        <is>
          <t>Изображение впервые не просто возникло, а сохранилось до наших дней.</t>
        </is>
      </c>
      <c r="K17" s="5" t="inlineStr">
        <is>
          <t>Heliographic experiments</t>
        </is>
      </c>
      <c r="L17" s="5" t="inlineStr">
        <is>
          <t>Partnership with Daguerre</t>
        </is>
      </c>
      <c r="M17" s="5" t="inlineStr">
        <is>
          <t>Главная линия</t>
        </is>
      </c>
      <c r="N17" s="6" t="n">
        <v>5</v>
      </c>
      <c r="O17" s="5" t="inlineStr">
        <is>
          <t>PL-002</t>
        </is>
      </c>
      <c r="P17" s="5" t="inlineStr">
        <is>
          <t>SRC-010</t>
        </is>
      </c>
      <c r="Q17" s="5" t="inlineStr">
        <is>
          <t>Harry Ransom Center — The Niépce Heliograph</t>
        </is>
      </c>
      <c r="R17" s="5" t="inlineStr">
        <is>
          <t>https://www.hrc.utexas.edu/niepce-heliograph/</t>
        </is>
      </c>
      <c r="S17" s="6" t="n">
        <v>5</v>
      </c>
      <c r="T17" s="5" t="inlineStr">
        <is>
          <t>Дата встречается как 1826 или 1827; в таблице оставляем спорной/уточняемой.</t>
        </is>
      </c>
      <c r="U17" s="5" t="inlineStr">
        <is>
          <t>Главный узел PL-002: окно, свет, металлическая пластина.</t>
        </is>
      </c>
      <c r="V17" s="5" t="inlineStr">
        <is>
          <t>#Niépce #перваяфотография #гелиография #PL002</t>
        </is>
      </c>
      <c r="W17" s="5" t="inlineStr">
        <is>
          <t>Уточнить редакционную дату: Harvard даёт 1826, HRC — 1827.</t>
        </is>
      </c>
      <c r="X17" t="inlineStr">
        <is>
          <t>46.7828, 4.8892</t>
        </is>
      </c>
      <c r="Y17" t="inlineStr">
        <is>
          <t>Гелиография / первая сохранившаяся фотография</t>
        </is>
      </c>
      <c r="Z17" t="inlineStr">
        <is>
          <t>Ключевой исторический узел</t>
        </is>
      </c>
      <c r="AA17" t="inlineStr">
        <is>
          <t>да</t>
        </is>
      </c>
    </row>
    <row r="18" ht="40" customHeight="1" s="72">
      <c r="A18" s="5" t="inlineStr">
        <is>
          <t>PL-HIST-0017</t>
        </is>
      </c>
      <c r="B18" s="5" t="inlineStr">
        <is>
          <t>1829</t>
        </is>
      </c>
      <c r="C18" s="5" t="inlineStr">
        <is>
          <t>год</t>
        </is>
      </c>
      <c r="D18" s="5" t="inlineStr">
        <is>
          <t>Франция</t>
        </is>
      </c>
      <c r="E18" s="5" t="inlineStr">
        <is>
          <t>Париж / Сен-Лу-де-Варенн</t>
        </is>
      </c>
      <c r="F18" s="5" t="inlineStr">
        <is>
          <t>Нисефор Ньепс и Луи Дагер</t>
        </is>
      </c>
      <c r="G18" s="5" t="inlineStr">
        <is>
          <t>Ньепс и Дагер вступают в формальное партнёрство для развития фотографического процесса.</t>
        </is>
      </c>
      <c r="H18" s="5" t="inlineStr">
        <is>
          <t>Дагеротип</t>
        </is>
      </c>
      <c r="I18" s="5" t="inlineStr">
        <is>
          <t>Heliography → daguerreotype lineage</t>
        </is>
      </c>
      <c r="J18" s="5" t="inlineStr">
        <is>
          <t>Линия Ньепса соединяется с практическими улучшениями Дагера.</t>
        </is>
      </c>
      <c r="K18" s="5" t="inlineStr">
        <is>
          <t>Niépce heliography</t>
        </is>
      </c>
      <c r="L18" s="5" t="inlineStr">
        <is>
          <t>Daguerreotype announcement</t>
        </is>
      </c>
      <c r="M18" s="5" t="inlineStr">
        <is>
          <t>Главная линия</t>
        </is>
      </c>
      <c r="N18" s="6" t="n">
        <v>4</v>
      </c>
      <c r="O18" s="5" t="inlineStr">
        <is>
          <t>PL-003</t>
        </is>
      </c>
      <c r="P18" s="5" t="inlineStr">
        <is>
          <t>SRC-010</t>
        </is>
      </c>
      <c r="Q18" s="5" t="inlineStr">
        <is>
          <t>Harry Ransom Center — The Niépce Heliograph</t>
        </is>
      </c>
      <c r="R18" s="5" t="inlineStr">
        <is>
          <t>https://www.hrc.utexas.edu/niepce-heliograph/</t>
        </is>
      </c>
      <c r="S18" s="6" t="n">
        <v>5</v>
      </c>
      <c r="T18" s="5" t="inlineStr">
        <is>
          <t>Это не просто смена фамилии: здесь начинается связка Ньепс → Дагер.</t>
        </is>
      </c>
      <c r="U18" s="5" t="inlineStr">
        <is>
          <t>Линия на карте: Ле-Гра → Париж.</t>
        </is>
      </c>
      <c r="V18" s="5" t="inlineStr">
        <is>
          <t>#Niépce #Daguerre #Франция #PL003</t>
        </is>
      </c>
      <c r="W18" s="5" t="n"/>
      <c r="X18" t="inlineStr">
        <is>
          <t>48.8566, 2.3522</t>
        </is>
      </c>
      <c r="Y18" t="inlineStr">
        <is>
          <t>Передача идеи / развитие процесса</t>
        </is>
      </c>
      <c r="Z18" t="inlineStr">
        <is>
          <t>Связь / переход</t>
        </is>
      </c>
    </row>
    <row r="19" ht="40" customHeight="1" s="72">
      <c r="A19" s="5" t="inlineStr">
        <is>
          <t>PL-HIST-0018</t>
        </is>
      </c>
      <c r="B19" s="5" t="inlineStr">
        <is>
          <t>1833</t>
        </is>
      </c>
      <c r="C19" s="5" t="inlineStr">
        <is>
          <t>год</t>
        </is>
      </c>
      <c r="D19" s="5" t="inlineStr">
        <is>
          <t>Франция</t>
        </is>
      </c>
      <c r="E19" s="5" t="inlineStr">
        <is>
          <t>Сен-Лу-де-Варенн</t>
        </is>
      </c>
      <c r="F19" s="5" t="inlineStr">
        <is>
          <t>Нисефор Ньепс / Луи Дагер</t>
        </is>
      </c>
      <c r="G19" s="5" t="inlineStr">
        <is>
          <t>После смерти Ньепса Дагер продолжает работы и в итоге доводит процесс до публичного объявления.</t>
        </is>
      </c>
      <c r="H19" s="5" t="inlineStr">
        <is>
          <t>Дагеротип</t>
        </is>
      </c>
      <c r="I19" s="5" t="inlineStr">
        <is>
          <t>Daguerreotype lineage</t>
        </is>
      </c>
      <c r="J19" s="5" t="inlineStr">
        <is>
          <t>Фотография становится историей не одного человека, а продолжения незавершённой разработки.</t>
        </is>
      </c>
      <c r="K19" s="5" t="inlineStr">
        <is>
          <t>Partnership 1829</t>
        </is>
      </c>
      <c r="L19" s="5" t="inlineStr">
        <is>
          <t>1839 public announcement</t>
        </is>
      </c>
      <c r="M19" s="5" t="inlineStr">
        <is>
          <t>Главная линия</t>
        </is>
      </c>
      <c r="N19" s="6" t="n">
        <v>3</v>
      </c>
      <c r="O19" s="5" t="inlineStr">
        <is>
          <t>PL-003</t>
        </is>
      </c>
      <c r="P19" s="5" t="inlineStr">
        <is>
          <t>SRC-010</t>
        </is>
      </c>
      <c r="Q19" s="5" t="inlineStr">
        <is>
          <t>Harry Ransom Center — The Niépce Heliograph</t>
        </is>
      </c>
      <c r="R19" s="5" t="inlineStr">
        <is>
          <t>https://www.hrc.utexas.edu/niepce-heliograph/</t>
        </is>
      </c>
      <c r="S19" s="6" t="n">
        <v>4</v>
      </c>
      <c r="T19" s="5" t="inlineStr">
        <is>
          <t>Для сериала: Ньепс не увидел публичного триумфа фотографии.</t>
        </is>
      </c>
      <c r="U19" s="5" t="inlineStr">
        <is>
          <t>Линия прерывается у Ньепса и продолжается к Дагеру.</t>
        </is>
      </c>
      <c r="V19" s="5" t="inlineStr">
        <is>
          <t>#Niépce #Daguerre #история</t>
        </is>
      </c>
      <c r="W19" s="5" t="n"/>
      <c r="X19" t="inlineStr">
        <is>
          <t>46.7828, 4.8892</t>
        </is>
      </c>
      <c r="Y19" t="inlineStr">
        <is>
          <t>Передача идеи / развитие процесса</t>
        </is>
      </c>
      <c r="Z19" t="inlineStr">
        <is>
          <t>Связь / переход</t>
        </is>
      </c>
    </row>
    <row r="20" ht="40" customHeight="1" s="72">
      <c r="A20" s="5" t="inlineStr">
        <is>
          <t>PL-HIST-0019</t>
        </is>
      </c>
      <c r="B20" s="5" t="inlineStr">
        <is>
          <t>1834</t>
        </is>
      </c>
      <c r="C20" s="5" t="inlineStr">
        <is>
          <t>год</t>
        </is>
      </c>
      <c r="D20" s="5" t="inlineStr">
        <is>
          <t>Великобритания</t>
        </is>
      </c>
      <c r="E20" s="5" t="inlineStr">
        <is>
          <t>Лэкок-Эбби</t>
        </is>
      </c>
      <c r="F20" s="5" t="inlineStr">
        <is>
          <t>Уильям Генри Фокс Тальбот</t>
        </is>
      </c>
      <c r="G20" s="5" t="inlineStr">
        <is>
          <t>Создаёт фотогенные рисунки: предметы кладутся на светочувствительную бумагу и оставляют силуэт.</t>
        </is>
      </c>
      <c r="H20" s="5" t="inlineStr">
        <is>
          <t>Фотогенный рисунок / фотограмма</t>
        </is>
      </c>
      <c r="I20" s="5" t="inlineStr">
        <is>
          <t>Photogenic drawing</t>
        </is>
      </c>
      <c r="J20" s="5" t="inlineStr">
        <is>
          <t>Параллельно французской линии появляется британская ветка: изображение через негативный след на бумаге.</t>
        </is>
      </c>
      <c r="K20" s="5" t="inlineStr">
        <is>
          <t>Wedgwood/Davy and silver salts</t>
        </is>
      </c>
      <c r="L20" s="5" t="inlineStr">
        <is>
          <t>Calotype and negative-positive process</t>
        </is>
      </c>
      <c r="M20" s="5" t="inlineStr">
        <is>
          <t>Главная линия</t>
        </is>
      </c>
      <c r="N20" s="6" t="n">
        <v>5</v>
      </c>
      <c r="O20" s="5" t="inlineStr">
        <is>
          <t>PL-004</t>
        </is>
      </c>
      <c r="P20" s="5" t="inlineStr">
        <is>
          <t>SRC-023</t>
        </is>
      </c>
      <c r="Q20" s="5" t="inlineStr">
        <is>
          <t>National Gallery of Canada — The Calotype Process</t>
        </is>
      </c>
      <c r="R20" s="5" t="inlineStr">
        <is>
          <t>https://www.gallery.ca/photo-blog/the-calotype-process</t>
        </is>
      </c>
      <c r="S20" s="6" t="n">
        <v>4</v>
      </c>
      <c r="T20" s="5" t="inlineStr">
        <is>
          <t>Важно показать как параллельную работу, а не как продолжение Дагера.</t>
        </is>
      </c>
      <c r="U20" s="5" t="inlineStr">
        <is>
          <t>Отдельная линия Великобритания: лист растения на бумаге.</t>
        </is>
      </c>
      <c r="V20" s="5" t="inlineStr">
        <is>
          <t>#Talbot #photogenic-drawing #PL004</t>
        </is>
      </c>
      <c r="W20" s="5" t="n"/>
      <c r="X20" t="inlineStr">
        <is>
          <t>51.4136, -2.118</t>
        </is>
      </c>
      <c r="Z20" t="inlineStr">
        <is>
          <t>Технология / процесс</t>
        </is>
      </c>
    </row>
    <row r="21" ht="40" customHeight="1" s="72">
      <c r="A21" s="5" t="inlineStr">
        <is>
          <t>PL-HIST-0020</t>
        </is>
      </c>
      <c r="B21" s="5" t="inlineStr">
        <is>
          <t>1835</t>
        </is>
      </c>
      <c r="C21" s="5" t="inlineStr">
        <is>
          <t>год</t>
        </is>
      </c>
      <c r="D21" s="5" t="inlineStr">
        <is>
          <t>Великобритания</t>
        </is>
      </c>
      <c r="E21" s="5" t="inlineStr">
        <is>
          <t>Лэкок-Эбби</t>
        </is>
      </c>
      <c r="F21" s="5" t="inlineStr">
        <is>
          <t>Уильям Генри Фокс Тальбот</t>
        </is>
      </c>
      <c r="G21" s="5" t="inlineStr">
        <is>
          <t>Делает ранние маленькие камерные негативы, включая вид окна в Лэкок-Эбби.</t>
        </is>
      </c>
      <c r="H21" s="5" t="inlineStr">
        <is>
          <t>Негатив-позитив</t>
        </is>
      </c>
      <c r="I21" s="5" t="inlineStr">
        <is>
          <t>Paper negative in camera</t>
        </is>
      </c>
      <c r="J21" s="5" t="inlineStr">
        <is>
          <t>Тальбот переносит идею фотогенного рисунка в камеру: бумага становится негативом будущей копии.</t>
        </is>
      </c>
      <c r="K21" s="5" t="inlineStr">
        <is>
          <t>Photogenic drawings</t>
        </is>
      </c>
      <c r="L21" s="5" t="inlineStr">
        <is>
          <t>1839 publication and 1841 calotype</t>
        </is>
      </c>
      <c r="M21" s="5" t="inlineStr">
        <is>
          <t>Главная линия</t>
        </is>
      </c>
      <c r="N21" s="6" t="n">
        <v>4</v>
      </c>
      <c r="O21" s="5" t="inlineStr">
        <is>
          <t>PL-004</t>
        </is>
      </c>
      <c r="P21" s="5" t="inlineStr">
        <is>
          <t>SRC-016</t>
        </is>
      </c>
      <c r="Q21" s="5" t="inlineStr">
        <is>
          <t>The Met — William Henry Fox Talbot</t>
        </is>
      </c>
      <c r="R21" s="5" t="inlineStr">
        <is>
          <t>https://www.metmuseum.org/essays/william-henry-fox-talbot-1800-1877-and-the-invention-of-photography</t>
        </is>
      </c>
      <c r="S21" s="6" t="n">
        <v>4</v>
      </c>
      <c r="T21" s="5" t="inlineStr">
        <is>
          <t>Можно объяснить: у Тальбота фотография думает не как «одна пластинка», а как система копирования.</t>
        </is>
      </c>
      <c r="U21" s="5" t="inlineStr">
        <is>
          <t>Окно Лэкок-Эбби как британская пара к окну Ньепса.</t>
        </is>
      </c>
      <c r="V21" s="5" t="inlineStr">
        <is>
          <t>#Talbot #окно #негатив #PL004</t>
        </is>
      </c>
      <c r="W21" s="5" t="inlineStr">
        <is>
          <t>Проверить источник для конкретной даты и объекта Oriel Window.</t>
        </is>
      </c>
      <c r="X21" t="inlineStr">
        <is>
          <t>51.4136, -2.118</t>
        </is>
      </c>
      <c r="Z21" t="inlineStr">
        <is>
          <t>Технология / процесс</t>
        </is>
      </c>
    </row>
    <row r="22" ht="60" customHeight="1" s="72">
      <c r="A22" s="5" t="inlineStr">
        <is>
          <t>PL-HIST-0021</t>
        </is>
      </c>
      <c r="B22" s="5" t="inlineStr">
        <is>
          <t>1837</t>
        </is>
      </c>
      <c r="C22" s="5" t="inlineStr">
        <is>
          <t>год</t>
        </is>
      </c>
      <c r="D22" s="5" t="inlineStr">
        <is>
          <t>Франция</t>
        </is>
      </c>
      <c r="E22" s="5" t="inlineStr">
        <is>
          <t>Париж</t>
        </is>
      </c>
      <c r="F22" s="5" t="inlineStr">
        <is>
          <t>Луи Дагер</t>
        </is>
      </c>
      <c r="G22" s="5" t="inlineStr">
        <is>
          <t>Дагер получает более практичный прямой позитив на серебряной пластине и сокращает экспозицию по сравнению с Ньепсом.</t>
        </is>
      </c>
      <c r="H22" s="5" t="inlineStr">
        <is>
          <t>Дагеротип</t>
        </is>
      </c>
      <c r="I22" s="5" t="inlineStr">
        <is>
          <t>Silver-plated copper plate / direct positive</t>
        </is>
      </c>
      <c r="J22" s="5" t="inlineStr">
        <is>
          <t>Фотография становится резче, быстрее и технически убедительнее, но остаётся уникальным изображением.</t>
        </is>
      </c>
      <c r="K22" s="5" t="inlineStr">
        <is>
          <t>Niépce-Daguerre partnership</t>
        </is>
      </c>
      <c r="L22" s="5" t="inlineStr">
        <is>
          <t>1839 Académie announcement</t>
        </is>
      </c>
      <c r="M22" s="5" t="inlineStr">
        <is>
          <t>Исторически важная ограниченная ветка</t>
        </is>
      </c>
      <c r="N22" s="6" t="n">
        <v>4</v>
      </c>
      <c r="O22" s="5" t="inlineStr">
        <is>
          <t>PL-003</t>
        </is>
      </c>
      <c r="P22" s="5" t="inlineStr">
        <is>
          <t>SRC-013</t>
        </is>
      </c>
      <c r="Q22" s="5" t="inlineStr">
        <is>
          <t>The Met — Daguerre and the Invention of Photography</t>
        </is>
      </c>
      <c r="R22" s="5" t="inlineStr">
        <is>
          <t>https://www.metmuseum.org/essays/daguerre-1787-1851-and-the-invention-of-photography</t>
        </is>
      </c>
      <c r="S22" s="6" t="n">
        <v>3</v>
      </c>
      <c r="T22" s="5" t="inlineStr">
        <is>
          <t>В таблице фиксируем как техническую подготовку к публичному объявлению, но дату/детали уточнить.</t>
        </is>
      </c>
      <c r="U22" s="5" t="inlineStr">
        <is>
          <t>Металлическая пластина + резкое изображение.</t>
        </is>
      </c>
      <c r="V22" s="5" t="inlineStr">
        <is>
          <t>#Daguerre #дагеротип #PL003</t>
        </is>
      </c>
      <c r="W22" s="5" t="inlineStr">
        <is>
          <t>Уточнить первичный источник и дату 1837.</t>
        </is>
      </c>
      <c r="X22" t="inlineStr">
        <is>
          <t>48.8566, 2.3522</t>
        </is>
      </c>
      <c r="Z22" t="inlineStr">
        <is>
          <t>Технология / процесс</t>
        </is>
      </c>
      <c r="AA22" t="inlineStr">
        <is>
          <t>да</t>
        </is>
      </c>
    </row>
    <row r="23" ht="40" customHeight="1" s="72">
      <c r="A23" s="5" t="inlineStr">
        <is>
          <t>PL-HIST-0022</t>
        </is>
      </c>
      <c r="B23" s="5" t="inlineStr">
        <is>
          <t>7 января 1839</t>
        </is>
      </c>
      <c r="C23" s="5" t="inlineStr">
        <is>
          <t>точная дата</t>
        </is>
      </c>
      <c r="D23" s="5" t="inlineStr">
        <is>
          <t>Франция</t>
        </is>
      </c>
      <c r="E23" s="5" t="inlineStr">
        <is>
          <t>Париж</t>
        </is>
      </c>
      <c r="F23" s="5" t="inlineStr">
        <is>
          <t>Франсуа Араго / Луи Дагер</t>
        </is>
      </c>
      <c r="G23" s="5" t="inlineStr">
        <is>
          <t>Французская Академия наук видит результаты процесса Дагера; фотография выходит в публичное научное поле.</t>
        </is>
      </c>
      <c r="H23" s="5" t="inlineStr">
        <is>
          <t>Дагеротип</t>
        </is>
      </c>
      <c r="I23" s="5" t="inlineStr">
        <is>
          <t>Daguerreotype</t>
        </is>
      </c>
      <c r="J23" s="5" t="inlineStr">
        <is>
          <t>Фотография перестаёт быть частной лабораторной тайной и становится событием культуры и науки.</t>
        </is>
      </c>
      <c r="K23" s="5" t="inlineStr">
        <is>
          <t>Daguerre's experiments</t>
        </is>
      </c>
      <c r="L23" s="5" t="inlineStr">
        <is>
          <t>19 August 1839 public disclosure</t>
        </is>
      </c>
      <c r="M23" s="5" t="inlineStr">
        <is>
          <t>Временная доминирующая линия</t>
        </is>
      </c>
      <c r="N23" s="6" t="n">
        <v>5</v>
      </c>
      <c r="O23" s="5" t="inlineStr">
        <is>
          <t>PL-003</t>
        </is>
      </c>
      <c r="P23" s="5" t="inlineStr">
        <is>
          <t>SRC-013</t>
        </is>
      </c>
      <c r="Q23" s="5" t="inlineStr">
        <is>
          <t>The Met — Daguerre and the Invention of Photography</t>
        </is>
      </c>
      <c r="R23" s="5" t="inlineStr">
        <is>
          <t>https://www.metmuseum.org/essays/daguerre-1787-1851-and-the-invention-of-photography</t>
        </is>
      </c>
      <c r="S23" s="6" t="n">
        <v>5</v>
      </c>
      <c r="T23" s="5" t="inlineStr">
        <is>
          <t>Это сильная сцена: не просто изобретение, а момент публичного признания.</t>
        </is>
      </c>
      <c r="U23" s="5" t="inlineStr">
        <is>
          <t>Париж, Академия наук, световая демонстрация.</t>
        </is>
      </c>
      <c r="V23" s="5" t="inlineStr">
        <is>
          <t>#Daguerre #Arago #Париж #PL003</t>
        </is>
      </c>
      <c r="W23" s="5" t="n"/>
      <c r="X23" t="inlineStr">
        <is>
          <t>48.8566, 2.3522</t>
        </is>
      </c>
      <c r="Y23" t="inlineStr">
        <is>
          <t>Дагеротип / публичное объявление</t>
        </is>
      </c>
      <c r="Z23" t="inlineStr">
        <is>
          <t>Публикация / объявление</t>
        </is>
      </c>
    </row>
    <row r="24" ht="40" customHeight="1" s="72">
      <c r="A24" s="5" t="inlineStr">
        <is>
          <t>PL-HIST-0023</t>
        </is>
      </c>
      <c r="B24" s="5" t="inlineStr">
        <is>
          <t>19 августа 1839</t>
        </is>
      </c>
      <c r="C24" s="5" t="inlineStr">
        <is>
          <t>точная дата</t>
        </is>
      </c>
      <c r="D24" s="5" t="inlineStr">
        <is>
          <t>Франция</t>
        </is>
      </c>
      <c r="E24" s="5" t="inlineStr">
        <is>
          <t>Париж</t>
        </is>
      </c>
      <c r="F24" s="5" t="inlineStr">
        <is>
          <t>Луи Дагер / французское государство</t>
        </is>
      </c>
      <c r="G24" s="5" t="inlineStr">
        <is>
          <t>Процесс дагеротипии официально раскрывается публично; Франция фактически дарит процесс миру.</t>
        </is>
      </c>
      <c r="H24" s="5" t="inlineStr">
        <is>
          <t>Дагеротип</t>
        </is>
      </c>
      <c r="I24" s="5" t="inlineStr">
        <is>
          <t>Daguerreotype</t>
        </is>
      </c>
      <c r="J24" s="5" t="inlineStr">
        <is>
          <t>Дагеротип быстро распространяется по Европе и Америке как первый публично объявленный фотографический процесс.</t>
        </is>
      </c>
      <c r="K24" s="5" t="inlineStr">
        <is>
          <t>Academy announcement</t>
        </is>
      </c>
      <c r="L24" s="5" t="inlineStr">
        <is>
          <t>Daguerreotypomania and portrait studios</t>
        </is>
      </c>
      <c r="M24" s="5" t="inlineStr">
        <is>
          <t>Временная доминирующая линия</t>
        </is>
      </c>
      <c r="N24" s="6" t="n">
        <v>5</v>
      </c>
      <c r="O24" s="5" t="inlineStr">
        <is>
          <t>PL-003</t>
        </is>
      </c>
      <c r="P24" s="5" t="inlineStr">
        <is>
          <t>SRC-012</t>
        </is>
      </c>
      <c r="Q24" s="5" t="inlineStr">
        <is>
          <t>Harvard Library — History of Photography Timeline</t>
        </is>
      </c>
      <c r="R24" s="5" t="inlineStr">
        <is>
          <t>https://photographpreservationprogram.hsites.harvard.edu/harvards-history-photography-timeline-text-only</t>
        </is>
      </c>
      <c r="S24" s="6" t="n">
        <v>5</v>
      </c>
      <c r="T24" s="5" t="inlineStr">
        <is>
          <t>В уроке: 1839 — год, когда фотография стала общественным событием.</t>
        </is>
      </c>
      <c r="U24" s="5" t="inlineStr">
        <is>
          <t>Большая точка на Париже и расходящиеся линии по миру.</t>
        </is>
      </c>
      <c r="V24" s="5" t="inlineStr">
        <is>
          <t>#1839 #Daguerre #Франция #распространение</t>
        </is>
      </c>
      <c r="W24" s="5" t="n"/>
      <c r="X24" t="inlineStr">
        <is>
          <t>48.8566, 2.3522</t>
        </is>
      </c>
      <c r="Y24" t="inlineStr">
        <is>
          <t>Дагеротип / распространение</t>
        </is>
      </c>
      <c r="Z24" t="inlineStr">
        <is>
          <t>Публикация / объявление</t>
        </is>
      </c>
    </row>
    <row r="25" ht="60" customHeight="1" s="72">
      <c r="A25" s="5" t="inlineStr">
        <is>
          <t>PL-HIST-0024</t>
        </is>
      </c>
      <c r="B25" s="5" t="inlineStr">
        <is>
          <t>1839</t>
        </is>
      </c>
      <c r="C25" s="5" t="inlineStr">
        <is>
          <t>год</t>
        </is>
      </c>
      <c r="D25" s="5" t="inlineStr">
        <is>
          <t>Великобритания</t>
        </is>
      </c>
      <c r="E25" s="5" t="inlineStr">
        <is>
          <t>Лондон</t>
        </is>
      </c>
      <c r="F25" s="5" t="inlineStr">
        <is>
          <t>Уильям Генри Фокс Тальбот</t>
        </is>
      </c>
      <c r="G25" s="5" t="inlineStr">
        <is>
          <t>Публикует «Some Account of the Art of Photogenic Drawing», представляя свой процесс.</t>
        </is>
      </c>
      <c r="H25" s="5" t="inlineStr">
        <is>
          <t>Фотогенный рисунок / фотограмма</t>
        </is>
      </c>
      <c r="I25" s="5" t="inlineStr">
        <is>
          <t>Photogenic drawing</t>
        </is>
      </c>
      <c r="J25" s="5" t="inlineStr">
        <is>
          <t>Британская линия заявляет о себе почти одновременно с французской, показывая параллельность изобретения фотографии.</t>
        </is>
      </c>
      <c r="K25" s="5" t="inlineStr">
        <is>
          <t>1834–1835 experiments</t>
        </is>
      </c>
      <c r="L25" s="5" t="inlineStr">
        <is>
          <t>Calotype patent 1841</t>
        </is>
      </c>
      <c r="M25" s="5" t="inlineStr">
        <is>
          <t>Главная линия</t>
        </is>
      </c>
      <c r="N25" s="6" t="n">
        <v>5</v>
      </c>
      <c r="O25" s="5" t="inlineStr">
        <is>
          <t>PL-004</t>
        </is>
      </c>
      <c r="P25" s="5" t="inlineStr">
        <is>
          <t>SRC-012</t>
        </is>
      </c>
      <c r="Q25" s="5" t="inlineStr">
        <is>
          <t>Harvard Library — History of Photography Timeline</t>
        </is>
      </c>
      <c r="R25" s="5" t="inlineStr">
        <is>
          <t>https://photographpreservationprogram.hsites.harvard.edu/harvards-history-photography-timeline-text-only</t>
        </is>
      </c>
      <c r="S25" s="6" t="n">
        <v>5</v>
      </c>
      <c r="T25" s="5" t="inlineStr">
        <is>
          <t>Идеально для объяснения: Франция дала резкость и публичный эффект, Британия — логику копии.</t>
        </is>
      </c>
      <c r="U25" s="5" t="inlineStr">
        <is>
          <t>Две линии на карте: Париж и Лондон одновременно загораются в 1839.</t>
        </is>
      </c>
      <c r="V25" s="5" t="inlineStr">
        <is>
          <t>#Talbot #1839 #PL004</t>
        </is>
      </c>
      <c r="W25" s="5" t="n"/>
      <c r="X25" t="inlineStr">
        <is>
          <t>51.5074, -0.1278</t>
        </is>
      </c>
      <c r="Y25" t="inlineStr">
        <is>
          <t>Фотогенный рисунок / публикация</t>
        </is>
      </c>
      <c r="Z25" t="inlineStr">
        <is>
          <t>Публикация / объявление</t>
        </is>
      </c>
    </row>
    <row r="26" ht="60" customHeight="1" s="72">
      <c r="A26" s="5" t="inlineStr">
        <is>
          <t>PL-HIST-0025</t>
        </is>
      </c>
      <c r="B26" s="5" t="inlineStr">
        <is>
          <t>1839</t>
        </is>
      </c>
      <c r="C26" s="5" t="inlineStr">
        <is>
          <t>год</t>
        </is>
      </c>
      <c r="D26" s="5" t="inlineStr">
        <is>
          <t>Великобритания</t>
        </is>
      </c>
      <c r="E26" s="5" t="inlineStr">
        <is>
          <t>Лондон / Slough</t>
        </is>
      </c>
      <c r="F26" s="5" t="inlineStr">
        <is>
          <t>Джон Фредерик Уильям Гершель</t>
        </is>
      </c>
      <c r="G26" s="5" t="inlineStr">
        <is>
          <t>Предлагает использовать hyposulphite of soda как фиксирующее средство для серебряных фотографий.</t>
        </is>
      </c>
      <c r="H26" s="5" t="inlineStr">
        <is>
          <t>Фиксаж / терминология</t>
        </is>
      </c>
      <c r="I26" s="5" t="inlineStr">
        <is>
          <t>Hypo / sodium thiosulfate fixer</t>
        </is>
      </c>
      <c r="J26" s="5" t="inlineStr">
        <is>
          <t>Фотография становится практически долговечной: изображение можно остановить от дальнейшего действия света.</t>
        </is>
      </c>
      <c r="K26" s="5" t="inlineStr">
        <is>
          <t>Silver-salt image instability</t>
        </is>
      </c>
      <c r="L26" s="5" t="inlineStr">
        <is>
          <t>Stable calotypes and later silver processes</t>
        </is>
      </c>
      <c r="M26" s="5" t="inlineStr">
        <is>
          <t>Главная линия</t>
        </is>
      </c>
      <c r="N26" s="6" t="n">
        <v>5</v>
      </c>
      <c r="O26" s="5" t="inlineStr">
        <is>
          <t>PL-004</t>
        </is>
      </c>
      <c r="P26" s="5" t="inlineStr">
        <is>
          <t>SRC-016</t>
        </is>
      </c>
      <c r="Q26" s="5" t="inlineStr">
        <is>
          <t>The Met — William Henry Fox Talbot</t>
        </is>
      </c>
      <c r="R26" s="5" t="inlineStr">
        <is>
          <t>https://www.metmuseum.org/essays/william-henry-fox-talbot-1800-1877-and-the-invention-of-photography</t>
        </is>
      </c>
      <c r="S26" s="6" t="n">
        <v>5</v>
      </c>
      <c r="T26" s="5" t="inlineStr">
        <is>
          <t>Сильный смысл: фотография — это не только камера, но и умение остановить свет.</t>
        </is>
      </c>
      <c r="U26" s="5" t="inlineStr">
        <is>
          <t>Иконка замка/стоп-символа на изображении.</t>
        </is>
      </c>
      <c r="V26" s="5" t="inlineStr">
        <is>
          <t>#Herschel #фиксаж #hypo</t>
        </is>
      </c>
      <c r="W26" s="5" t="n"/>
      <c r="X26" t="inlineStr">
        <is>
          <t>51.5074, -0.1278</t>
        </is>
      </c>
      <c r="Z26" t="inlineStr">
        <is>
          <t>Технология / процесс</t>
        </is>
      </c>
    </row>
    <row r="27" ht="60" customHeight="1" s="72">
      <c r="A27" s="5" t="inlineStr">
        <is>
          <t>PL-HIST-0026</t>
        </is>
      </c>
      <c r="B27" s="5" t="inlineStr">
        <is>
          <t>1839</t>
        </is>
      </c>
      <c r="C27" s="5" t="inlineStr">
        <is>
          <t>год</t>
        </is>
      </c>
      <c r="D27" s="5" t="inlineStr">
        <is>
          <t>Великобритания</t>
        </is>
      </c>
      <c r="E27" s="5" t="inlineStr">
        <is>
          <t>Лондон</t>
        </is>
      </c>
      <c r="F27" s="5" t="inlineStr">
        <is>
          <t>Джон Фредерик Уильям Гершель</t>
        </is>
      </c>
      <c r="G27" s="5" t="inlineStr">
        <is>
          <t>Вводит/закрепляет термины «photography», «negative» и «positive» в ранней фотографической культуре.</t>
        </is>
      </c>
      <c r="H27" s="5" t="inlineStr">
        <is>
          <t>Фиксаж / терминология</t>
        </is>
      </c>
      <c r="I27" s="5" t="inlineStr">
        <is>
          <t>Photographic terminology</t>
        </is>
      </c>
      <c r="J27" s="5" t="inlineStr">
        <is>
          <t>Язык фотографии формируется: появляются термины, без которых невозможно объяснить негативно-позитивный процесс.</t>
        </is>
      </c>
      <c r="K27" s="5" t="inlineStr">
        <is>
          <t>Talbot's paper negatives and photogenic drawings</t>
        </is>
      </c>
      <c r="L27" s="5" t="inlineStr">
        <is>
          <t>Calotype and photographic vocabulary</t>
        </is>
      </c>
      <c r="M27" s="5" t="inlineStr">
        <is>
          <t>Главная линия</t>
        </is>
      </c>
      <c r="N27" s="6" t="n">
        <v>4</v>
      </c>
      <c r="O27" s="5" t="inlineStr">
        <is>
          <t>PL-004</t>
        </is>
      </c>
      <c r="P27" s="5" t="inlineStr">
        <is>
          <t>SRC-017</t>
        </is>
      </c>
      <c r="Q27" s="5" t="inlineStr">
        <is>
          <t>Getty — Sir John F. W. Herschel</t>
        </is>
      </c>
      <c r="R27" s="5" t="inlineStr">
        <is>
          <t>https://www.getty.edu/art/collection/person/103KHK</t>
        </is>
      </c>
      <c r="S27" s="6" t="n">
        <v>4</v>
      </c>
      <c r="T27" s="5" t="inlineStr">
        <is>
          <t>Можно сделать мини-вставку: терминология — это тоже технология понимания.</t>
        </is>
      </c>
      <c r="U27" s="5" t="inlineStr">
        <is>
          <t>Карточка слов: PHOTOGRAPHY / NEGATIVE / POSITIVE.</t>
        </is>
      </c>
      <c r="V27" s="5" t="inlineStr">
        <is>
          <t>#Herschel #термины #negative #positive</t>
        </is>
      </c>
      <c r="W27" s="5" t="inlineStr">
        <is>
          <t>Уточнить первичные даты употребления терминов в письмах/докладах.</t>
        </is>
      </c>
      <c r="X27" t="inlineStr">
        <is>
          <t>51.5074, -0.1278</t>
        </is>
      </c>
      <c r="Z27" t="inlineStr">
        <is>
          <t>Терминология / язык</t>
        </is>
      </c>
    </row>
    <row r="28" ht="40" customHeight="1" s="72">
      <c r="A28" s="5" t="inlineStr">
        <is>
          <t>PL-HIST-0027</t>
        </is>
      </c>
      <c r="B28" s="5" t="inlineStr">
        <is>
          <t>1839–1840</t>
        </is>
      </c>
      <c r="C28" s="5" t="inlineStr">
        <is>
          <t>диапазон</t>
        </is>
      </c>
      <c r="D28" s="5" t="inlineStr">
        <is>
          <t>Франция</t>
        </is>
      </c>
      <c r="E28" s="5" t="inlineStr">
        <is>
          <t>Париж</t>
        </is>
      </c>
      <c r="F28" s="5" t="inlineStr">
        <is>
          <t>Ипполит Байяр</t>
        </is>
      </c>
      <c r="G28" s="5" t="inlineStr">
        <is>
          <t>Разрабатывает прямой позитивный процесс на бумаге, но оказывается в тени Дагера и Тальбота.</t>
        </is>
      </c>
      <c r="H28" s="5" t="inlineStr">
        <is>
          <t>Уникальный позитив</t>
        </is>
      </c>
      <c r="I28" s="5" t="inlineStr">
        <is>
          <t>Direct positive paper process</t>
        </is>
      </c>
      <c r="J28" s="5" t="inlineStr">
        <is>
          <t>Показывает, что история фотографии была многоголосой: не все ветки получили признание и масштаб.</t>
        </is>
      </c>
      <c r="K28" s="5" t="inlineStr">
        <is>
          <t>French early photographic experiments</t>
        </is>
      </c>
      <c r="L28" s="5" t="inlineStr">
        <is>
          <t>Bayard's staged self-portrait and later history</t>
        </is>
      </c>
      <c r="M28" s="5" t="inlineStr">
        <is>
          <t>Исторически важная ограниченная ветка</t>
        </is>
      </c>
      <c r="N28" s="6" t="n">
        <v>3</v>
      </c>
      <c r="O28" s="5" t="inlineStr">
        <is>
          <t>межурочный узел</t>
        </is>
      </c>
      <c r="P28" s="5" t="inlineStr">
        <is>
          <t>SRC-017</t>
        </is>
      </c>
      <c r="Q28" s="5" t="inlineStr">
        <is>
          <t>Getty — Sir John F. W. Herschel</t>
        </is>
      </c>
      <c r="R28" s="5" t="inlineStr">
        <is>
          <t>https://www.getty.edu/art/collection/person/103KHK</t>
        </is>
      </c>
      <c r="S28" s="6" t="n">
        <v>3</v>
      </c>
      <c r="T28" s="5" t="inlineStr">
        <is>
          <t>Можно использовать как сюжет о несправедливости истории и «забытых изобретателях».</t>
        </is>
      </c>
      <c r="U28" s="5" t="inlineStr">
        <is>
          <t>Пунктирная ветка от Парижа, уходящая в сторону.</t>
        </is>
      </c>
      <c r="V28" s="5" t="inlineStr">
        <is>
          <t>#Bayard #direct-positive #забытые</t>
        </is>
      </c>
      <c r="W28" s="5" t="inlineStr">
        <is>
          <t>Найти лучший источник именно по процессу Байяра, не только биографию Getty.</t>
        </is>
      </c>
      <c r="X28" t="inlineStr">
        <is>
          <t>48.8566, 2.3522</t>
        </is>
      </c>
      <c r="Z28" t="inlineStr">
        <is>
          <t>Технология / процесс</t>
        </is>
      </c>
    </row>
    <row r="29" ht="60" customHeight="1" s="72">
      <c r="A29" s="5" t="inlineStr">
        <is>
          <t>PL-HIST-0028</t>
        </is>
      </c>
      <c r="B29" s="5" t="inlineStr">
        <is>
          <t>1838</t>
        </is>
      </c>
      <c r="C29" s="5" t="inlineStr">
        <is>
          <t>год</t>
        </is>
      </c>
      <c r="D29" s="5" t="inlineStr">
        <is>
          <t>Великобритания</t>
        </is>
      </c>
      <c r="E29" s="5" t="inlineStr">
        <is>
          <t>Лондон</t>
        </is>
      </c>
      <c r="F29" s="5" t="inlineStr">
        <is>
          <t>Чарльз Уитстон</t>
        </is>
      </c>
      <c r="G29" s="5" t="inlineStr">
        <is>
          <t>Представляет стереоскоп и демонстрирует принцип бинокулярного зрения.</t>
        </is>
      </c>
      <c r="H29" s="5" t="inlineStr">
        <is>
          <t>Оптические инструменты</t>
        </is>
      </c>
      <c r="I29" s="5" t="inlineStr">
        <is>
          <t>Stereoscope</t>
        </is>
      </c>
      <c r="J29" s="5" t="inlineStr">
        <is>
          <t>Пока ещё не фотографическая технология, но позже стереофотография станет массовой формой визуального опыта.</t>
        </is>
      </c>
      <c r="K29" s="5" t="inlineStr">
        <is>
          <t>Optics of vision</t>
        </is>
      </c>
      <c r="L29" s="5" t="inlineStr">
        <is>
          <t>Photographic stereographs in the 1850s</t>
        </is>
      </c>
      <c r="M29" s="5" t="inlineStr">
        <is>
          <t>Оптическая предпосылка</t>
        </is>
      </c>
      <c r="N29" s="6" t="n">
        <v>3</v>
      </c>
      <c r="O29" s="5" t="inlineStr">
        <is>
          <t>будущие PL</t>
        </is>
      </c>
      <c r="P29" s="5" t="inlineStr">
        <is>
          <t>SRC-024</t>
        </is>
      </c>
      <c r="Q29" s="5" t="inlineStr">
        <is>
          <t>Royal Society / Google Arts &amp; Culture — Stereoscopy</t>
        </is>
      </c>
      <c r="R29" s="5" t="inlineStr">
        <is>
          <t>https://artsandculture.google.com/story/stereoscopy-the-birth-of-3d-technology-the-royal-society/pwWRTNS-hqDN5g</t>
        </is>
      </c>
      <c r="S29" s="6" t="n">
        <v>4</v>
      </c>
      <c r="T29" s="5" t="inlineStr">
        <is>
          <t>Этот узел лучше оставить для будущего раздела о 3D/стереофотографии.</t>
        </is>
      </c>
      <c r="U29" s="5" t="inlineStr">
        <is>
          <t>Иконка двух глаз / двух изображений.</t>
        </is>
      </c>
      <c r="V29" s="5" t="inlineStr">
        <is>
          <t>#стереоскоп #Wheatstone #3D</t>
        </is>
      </c>
      <c r="W29" s="5" t="n"/>
      <c r="X29" t="inlineStr">
        <is>
          <t>51.5074, -0.1278</t>
        </is>
      </c>
      <c r="Y29" t="inlineStr">
        <is>
          <t>Оптические инструменты / 3D</t>
        </is>
      </c>
      <c r="Z29" t="inlineStr">
        <is>
          <t>Инструмент / устройство</t>
        </is>
      </c>
    </row>
    <row r="30" ht="60" customHeight="1" s="72">
      <c r="A30" s="5" t="inlineStr">
        <is>
          <t>PL-HIST-0029</t>
        </is>
      </c>
      <c r="B30" s="5" t="inlineStr">
        <is>
          <t>1840</t>
        </is>
      </c>
      <c r="C30" s="5" t="inlineStr">
        <is>
          <t>год</t>
        </is>
      </c>
      <c r="D30" s="5" t="inlineStr">
        <is>
          <t>Великобритания</t>
        </is>
      </c>
      <c r="E30" s="5" t="inlineStr">
        <is>
          <t>Лэкок-Эбби</t>
        </is>
      </c>
      <c r="F30" s="5" t="inlineStr">
        <is>
          <t>Уильям Генри Фокс Тальбот</t>
        </is>
      </c>
      <c r="G30" s="5" t="inlineStr">
        <is>
          <t>Обнаруживает латентное изображение и проявление галловой кислотой: секунды экспозиции дают скрытый след, который можно проявить.</t>
        </is>
      </c>
      <c r="H30" s="5" t="inlineStr">
        <is>
          <t>Негатив-позитив</t>
        </is>
      </c>
      <c r="I30" s="5" t="inlineStr">
        <is>
          <t>Latent image development</t>
        </is>
      </c>
      <c r="J30" s="5" t="inlineStr">
        <is>
          <t>Это резко ускоряет бумажную фотографию: теперь не нужно ждать видимого потемнения во время экспозиции.</t>
        </is>
      </c>
      <c r="K30" s="5" t="inlineStr">
        <is>
          <t>Photogenic drawing and camera negatives</t>
        </is>
      </c>
      <c r="L30" s="5" t="inlineStr">
        <is>
          <t>Calotype patent 1841</t>
        </is>
      </c>
      <c r="M30" s="5" t="inlineStr">
        <is>
          <t>Главная линия</t>
        </is>
      </c>
      <c r="N30" s="6" t="n">
        <v>5</v>
      </c>
      <c r="O30" s="5" t="inlineStr">
        <is>
          <t>PL-004</t>
        </is>
      </c>
      <c r="P30" s="5" t="inlineStr">
        <is>
          <t>SRC-016</t>
        </is>
      </c>
      <c r="Q30" s="5" t="inlineStr">
        <is>
          <t>The Met — William Henry Fox Talbot</t>
        </is>
      </c>
      <c r="R30" s="5" t="inlineStr">
        <is>
          <t>https://www.metmuseum.org/essays/william-henry-fox-talbot-1800-1877-and-the-invention-of-photography</t>
        </is>
      </c>
      <c r="S30" s="6" t="n">
        <v>5</v>
      </c>
      <c r="T30" s="5" t="inlineStr">
        <is>
          <t>Для новичка: фотография научилась работать со скрытым изображением.</t>
        </is>
      </c>
      <c r="U30" s="5" t="inlineStr">
        <is>
          <t>Схема: невидимый след → проявитель → появляется картинка.</t>
        </is>
      </c>
      <c r="V30" s="5" t="inlineStr">
        <is>
          <t>#latent-image #Talbot #PL004</t>
        </is>
      </c>
      <c r="W30" s="5" t="n"/>
      <c r="X30" t="inlineStr">
        <is>
          <t>51.4136, -2.118</t>
        </is>
      </c>
      <c r="Y30" t="inlineStr">
        <is>
          <t>Негатив-позитив / проявление</t>
        </is>
      </c>
      <c r="Z30" t="inlineStr">
        <is>
          <t>Технология / процесс</t>
        </is>
      </c>
    </row>
    <row r="31" ht="80" customHeight="1" s="72">
      <c r="A31" s="5" t="inlineStr">
        <is>
          <t>PL-HIST-0030</t>
        </is>
      </c>
      <c r="B31" s="5" t="inlineStr">
        <is>
          <t>1840</t>
        </is>
      </c>
      <c r="C31" s="5" t="inlineStr">
        <is>
          <t>год</t>
        </is>
      </c>
      <c r="D31" s="5" t="inlineStr">
        <is>
          <t>США</t>
        </is>
      </c>
      <c r="E31" s="5" t="inlineStr">
        <is>
          <t>Нью-Йорк</t>
        </is>
      </c>
      <c r="F31" s="5" t="inlineStr">
        <is>
          <t>Джон Уильям Дрейпер</t>
        </is>
      </c>
      <c r="G31" s="5" t="inlineStr">
        <is>
          <t>Делает ранние научные дагеротипы, включая одну из первых фотографий Луны.</t>
        </is>
      </c>
      <c r="H31" s="5" t="inlineStr">
        <is>
          <t>Дагеротип</t>
        </is>
      </c>
      <c r="I31" s="5" t="inlineStr">
        <is>
          <t>Daguerreotype for astronomy</t>
        </is>
      </c>
      <c r="J31" s="5" t="inlineStr">
        <is>
          <t>Фотография быстро выходит за пределы портрета и становится научным инструментом.</t>
        </is>
      </c>
      <c r="K31" s="5" t="inlineStr">
        <is>
          <t>Daguerreotype public disclosure</t>
        </is>
      </c>
      <c r="L31" s="5" t="inlineStr">
        <is>
          <t>Astronomical and scientific photography</t>
        </is>
      </c>
      <c r="M31" s="5" t="inlineStr">
        <is>
          <t>Главная линия</t>
        </is>
      </c>
      <c r="N31" s="6" t="n">
        <v>3</v>
      </c>
      <c r="O31" s="5" t="inlineStr">
        <is>
          <t>будущие PL</t>
        </is>
      </c>
      <c r="P31" s="5" t="inlineStr">
        <is>
          <t>SRC-012</t>
        </is>
      </c>
      <c r="Q31" s="5" t="inlineStr">
        <is>
          <t>Harvard Library — History of Photography Timeline</t>
        </is>
      </c>
      <c r="R31" s="5" t="inlineStr">
        <is>
          <t>https://photographpreservationprogram.hsites.harvard.edu/harvards-history-photography-timeline-text-only</t>
        </is>
      </c>
      <c r="S31" s="6" t="n">
        <v>3</v>
      </c>
      <c r="T31" s="5" t="inlineStr">
        <is>
          <t>Будущий узел для урока о научной фотографии.</t>
        </is>
      </c>
      <c r="U31" s="5" t="inlineStr">
        <is>
          <t>Линия Париж → Нью-Йорк + Луна.</t>
        </is>
      </c>
      <c r="V31" s="5" t="inlineStr">
        <is>
          <t>#Draper #астрономия #научнаяфотография</t>
        </is>
      </c>
      <c r="W31" s="5" t="inlineStr">
        <is>
          <t>Добавить более авторитетный музейный источник по Draper. | Ветка нормализована к 13 значениям v0.2 — узел межжанровый, решение неоднозначное (см. Подветка).</t>
        </is>
      </c>
      <c r="X31" t="inlineStr">
        <is>
          <t>40.7128, -74.006</t>
        </is>
      </c>
      <c r="Y31" t="inlineStr">
        <is>
          <t>Научная фотография</t>
        </is>
      </c>
      <c r="Z31" t="inlineStr">
        <is>
          <t>Научное применение / пример</t>
        </is>
      </c>
    </row>
    <row r="32" ht="40" customHeight="1" s="72">
      <c r="A32" s="5" t="inlineStr">
        <is>
          <t>PL-HIST-0031</t>
        </is>
      </c>
      <c r="B32" s="5" t="inlineStr">
        <is>
          <t>1841</t>
        </is>
      </c>
      <c r="C32" s="5" t="inlineStr">
        <is>
          <t>год</t>
        </is>
      </c>
      <c r="D32" s="5" t="inlineStr">
        <is>
          <t>Великобритания</t>
        </is>
      </c>
      <c r="E32" s="5" t="inlineStr">
        <is>
          <t>Лондон / Лэкок-Эбби</t>
        </is>
      </c>
      <c r="F32" s="5" t="inlineStr">
        <is>
          <t>Уильям Генри Фокс Тальбот</t>
        </is>
      </c>
      <c r="G32" s="5" t="inlineStr">
        <is>
          <t>Патентует калотип: усовершенствованный негативно-позитивный процесс на бумаге.</t>
        </is>
      </c>
      <c r="H32" s="5" t="inlineStr">
        <is>
          <t>Негатив-позитив</t>
        </is>
      </c>
      <c r="I32" s="5" t="inlineStr">
        <is>
          <t>Calotype / Talbotype</t>
        </is>
      </c>
      <c r="J32" s="5" t="inlineStr">
        <is>
          <t>Появляется фундаментальная логика фотографии: один негатив может дать много позитивных отпечатков.</t>
        </is>
      </c>
      <c r="K32" s="5" t="inlineStr">
        <is>
          <t>Latent image development 1840</t>
        </is>
      </c>
      <c r="L32" s="5" t="inlineStr">
        <is>
          <t>Salted paper prints and The Pencil of Nature</t>
        </is>
      </c>
      <c r="M32" s="5" t="inlineStr">
        <is>
          <t>Главная линия</t>
        </is>
      </c>
      <c r="N32" s="6" t="n">
        <v>5</v>
      </c>
      <c r="O32" s="5" t="inlineStr">
        <is>
          <t>PL-004</t>
        </is>
      </c>
      <c r="P32" s="5" t="inlineStr">
        <is>
          <t>SRC-015</t>
        </is>
      </c>
      <c r="Q32" s="5" t="inlineStr">
        <is>
          <t>Library of Congress — Calotype and Daguerreotype</t>
        </is>
      </c>
      <c r="R32" s="5" t="inlineStr">
        <is>
          <t>https://blogs.loc.gov/teachers/2018/09/pre-civil-war-photographic-technologies-the-calotype-and-daguerreotype/</t>
        </is>
      </c>
      <c r="S32" s="6" t="n">
        <v>5</v>
      </c>
      <c r="T32" s="5" t="inlineStr">
        <is>
          <t>Ключевой тезис PL-004: калотип менее резкий, чем дагеротип, но его идея победила.</t>
        </is>
      </c>
      <c r="U32" s="5" t="inlineStr">
        <is>
          <t>Разветвление: один негатив → несколько отпечатков.</t>
        </is>
      </c>
      <c r="V32" s="5" t="inlineStr">
        <is>
          <t>#calotype #Talbot #negative-positive #PL004</t>
        </is>
      </c>
      <c r="W32" s="5" t="n"/>
      <c r="X32" t="inlineStr">
        <is>
          <t>51.5074, -0.1278</t>
        </is>
      </c>
      <c r="Z32" t="inlineStr">
        <is>
          <t>Технология / процесс</t>
        </is>
      </c>
      <c r="AA32" t="inlineStr">
        <is>
          <t>да</t>
        </is>
      </c>
    </row>
    <row r="33" ht="40" customHeight="1" s="72">
      <c r="A33" s="5" t="inlineStr">
        <is>
          <t>PL-HIST-0032</t>
        </is>
      </c>
      <c r="B33" s="5" t="inlineStr">
        <is>
          <t>1841</t>
        </is>
      </c>
      <c r="C33" s="5" t="inlineStr">
        <is>
          <t>год</t>
        </is>
      </c>
      <c r="D33" s="5" t="inlineStr">
        <is>
          <t>Великобритания</t>
        </is>
      </c>
      <c r="E33" s="5" t="inlineStr">
        <is>
          <t>Лондон / Лэкок-Эбби</t>
        </is>
      </c>
      <c r="F33" s="5" t="inlineStr">
        <is>
          <t>Уильям Генри Фокс Тальбот</t>
        </is>
      </c>
      <c r="G33" s="5" t="inlineStr">
        <is>
          <t>Солёная бумажная печать становится практическим позитивом с бумажного негатива.</t>
        </is>
      </c>
      <c r="H33" s="5" t="inlineStr">
        <is>
          <t>Печать / тиражирование</t>
        </is>
      </c>
      <c r="I33" s="5" t="inlineStr">
        <is>
          <t>Salted paper print</t>
        </is>
      </c>
      <c r="J33" s="5" t="inlineStr">
        <is>
          <t>Фотография становится печатной системой: негатив и позитив начинают работать вместе.</t>
        </is>
      </c>
      <c r="K33" s="5" t="inlineStr">
        <is>
          <t>Calotype negative</t>
        </is>
      </c>
      <c r="L33" s="5" t="inlineStr">
        <is>
          <t>Pencil of Nature and albumen print</t>
        </is>
      </c>
      <c r="M33" s="5" t="inlineStr">
        <is>
          <t>Главная линия</t>
        </is>
      </c>
      <c r="N33" s="6" t="n">
        <v>4</v>
      </c>
      <c r="O33" s="5" t="inlineStr">
        <is>
          <t>PL-004</t>
        </is>
      </c>
      <c r="P33" s="5" t="inlineStr">
        <is>
          <t>SRC-020</t>
        </is>
      </c>
      <c r="Q33" s="5" t="inlineStr">
        <is>
          <t>V&amp;A — Photography Processes and Techniques</t>
        </is>
      </c>
      <c r="R33" s="5" t="inlineStr">
        <is>
          <t>https://www.vam.ac.uk/info/collection-selection-boxes-photography-processes-and-techniques</t>
        </is>
      </c>
      <c r="S33" s="6" t="n">
        <v>4</v>
      </c>
      <c r="T33" s="5" t="inlineStr">
        <is>
          <t>Для схемы: калотип — это не только негатив, но и контактная печать.</t>
        </is>
      </c>
      <c r="U33" s="5" t="inlineStr">
        <is>
          <t>Контактная рамка: негатив лежит на бумаге под стеклом.</t>
        </is>
      </c>
      <c r="V33" s="5" t="inlineStr">
        <is>
          <t>#salted-paper #print #Talbot</t>
        </is>
      </c>
      <c r="W33" s="5" t="n"/>
      <c r="X33" t="inlineStr">
        <is>
          <t>51.5074, -0.1278</t>
        </is>
      </c>
      <c r="Z33" t="inlineStr">
        <is>
          <t>Тиражирование / публикация</t>
        </is>
      </c>
    </row>
    <row r="34" ht="60" customHeight="1" s="72">
      <c r="A34" s="5" t="inlineStr">
        <is>
          <t>PL-HIST-0033</t>
        </is>
      </c>
      <c r="B34" s="5" t="inlineStr">
        <is>
          <t>1842</t>
        </is>
      </c>
      <c r="C34" s="5" t="inlineStr">
        <is>
          <t>год</t>
        </is>
      </c>
      <c r="D34" s="5" t="inlineStr">
        <is>
          <t>Великобритания</t>
        </is>
      </c>
      <c r="E34" s="5" t="inlineStr">
        <is>
          <t>Лондон / Slough</t>
        </is>
      </c>
      <c r="F34" s="5" t="inlineStr">
        <is>
          <t>Джон Фредерик Уильям Гершель</t>
        </is>
      </c>
      <c r="G34" s="5" t="inlineStr">
        <is>
          <t>Изобретает цианотипию — железо-солевой процесс, дающий синий отпечаток.</t>
        </is>
      </c>
      <c r="H34" s="5" t="inlineStr">
        <is>
          <t>Печать / тиражирование</t>
        </is>
      </c>
      <c r="I34" s="5" t="inlineStr">
        <is>
          <t>Cyanotype</t>
        </is>
      </c>
      <c r="J34" s="5" t="inlineStr">
        <is>
          <t>Показывает, что фотография не обязана быть только серебряной; появляется альтернативная печать и будущие blueprint-процессы.</t>
        </is>
      </c>
      <c r="K34" s="5" t="inlineStr">
        <is>
          <t>Herschel's photochemistry</t>
        </is>
      </c>
      <c r="L34" s="5" t="inlineStr">
        <is>
          <t>Anna Atkins's photographic book</t>
        </is>
      </c>
      <c r="M34" s="5" t="inlineStr">
        <is>
          <t>Переходная технология / художественное возрождение</t>
        </is>
      </c>
      <c r="N34" s="6" t="n">
        <v>4</v>
      </c>
      <c r="O34" s="5" t="inlineStr">
        <is>
          <t>будущие PL</t>
        </is>
      </c>
      <c r="P34" s="5" t="inlineStr">
        <is>
          <t>SRC-018</t>
        </is>
      </c>
      <c r="Q34" s="5" t="inlineStr">
        <is>
          <t>HNOC — Cyanotype Process</t>
        </is>
      </c>
      <c r="R34" s="5" t="inlineStr">
        <is>
          <t>https://hnoc.org/virtual-exhibitions/from_daguerreotype_to_digital/cyanotype-process</t>
        </is>
      </c>
      <c r="S34" s="6" t="n">
        <v>5</v>
      </c>
      <c r="T34" s="5" t="inlineStr">
        <is>
          <t>Цианотипия идеальна для практического урока: простой, зрелищный процесс.</t>
        </is>
      </c>
      <c r="U34" s="5" t="inlineStr">
        <is>
          <t>Синяя ветка на карте.</t>
        </is>
      </c>
      <c r="V34" s="5" t="inlineStr">
        <is>
          <t>#cyanotype #Herschel #альтернативныйпроцесс</t>
        </is>
      </c>
      <c r="W34" s="5" t="inlineStr">
        <is>
          <t>Ветка нормализована к 13 значениям v0.2 — узел межжанровый, решение неоднозначное (см. Подветка).</t>
        </is>
      </c>
      <c r="X34" t="inlineStr">
        <is>
          <t>51.5074, -0.1278</t>
        </is>
      </c>
      <c r="Y34" t="inlineStr">
        <is>
          <t>Цианотипия</t>
        </is>
      </c>
      <c r="Z34" t="inlineStr">
        <is>
          <t>Технология / процесс</t>
        </is>
      </c>
    </row>
    <row r="35" ht="60" customHeight="1" s="72">
      <c r="A35" s="5" t="inlineStr">
        <is>
          <t>PL-HIST-0034</t>
        </is>
      </c>
      <c r="B35" s="5" t="inlineStr">
        <is>
          <t>1843</t>
        </is>
      </c>
      <c r="C35" s="5" t="inlineStr">
        <is>
          <t>год</t>
        </is>
      </c>
      <c r="D35" s="5" t="inlineStr">
        <is>
          <t>Великобритания</t>
        </is>
      </c>
      <c r="E35" s="5" t="inlineStr">
        <is>
          <t>Кент</t>
        </is>
      </c>
      <c r="F35" s="5" t="inlineStr">
        <is>
          <t>Анна Аткинс</t>
        </is>
      </c>
      <c r="G35" s="5" t="inlineStr">
        <is>
          <t>Начинает выпуск «Photographs of British Algae: Cyanotype Impressions» — первой книги, напечатанной и иллюстрированной фотографией.</t>
        </is>
      </c>
      <c r="H35" s="5" t="inlineStr">
        <is>
          <t>Печать / тиражирование</t>
        </is>
      </c>
      <c r="I35" s="5" t="inlineStr">
        <is>
          <t>Cyanotype photobook</t>
        </is>
      </c>
      <c r="J35" s="5" t="inlineStr">
        <is>
          <t>Фотография становится способом научной публикации, а не только экспериментом или портретом.</t>
        </is>
      </c>
      <c r="K35" s="5" t="inlineStr">
        <is>
          <t>Cyanotype 1842</t>
        </is>
      </c>
      <c r="L35" s="5" t="inlineStr">
        <is>
          <t>Scientific and documentary photography</t>
        </is>
      </c>
      <c r="M35" s="5" t="inlineStr">
        <is>
          <t>Главная линия</t>
        </is>
      </c>
      <c r="N35" s="6" t="n">
        <v>4</v>
      </c>
      <c r="O35" s="5" t="inlineStr">
        <is>
          <t>будущие PL</t>
        </is>
      </c>
      <c r="P35" s="5" t="inlineStr">
        <is>
          <t>SRC-019</t>
        </is>
      </c>
      <c r="Q35" s="5" t="inlineStr">
        <is>
          <t>Natural History Museum — Anna Atkins's cyanotypes</t>
        </is>
      </c>
      <c r="R35" s="5" t="inlineStr">
        <is>
          <t>https://www.nhm.ac.uk/discover/anna-atkins-cyanotypes-the-first-book-of-photographs.html</t>
        </is>
      </c>
      <c r="S35" s="6" t="n">
        <v>5</v>
      </c>
      <c r="T35" s="5" t="inlineStr">
        <is>
          <t>Очень важный узел: женщина-фотограф, наука, книга и фотография как документ.</t>
        </is>
      </c>
      <c r="U35" s="5" t="inlineStr">
        <is>
          <t>Иконка синей книги с водорослью.</t>
        </is>
      </c>
      <c r="V35" s="5" t="inlineStr">
        <is>
          <t>#AnnaAtkins #cyanotype #photobook</t>
        </is>
      </c>
      <c r="W35" s="5" t="n"/>
      <c r="X35" t="inlineStr">
        <is>
          <t>51.2787, 0.5217</t>
        </is>
      </c>
      <c r="Y35" t="inlineStr">
        <is>
          <t>Фотокнига / научная документация</t>
        </is>
      </c>
      <c r="Z35" t="inlineStr">
        <is>
          <t>Тиражирование / публикация</t>
        </is>
      </c>
    </row>
    <row r="36" ht="60" customHeight="1" s="72">
      <c r="A36" s="5" t="inlineStr">
        <is>
          <t>PL-HIST-0035</t>
        </is>
      </c>
      <c r="B36" s="5" t="inlineStr">
        <is>
          <t>1844</t>
        </is>
      </c>
      <c r="C36" s="5" t="inlineStr">
        <is>
          <t>год</t>
        </is>
      </c>
      <c r="D36" s="5" t="inlineStr">
        <is>
          <t>Великобритания</t>
        </is>
      </c>
      <c r="E36" s="5" t="inlineStr">
        <is>
          <t>Лондон</t>
        </is>
      </c>
      <c r="F36" s="5" t="inlineStr">
        <is>
          <t>Уильям Генри Фокс Тальбот</t>
        </is>
      </c>
      <c r="G36" s="5" t="inlineStr">
        <is>
          <t>Начинает публикацию «The Pencil of Nature» — первой коммерчески изданной книги с фотографическими отпечатками.</t>
        </is>
      </c>
      <c r="H36" s="5" t="inlineStr">
        <is>
          <t>Печать / тиражирование</t>
        </is>
      </c>
      <c r="I36" s="5" t="inlineStr">
        <is>
          <t>Salted paper prints from calotype negatives</t>
        </is>
      </c>
      <c r="J36" s="5" t="inlineStr">
        <is>
          <t>Фотография входит в книгу как новый способ иллюстрации и доказательства.</t>
        </is>
      </c>
      <c r="K36" s="5" t="inlineStr">
        <is>
          <t>Calotype and salted paper print</t>
        </is>
      </c>
      <c r="L36" s="5" t="inlineStr">
        <is>
          <t>Photographic publishing</t>
        </is>
      </c>
      <c r="M36" s="5" t="inlineStr">
        <is>
          <t>Главная линия</t>
        </is>
      </c>
      <c r="N36" s="6" t="n">
        <v>5</v>
      </c>
      <c r="O36" s="5" t="inlineStr">
        <is>
          <t>PL-004</t>
        </is>
      </c>
      <c r="P36" s="5" t="inlineStr">
        <is>
          <t>SRC-016</t>
        </is>
      </c>
      <c r="Q36" s="5" t="inlineStr">
        <is>
          <t>The Met — William Henry Fox Talbot</t>
        </is>
      </c>
      <c r="R36" s="5" t="inlineStr">
        <is>
          <t>https://www.metmuseum.org/essays/william-henry-fox-talbot-1800-1877-and-the-invention-of-photography</t>
        </is>
      </c>
      <c r="S36" s="6" t="n">
        <v>5</v>
      </c>
      <c r="T36" s="5" t="inlineStr">
        <is>
          <t>Сильный мост к бренду PHOTO LAB: фотография становится не только снимком, но и системой распространения знания.</t>
        </is>
      </c>
      <c r="U36" s="5" t="inlineStr">
        <is>
          <t>Книга, из которой выходят маленькие отпечатки.</t>
        </is>
      </c>
      <c r="V36" s="5" t="inlineStr">
        <is>
          <t>#PencilOfNature #Talbot #книга #PL004</t>
        </is>
      </c>
      <c r="W36" s="5" t="n"/>
      <c r="X36" t="inlineStr">
        <is>
          <t>51.5074, -0.1278</t>
        </is>
      </c>
      <c r="Y36" t="inlineStr">
        <is>
          <t>Фотокнига / тиражирование</t>
        </is>
      </c>
      <c r="Z36" t="inlineStr">
        <is>
          <t>Тиражирование / публикация</t>
        </is>
      </c>
    </row>
    <row r="37" ht="60" customHeight="1" s="72">
      <c r="A37" s="5" t="inlineStr">
        <is>
          <t>PL-HIST-0036</t>
        </is>
      </c>
      <c r="B37" s="5" t="inlineStr">
        <is>
          <t>1847</t>
        </is>
      </c>
      <c r="C37" s="5" t="inlineStr">
        <is>
          <t>год</t>
        </is>
      </c>
      <c r="D37" s="5" t="inlineStr">
        <is>
          <t>США</t>
        </is>
      </c>
      <c r="E37" s="5" t="inlineStr">
        <is>
          <t>Бостон</t>
        </is>
      </c>
      <c r="F37" s="5" t="inlineStr">
        <is>
          <t>Southworth &amp; Hawes</t>
        </is>
      </c>
      <c r="G37" s="5" t="inlineStr">
        <is>
          <t>Создают дагеротипы медицинских операций с эфирной анестезией в Massachusetts General Hospital.</t>
        </is>
      </c>
      <c r="H37" s="5" t="inlineStr">
        <is>
          <t>Дагеротип</t>
        </is>
      </c>
      <c r="I37" s="5" t="inlineStr">
        <is>
          <t>Daguerreotype documentation</t>
        </is>
      </c>
      <c r="J37" s="5" t="inlineStr">
        <is>
          <t>Фотография быстро становится инструментом медицинского и научного свидетельства.</t>
        </is>
      </c>
      <c r="K37" s="5" t="inlineStr">
        <is>
          <t>Daguerreotype portrait/studio practice</t>
        </is>
      </c>
      <c r="L37" s="5" t="inlineStr">
        <is>
          <t>Documentary and medical photography</t>
        </is>
      </c>
      <c r="M37" s="5" t="inlineStr">
        <is>
          <t>Главная линия</t>
        </is>
      </c>
      <c r="N37" s="6" t="n">
        <v>3</v>
      </c>
      <c r="O37" s="5" t="inlineStr">
        <is>
          <t>будущие PL</t>
        </is>
      </c>
      <c r="P37" s="5" t="inlineStr">
        <is>
          <t>SRC-012</t>
        </is>
      </c>
      <c r="Q37" s="5" t="inlineStr">
        <is>
          <t>Harvard Library — History of Photography Timeline</t>
        </is>
      </c>
      <c r="R37" s="5" t="inlineStr">
        <is>
          <t>https://photographpreservationprogram.hsites.harvard.edu/harvards-history-photography-timeline-text-only</t>
        </is>
      </c>
      <c r="S37" s="6" t="n">
        <v>4</v>
      </c>
      <c r="T37" s="5" t="inlineStr">
        <is>
          <t>Этот узел можно оставить для будущего урока о документальности фотографии.</t>
        </is>
      </c>
      <c r="U37" s="5" t="inlineStr">
        <is>
          <t>Иконка больницы/операционной + дагеротип.</t>
        </is>
      </c>
      <c r="V37" s="5" t="inlineStr">
        <is>
          <t>#medical-photography #daguerreotype #Boston</t>
        </is>
      </c>
      <c r="W37" s="5" t="inlineStr">
        <is>
          <t>Ветка нормализована к 13 значениям v0.2 — узел межжанровый, решение неоднозначное (см. Подветка).</t>
        </is>
      </c>
      <c r="X37" t="inlineStr">
        <is>
          <t>42.3601, -71.0589</t>
        </is>
      </c>
      <c r="Y37" t="inlineStr">
        <is>
          <t>Научная / медицинская фотография</t>
        </is>
      </c>
      <c r="Z37" t="inlineStr">
        <is>
          <t>Научное применение / пример</t>
        </is>
      </c>
    </row>
    <row r="38" ht="40" customHeight="1" s="72">
      <c r="A38" s="5" t="inlineStr">
        <is>
          <t>PL-HIST-0037</t>
        </is>
      </c>
      <c r="B38" s="5" t="inlineStr">
        <is>
          <t>1847</t>
        </is>
      </c>
      <c r="C38" s="5" t="inlineStr">
        <is>
          <t>год</t>
        </is>
      </c>
      <c r="D38" s="5" t="inlineStr">
        <is>
          <t>Франция</t>
        </is>
      </c>
      <c r="E38" s="5" t="inlineStr">
        <is>
          <t>Лилль / Париж</t>
        </is>
      </c>
      <c r="F38" s="5" t="inlineStr">
        <is>
          <t>Луи-Дезире Бланкар-Эврар</t>
        </is>
      </c>
      <c r="G38" s="5" t="inlineStr">
        <is>
          <t>Развивает и публикует улучшения бумажных негативно-позитивных процессов во Франции.</t>
        </is>
      </c>
      <c r="H38" s="5" t="inlineStr">
        <is>
          <t>Печать / тиражирование</t>
        </is>
      </c>
      <c r="I38" s="5" t="inlineStr">
        <is>
          <t>Paper negative-positive process</t>
        </is>
      </c>
      <c r="J38" s="5" t="inlineStr">
        <is>
          <t>Французская фотография получает не только дагеротипическую, но и бумажную тиражируемую ветку.</t>
        </is>
      </c>
      <c r="K38" s="5" t="inlineStr">
        <is>
          <t>Talbot calotype influence</t>
        </is>
      </c>
      <c r="L38" s="5" t="inlineStr">
        <is>
          <t>Albumen paper 1850</t>
        </is>
      </c>
      <c r="M38" s="5" t="inlineStr">
        <is>
          <t>Главная линия</t>
        </is>
      </c>
      <c r="N38" s="6" t="n">
        <v>3</v>
      </c>
      <c r="O38" s="5" t="inlineStr">
        <is>
          <t>будущие PL</t>
        </is>
      </c>
      <c r="P38" s="5" t="inlineStr">
        <is>
          <t>SRC-017</t>
        </is>
      </c>
      <c r="Q38" s="5" t="inlineStr">
        <is>
          <t>Getty — Sir John F. W. Herschel</t>
        </is>
      </c>
      <c r="R38" s="5" t="inlineStr">
        <is>
          <t>https://www.getty.edu/art/collection/person/103KHK</t>
        </is>
      </c>
      <c r="S38" s="6" t="n">
        <v>2</v>
      </c>
      <c r="T38" s="5" t="inlineStr">
        <is>
          <t>Пока источник не идеален; оставить как узел на доработку.</t>
        </is>
      </c>
      <c r="U38" s="5" t="inlineStr">
        <is>
          <t>Франция получает ответвление бумажной печати.</t>
        </is>
      </c>
      <c r="V38" s="5" t="inlineStr">
        <is>
          <t>#BlanquartEvrard #France #paper-process</t>
        </is>
      </c>
      <c r="W38" s="5" t="inlineStr">
        <is>
          <t>Найти лучший источник по 1847 публикации Бланкара-Эврара.</t>
        </is>
      </c>
      <c r="X38" t="inlineStr">
        <is>
          <t>50.6292, 3.0573</t>
        </is>
      </c>
      <c r="Z38" t="inlineStr">
        <is>
          <t>Распространение / коммерциализация</t>
        </is>
      </c>
    </row>
    <row r="39" ht="40" customHeight="1" s="72">
      <c r="A39" s="5" t="inlineStr">
        <is>
          <t>PL-HIST-0038</t>
        </is>
      </c>
      <c r="B39" s="5" t="inlineStr">
        <is>
          <t>1848</t>
        </is>
      </c>
      <c r="C39" s="5" t="inlineStr">
        <is>
          <t>год</t>
        </is>
      </c>
      <c r="D39" s="5" t="inlineStr">
        <is>
          <t>Франция</t>
        </is>
      </c>
      <c r="E39" s="5" t="inlineStr">
        <is>
          <t>Париж</t>
        </is>
      </c>
      <c r="F39" s="5" t="inlineStr">
        <is>
          <t>Эдмон Беккерель</t>
        </is>
      </c>
      <c r="G39" s="5" t="inlineStr">
        <is>
          <t>Создаёт ранний цветной фотографический процесс на основе серебряно-хлоридного слоя.</t>
        </is>
      </c>
      <c r="H39" s="5" t="inlineStr">
        <is>
          <t>Цвет</t>
        </is>
      </c>
      <c r="I39" s="5" t="inlineStr">
        <is>
          <t>Early colour photography / photochromatic images</t>
        </is>
      </c>
      <c r="J39" s="5" t="inlineStr">
        <is>
          <t>Цвет возникает очень рано, но эта ветка пока не становится практичной массовой фотографией.</t>
        </is>
      </c>
      <c r="K39" s="5" t="inlineStr">
        <is>
          <t>Silver-based photochemistry</t>
        </is>
      </c>
      <c r="L39" s="5" t="inlineStr">
        <is>
          <t>Autochrome and later colour processes</t>
        </is>
      </c>
      <c r="M39" s="5" t="inlineStr">
        <is>
          <t>Исторически важная ограниченная ветка</t>
        </is>
      </c>
      <c r="N39" s="6" t="n">
        <v>3</v>
      </c>
      <c r="O39" s="5" t="inlineStr">
        <is>
          <t>будущие PL</t>
        </is>
      </c>
      <c r="P39" s="5" t="inlineStr">
        <is>
          <t>SRC-025</t>
        </is>
      </c>
      <c r="Q39" s="5" t="inlineStr">
        <is>
          <t>Getty Conservation Institute — Atlas: Salt Print PDF</t>
        </is>
      </c>
      <c r="R39" s="5" t="inlineStr">
        <is>
          <t>https://www.getty.edu/conservation/publications_resources/pdf_publications/pdf/atlas_saltprint.pdf</t>
        </is>
      </c>
      <c r="S39" s="6" t="n">
        <v>3</v>
      </c>
      <c r="T39" s="5" t="inlineStr">
        <is>
          <t>На карте: цвет появился рано, но не сразу стал удобным.</t>
        </is>
      </c>
      <c r="U39" s="5" t="inlineStr">
        <is>
          <t>Пунктирная цветная ветка от серебряной химии.</t>
        </is>
      </c>
      <c r="V39" s="5" t="inlineStr">
        <is>
          <t>#color #Becquerel #раннийцвет</t>
        </is>
      </c>
      <c r="W39" s="5" t="inlineStr">
        <is>
          <t>Лучше заменить на специализированный музейный источник по Becquerel.</t>
        </is>
      </c>
      <c r="X39" t="inlineStr">
        <is>
          <t>48.8566, 2.3522</t>
        </is>
      </c>
      <c r="Z39" t="inlineStr">
        <is>
          <t>Технология / процесс</t>
        </is>
      </c>
    </row>
    <row r="40" ht="40" customHeight="1" s="72">
      <c r="A40" s="5" t="inlineStr">
        <is>
          <t>PL-HIST-0039</t>
        </is>
      </c>
      <c r="B40" s="5" t="inlineStr">
        <is>
          <t>1848</t>
        </is>
      </c>
      <c r="C40" s="5" t="inlineStr">
        <is>
          <t>год</t>
        </is>
      </c>
      <c r="D40" s="5" t="inlineStr">
        <is>
          <t>США</t>
        </is>
      </c>
      <c r="E40" s="5" t="inlineStr">
        <is>
          <t>Филадельфия</t>
        </is>
      </c>
      <c r="F40" s="5" t="inlineStr">
        <is>
          <t>Братья Лангенхайм</t>
        </is>
      </c>
      <c r="G40" s="5" t="inlineStr">
        <is>
          <t>Вводят первые фотографические фонарные слайды.</t>
        </is>
      </c>
      <c r="H40" s="5" t="inlineStr">
        <is>
          <t>Проекция / распространение</t>
        </is>
      </c>
      <c r="I40" s="5" t="inlineStr">
        <is>
          <t>Photographic lantern slide</t>
        </is>
      </c>
      <c r="J40" s="5" t="inlineStr">
        <is>
          <t>Фотография становится не только отпечатком, но и изображением для публичного показа и обучения.</t>
        </is>
      </c>
      <c r="K40" s="5" t="inlineStr">
        <is>
          <t>Daguerreotype and glass support experimentation</t>
        </is>
      </c>
      <c r="L40" s="5" t="inlineStr">
        <is>
          <t>Educational projection and slide culture</t>
        </is>
      </c>
      <c r="M40" s="5" t="inlineStr">
        <is>
          <t>Переходная технология</t>
        </is>
      </c>
      <c r="N40" s="6" t="n">
        <v>3</v>
      </c>
      <c r="O40" s="5" t="inlineStr">
        <is>
          <t>будущие PL</t>
        </is>
      </c>
      <c r="P40" s="5" t="inlineStr">
        <is>
          <t>SRC-012</t>
        </is>
      </c>
      <c r="Q40" s="5" t="inlineStr">
        <is>
          <t>Harvard Library — History of Photography Timeline</t>
        </is>
      </c>
      <c r="R40" s="5" t="inlineStr">
        <is>
          <t>https://photographpreservationprogram.hsites.harvard.edu/harvards-history-photography-timeline-text-only</t>
        </is>
      </c>
      <c r="S40" s="6" t="n">
        <v>4</v>
      </c>
      <c r="T40" s="5" t="inlineStr">
        <is>
          <t>Хороший узел для темы распространения изображений до кино и презентаций.</t>
        </is>
      </c>
      <c r="U40" s="5" t="inlineStr">
        <is>
          <t>Фонарный проектор + экран.</t>
        </is>
      </c>
      <c r="V40" s="5" t="inlineStr">
        <is>
          <t>#lantern-slide #projection #Langenheim</t>
        </is>
      </c>
      <c r="W40" s="5" t="n"/>
      <c r="X40" t="inlineStr">
        <is>
          <t>39.9526, -75.1652</t>
        </is>
      </c>
      <c r="Z40" t="inlineStr">
        <is>
          <t>Распространение / коммерциализация</t>
        </is>
      </c>
    </row>
    <row r="41" ht="40" customHeight="1" s="72">
      <c r="A41" s="5" t="inlineStr">
        <is>
          <t>PL-HIST-0040</t>
        </is>
      </c>
      <c r="B41" s="5" t="inlineStr">
        <is>
          <t>1850</t>
        </is>
      </c>
      <c r="C41" s="5" t="inlineStr">
        <is>
          <t>год</t>
        </is>
      </c>
      <c r="D41" s="5" t="inlineStr">
        <is>
          <t>Франция</t>
        </is>
      </c>
      <c r="E41" s="5" t="inlineStr">
        <is>
          <t>Лилль</t>
        </is>
      </c>
      <c r="F41" s="5" t="inlineStr">
        <is>
          <t>Луи-Дезире Бланкар-Эврар</t>
        </is>
      </c>
      <c r="G41" s="5" t="inlineStr">
        <is>
          <t>Изобретает альбуминовую печать, которая станет ведущим типом фотопечати XIX века.</t>
        </is>
      </c>
      <c r="H41" s="5" t="inlineStr">
        <is>
          <t>Печать / тиражирование</t>
        </is>
      </c>
      <c r="I41" s="5" t="inlineStr">
        <is>
          <t>Albumen print</t>
        </is>
      </c>
      <c r="J41" s="5" t="inlineStr">
        <is>
          <t>Печать становится более детальной, тональной и удобной для массовой фотографии XIX века.</t>
        </is>
      </c>
      <c r="K41" s="5" t="inlineStr">
        <is>
          <t>Salted paper print</t>
        </is>
      </c>
      <c r="L41" s="5" t="inlineStr">
        <is>
          <t>Wet collodion negative + albumen print dominance</t>
        </is>
      </c>
      <c r="M41" s="5" t="inlineStr">
        <is>
          <t>Главная линия</t>
        </is>
      </c>
      <c r="N41" s="6" t="n">
        <v>5</v>
      </c>
      <c r="O41" s="5" t="inlineStr">
        <is>
          <t>будущие PL</t>
        </is>
      </c>
      <c r="P41" s="5" t="inlineStr">
        <is>
          <t>SRC-020</t>
        </is>
      </c>
      <c r="Q41" s="5" t="inlineStr">
        <is>
          <t>V&amp;A — Photography Processes and Techniques</t>
        </is>
      </c>
      <c r="R41" s="5" t="inlineStr">
        <is>
          <t>https://www.vam.ac.uk/info/collection-selection-boxes-photography-processes-and-techniques</t>
        </is>
      </c>
      <c r="S41" s="6" t="n">
        <v>5</v>
      </c>
      <c r="T41" s="5" t="inlineStr">
        <is>
          <t>Важный мост к мокрому коллодию: резкий стеклянный негатив + альбуминовая бумага = визуальный язык XIX века.</t>
        </is>
      </c>
      <c r="U41" s="5" t="inlineStr">
        <is>
          <t>Яичный белок/лист бумаги + стеклянный негатив.</t>
        </is>
      </c>
      <c r="V41" s="5" t="inlineStr">
        <is>
          <t>#albumen #print #BlanquartEvrard</t>
        </is>
      </c>
      <c r="W41" s="5" t="n"/>
      <c r="X41" t="inlineStr">
        <is>
          <t>50.6292, 3.0573</t>
        </is>
      </c>
      <c r="Z41" t="inlineStr">
        <is>
          <t>Тиражирование / публикация</t>
        </is>
      </c>
    </row>
    <row r="42" ht="60" customHeight="1" s="72">
      <c r="A42" s="5" t="inlineStr">
        <is>
          <t>PL-HIST-0041</t>
        </is>
      </c>
      <c r="B42" s="5" t="inlineStr">
        <is>
          <t>1851</t>
        </is>
      </c>
      <c r="C42" s="5" t="inlineStr">
        <is>
          <t>год</t>
        </is>
      </c>
      <c r="D42" s="5" t="inlineStr">
        <is>
          <t>Великобритания</t>
        </is>
      </c>
      <c r="E42" s="5" t="inlineStr">
        <is>
          <t>Лондон</t>
        </is>
      </c>
      <c r="F42" s="5" t="inlineStr">
        <is>
          <t>Фредерик Скотт Арчер</t>
        </is>
      </c>
      <c r="G42" s="5" t="inlineStr">
        <is>
          <t>Публикует мокрый коллодионный процесс: стеклянная пластина покрывается коллодием, сенсибилизируется, экспонируется и проявляется влажной.</t>
        </is>
      </c>
      <c r="H42" s="5" t="inlineStr">
        <is>
          <t>Мокрый коллодий</t>
        </is>
      </c>
      <c r="I42" s="5" t="inlineStr">
        <is>
          <t>Wet collodion glass negative</t>
        </is>
      </c>
      <c r="J42" s="5" t="inlineStr">
        <is>
          <t>Соединяет резкость стеклянного носителя и тиражируемость негативно-позитивной системы.</t>
        </is>
      </c>
      <c r="K42" s="5" t="inlineStr">
        <is>
          <t>Daguerreotype sharpness + calotype reproducibility problem</t>
        </is>
      </c>
      <c r="L42" s="5" t="inlineStr">
        <is>
          <t>Albumen prints, ambrotypes, tintypes, documentary photography</t>
        </is>
      </c>
      <c r="M42" s="5" t="inlineStr">
        <is>
          <t>Главная линия / временная доминирующая линия</t>
        </is>
      </c>
      <c r="N42" s="6" t="n">
        <v>5</v>
      </c>
      <c r="O42" s="5" t="inlineStr">
        <is>
          <t>PL-005</t>
        </is>
      </c>
      <c r="P42" s="5" t="inlineStr">
        <is>
          <t>SRC-021</t>
        </is>
      </c>
      <c r="Q42" s="5" t="inlineStr">
        <is>
          <t>National Science and Media Museum — Frederick Scott Archer</t>
        </is>
      </c>
      <c r="R42" s="5" t="inlineStr">
        <is>
          <t>https://blog.scienceandmediamuseum.org.uk/photography-a-z-frederick-scott-archer-wet-collodion-process/</t>
        </is>
      </c>
      <c r="S42" s="6" t="n">
        <v>5</v>
      </c>
      <c r="T42" s="5" t="inlineStr">
        <is>
          <t>Ключ PL-005: резкость дагеротипа и тираж калотипа наконец встретились.</t>
        </is>
      </c>
      <c r="U42" s="5" t="inlineStr">
        <is>
          <t>Главный узел: стеклянная влажная пластина + таймер 15 минут.</t>
        </is>
      </c>
      <c r="V42" s="5" t="inlineStr">
        <is>
          <t>#wet-collodion #Archer #PL005</t>
        </is>
      </c>
      <c r="W42" s="5" t="n"/>
      <c r="X42" t="inlineStr">
        <is>
          <t>51.5074, -0.1278</t>
        </is>
      </c>
      <c r="Z42" t="inlineStr">
        <is>
          <t>Технология / процесс</t>
        </is>
      </c>
      <c r="AA42" t="inlineStr">
        <is>
          <t>да</t>
        </is>
      </c>
    </row>
    <row r="43" ht="60" customHeight="1" s="72">
      <c r="A43" s="5" t="inlineStr">
        <is>
          <t>PL-HIST-0042</t>
        </is>
      </c>
      <c r="B43" s="5" t="inlineStr">
        <is>
          <t>1851–1880-е</t>
        </is>
      </c>
      <c r="C43" s="5" t="inlineStr">
        <is>
          <t>диапазон</t>
        </is>
      </c>
      <c r="D43" s="5" t="inlineStr">
        <is>
          <t>Великобритания / глобально</t>
        </is>
      </c>
      <c r="E43" s="5" t="inlineStr">
        <is>
          <t>Лондон → Европа / Америка</t>
        </is>
      </c>
      <c r="F43" s="5" t="inlineStr">
        <is>
          <t>Фотографы мокрого коллодия</t>
        </is>
      </c>
      <c r="G43" s="5" t="inlineStr">
        <is>
          <t>Мокрый коллодий становится доминирующим процессом на несколько десятилетий.</t>
        </is>
      </c>
      <c r="H43" s="5" t="inlineStr">
        <is>
          <t>Мокрый коллодий</t>
        </is>
      </c>
      <c r="I43" s="5" t="inlineStr">
        <is>
          <t>Wet collodion negative</t>
        </is>
      </c>
      <c r="J43" s="5" t="inlineStr">
        <is>
          <t>Фотография становится более резкой, воспроизводимой и пригодной для документальных задач, но требует мобильной лаборатории.</t>
        </is>
      </c>
      <c r="K43" s="5" t="inlineStr">
        <is>
          <t>Archer's publication</t>
        </is>
      </c>
      <c r="L43" s="5" t="inlineStr">
        <is>
          <t>Dry plates replace wet collodion later</t>
        </is>
      </c>
      <c r="M43" s="5" t="inlineStr">
        <is>
          <t>Временная доминирующая линия</t>
        </is>
      </c>
      <c r="N43" s="6" t="n">
        <v>5</v>
      </c>
      <c r="O43" s="5" t="inlineStr">
        <is>
          <t>PL-005</t>
        </is>
      </c>
      <c r="P43" s="5" t="inlineStr">
        <is>
          <t>SRC-021</t>
        </is>
      </c>
      <c r="Q43" s="5" t="inlineStr">
        <is>
          <t>National Science and Media Museum — Frederick Scott Archer</t>
        </is>
      </c>
      <c r="R43" s="5" t="inlineStr">
        <is>
          <t>https://blog.scienceandmediamuseum.org.uk/photography-a-z-frederick-scott-archer-wet-collodion-process/</t>
        </is>
      </c>
      <c r="S43" s="6" t="n">
        <v>5</v>
      </c>
      <c r="T43" s="5" t="inlineStr">
        <is>
          <t>Важно: это не тупик сразу; это главный мост середины XIX века.</t>
        </is>
      </c>
      <c r="U43" s="5" t="inlineStr">
        <is>
          <t>Широкие линии от Лондона по Европе и Америке.</t>
        </is>
      </c>
      <c r="V43" s="5" t="inlineStr">
        <is>
          <t>#wet-collodion #dominant-process #PL005</t>
        </is>
      </c>
      <c r="W43" s="5" t="n"/>
      <c r="X43" t="inlineStr">
        <is>
          <t>51.5074, -0.1278</t>
        </is>
      </c>
      <c r="Y43" t="inlineStr">
        <is>
          <t>Мокрый коллодий / распространение</t>
        </is>
      </c>
      <c r="Z43" t="inlineStr">
        <is>
          <t>Распространение / коммерциализация</t>
        </is>
      </c>
    </row>
    <row r="44" ht="60" customHeight="1" s="72">
      <c r="A44" s="5" t="inlineStr">
        <is>
          <t>PL-HIST-0043</t>
        </is>
      </c>
      <c r="B44" s="5" t="inlineStr">
        <is>
          <t>1851</t>
        </is>
      </c>
      <c r="C44" s="5" t="inlineStr">
        <is>
          <t>год</t>
        </is>
      </c>
      <c r="D44" s="5" t="inlineStr">
        <is>
          <t>Великобритания</t>
        </is>
      </c>
      <c r="E44" s="5" t="inlineStr">
        <is>
          <t>Лондон</t>
        </is>
      </c>
      <c r="F44" s="5" t="inlineStr">
        <is>
          <t>Фредерик Скотт Арчер</t>
        </is>
      </c>
      <c r="G44" s="5" t="inlineStr">
        <is>
          <t>Показывает практическую формулу мокрого коллодия: коллодий + йодид калия + нитрат серебра + немедленное проявление/фиксаж.</t>
        </is>
      </c>
      <c r="H44" s="5" t="inlineStr">
        <is>
          <t>Мокрый коллодий</t>
        </is>
      </c>
      <c r="I44" s="5" t="inlineStr">
        <is>
          <t>Collodion + silver nitrate</t>
        </is>
      </c>
      <c r="J44" s="5" t="inlineStr">
        <is>
          <t>Процесс требует скорости и дисциплины: пластину надо подготовить, снять и проявить пока она влажная.</t>
        </is>
      </c>
      <c r="K44" s="5" t="inlineStr">
        <is>
          <t>Photographic chemistry and glass supports</t>
        </is>
      </c>
      <c r="L44" s="5" t="inlineStr">
        <is>
          <t>Portable darkrooms and field photography</t>
        </is>
      </c>
      <c r="M44" s="5" t="inlineStr">
        <is>
          <t>Главная линия / временная доминирующая линия</t>
        </is>
      </c>
      <c r="N44" s="6" t="n">
        <v>5</v>
      </c>
      <c r="O44" s="5" t="inlineStr">
        <is>
          <t>PL-005</t>
        </is>
      </c>
      <c r="P44" s="5" t="inlineStr">
        <is>
          <t>SRC-021</t>
        </is>
      </c>
      <c r="Q44" s="5" t="inlineStr">
        <is>
          <t>National Science and Media Museum — Frederick Scott Archer</t>
        </is>
      </c>
      <c r="R44" s="5" t="inlineStr">
        <is>
          <t>https://blog.scienceandmediamuseum.org.uk/photography-a-z-frederick-scott-archer-wet-collodion-process/</t>
        </is>
      </c>
      <c r="S44" s="6" t="n">
        <v>5</v>
      </c>
      <c r="T44" s="5" t="inlineStr">
        <is>
          <t>Для урока: здесь появляется драматургия «15 минут, пока пластина влажная».</t>
        </is>
      </c>
      <c r="U44" s="5" t="inlineStr">
        <is>
          <t>Схема-алгоритм из 5 шагов вокруг стеклянной пластины.</t>
        </is>
      </c>
      <c r="V44" s="5" t="inlineStr">
        <is>
          <t>#химия #коллодий #стекло #PL005</t>
        </is>
      </c>
      <c r="W44" s="5" t="n"/>
      <c r="X44" t="inlineStr">
        <is>
          <t>51.5074, -0.1278</t>
        </is>
      </c>
      <c r="Y44" t="inlineStr">
        <is>
          <t>Мокрый коллодий / химия</t>
        </is>
      </c>
      <c r="Z44" t="inlineStr">
        <is>
          <t>Технология / процесс</t>
        </is>
      </c>
    </row>
    <row r="45" ht="40" customHeight="1" s="72">
      <c r="A45" s="5" t="inlineStr">
        <is>
          <t>PL-HIST-0044</t>
        </is>
      </c>
      <c r="B45" s="5" t="inlineStr">
        <is>
          <t>1853</t>
        </is>
      </c>
      <c r="C45" s="5" t="inlineStr">
        <is>
          <t>год</t>
        </is>
      </c>
      <c r="D45" s="5" t="inlineStr">
        <is>
          <t>Великобритания</t>
        </is>
      </c>
      <c r="E45" s="5" t="inlineStr">
        <is>
          <t>Лондон</t>
        </is>
      </c>
      <c r="F45" s="5" t="inlineStr">
        <is>
          <t>Фредерик Скотт Арчер</t>
        </is>
      </c>
      <c r="G45" s="5" t="inlineStr">
        <is>
          <t>Демонстрирует складную коллодионную камеру, совмещённую с мини-тёмной комнатой.</t>
        </is>
      </c>
      <c r="H45" s="5" t="inlineStr">
        <is>
          <t>Мокрый коллодий</t>
        </is>
      </c>
      <c r="I45" s="5" t="inlineStr">
        <is>
          <t>Folding collodion camera / portable darkroom</t>
        </is>
      </c>
      <c r="J45" s="5" t="inlineStr">
        <is>
          <t>Техническая проблема процесса решается конструкцией: фотографу нужно работать с пластиной на месте.</t>
        </is>
      </c>
      <c r="K45" s="5" t="inlineStr">
        <is>
          <t>Wet collodion process 1851</t>
        </is>
      </c>
      <c r="L45" s="5" t="inlineStr">
        <is>
          <t>Field photography and mobile darkrooms</t>
        </is>
      </c>
      <c r="M45" s="5" t="inlineStr">
        <is>
          <t>Переходная технология</t>
        </is>
      </c>
      <c r="N45" s="6" t="n">
        <v>4</v>
      </c>
      <c r="O45" s="5" t="inlineStr">
        <is>
          <t>PL-005</t>
        </is>
      </c>
      <c r="P45" s="5" t="inlineStr">
        <is>
          <t>SRC-021</t>
        </is>
      </c>
      <c r="Q45" s="5" t="inlineStr">
        <is>
          <t>National Science and Media Museum — Frederick Scott Archer</t>
        </is>
      </c>
      <c r="R45" s="5" t="inlineStr">
        <is>
          <t>https://blog.scienceandmediamuseum.org.uk/photography-a-z-frederick-scott-archer-wet-collodion-process/</t>
        </is>
      </c>
      <c r="S45" s="6" t="n">
        <v>5</v>
      </c>
      <c r="T45" s="5" t="inlineStr">
        <is>
          <t>Хороший визуальный сюжет: камера как чемодан-лаборатория.</t>
        </is>
      </c>
      <c r="U45" s="5" t="inlineStr">
        <is>
          <t>Иконка камеры с рукавами и стеклянной пластиной внутри.</t>
        </is>
      </c>
      <c r="V45" s="5" t="inlineStr">
        <is>
          <t>#Archer #collodion-camera #PL005</t>
        </is>
      </c>
      <c r="W45" s="5" t="n"/>
      <c r="X45" t="inlineStr">
        <is>
          <t>51.5074, -0.1278</t>
        </is>
      </c>
      <c r="Y45" t="inlineStr">
        <is>
          <t>Мокрый коллодий / камера</t>
        </is>
      </c>
      <c r="Z45" t="inlineStr">
        <is>
          <t>Инструмент / устройство</t>
        </is>
      </c>
    </row>
    <row r="46" ht="40" customHeight="1" s="72">
      <c r="A46" s="5" t="inlineStr">
        <is>
          <t>PL-HIST-0045</t>
        </is>
      </c>
      <c r="B46" s="5" t="inlineStr">
        <is>
          <t>ок. 1853</t>
        </is>
      </c>
      <c r="C46" s="5" t="inlineStr">
        <is>
          <t>примерно</t>
        </is>
      </c>
      <c r="D46" s="5" t="inlineStr">
        <is>
          <t>Великобритания / США</t>
        </is>
      </c>
      <c r="E46" s="5" t="inlineStr">
        <is>
          <t>Лондон / Бостон</t>
        </is>
      </c>
      <c r="F46" s="5" t="inlineStr">
        <is>
          <t>Фотографы коллодионного процесса</t>
        </is>
      </c>
      <c r="G46" s="5" t="inlineStr">
        <is>
          <t>Появляется коллодионный позитив на стекле, позже известный как амбротип.</t>
        </is>
      </c>
      <c r="H46" s="5" t="inlineStr">
        <is>
          <t>Уникальный позитив</t>
        </is>
      </c>
      <c r="I46" s="5" t="inlineStr">
        <is>
          <t>Ambrotype / collodion positive</t>
        </is>
      </c>
      <c r="J46" s="5" t="inlineStr">
        <is>
          <t>Мокрый коллодий даёт не только негативы для печати, но и дешёвые уникальные портреты.</t>
        </is>
      </c>
      <c r="K46" s="5" t="inlineStr">
        <is>
          <t>Wet collodion process</t>
        </is>
      </c>
      <c r="L46" s="5" t="inlineStr">
        <is>
          <t>Cutting patent 1854 and tintype</t>
        </is>
      </c>
      <c r="M46" s="5" t="inlineStr">
        <is>
          <t>Исторически важная ограниченная ветка</t>
        </is>
      </c>
      <c r="N46" s="6" t="n">
        <v>4</v>
      </c>
      <c r="O46" s="5" t="inlineStr">
        <is>
          <t>PL-005</t>
        </is>
      </c>
      <c r="P46" s="5" t="inlineStr">
        <is>
          <t>SRC-022</t>
        </is>
      </c>
      <c r="Q46" s="5" t="inlineStr">
        <is>
          <t>Library of Congress — Ambrotypes and Tintypes</t>
        </is>
      </c>
      <c r="R46" s="5" t="inlineStr">
        <is>
          <t>https://www.loc.gov/collections/liljenquist-civil-war-photographs/articles-and-essays/ambrotypes-and-tintypes/</t>
        </is>
      </c>
      <c r="S46" s="6" t="n">
        <v>4</v>
      </c>
      <c r="T46" s="5" t="inlineStr">
        <is>
          <t>В PL-005 можно сказать: один процесс породил сразу несколько форм — негатив, амбротип, тинтайп.</t>
        </is>
      </c>
      <c r="U46" s="5" t="inlineStr">
        <is>
          <t>От основной коллодионной ветки отходит стеклянный позитив.</t>
        </is>
      </c>
      <c r="V46" s="5" t="inlineStr">
        <is>
          <t>#ambrotype #collodion-positive #PL005</t>
        </is>
      </c>
      <c r="W46" s="5" t="n"/>
      <c r="X46" t="inlineStr">
        <is>
          <t>51.5074, -0.1278</t>
        </is>
      </c>
      <c r="Y46" t="inlineStr">
        <is>
          <t>Уникальный позитив / мокрый коллодий</t>
        </is>
      </c>
      <c r="Z46" t="inlineStr">
        <is>
          <t>Технология / процесс</t>
        </is>
      </c>
    </row>
    <row r="47" ht="40" customHeight="1" s="72">
      <c r="A47" s="5" t="inlineStr">
        <is>
          <t>PL-HIST-0046</t>
        </is>
      </c>
      <c r="B47" s="5" t="inlineStr">
        <is>
          <t>1854</t>
        </is>
      </c>
      <c r="C47" s="5" t="inlineStr">
        <is>
          <t>год</t>
        </is>
      </c>
      <c r="D47" s="5" t="inlineStr">
        <is>
          <t>США</t>
        </is>
      </c>
      <c r="E47" s="5" t="inlineStr">
        <is>
          <t>Бостон</t>
        </is>
      </c>
      <c r="F47" s="5" t="inlineStr">
        <is>
          <t>Джеймс Амброуз Каттинг</t>
        </is>
      </c>
      <c r="G47" s="5" t="inlineStr">
        <is>
          <t>Патентует улучшения амбротипного процесса.</t>
        </is>
      </c>
      <c r="H47" s="5" t="inlineStr">
        <is>
          <t>Уникальный позитив</t>
        </is>
      </c>
      <c r="I47" s="5" t="inlineStr">
        <is>
          <t>Ambrotype</t>
        </is>
      </c>
      <c r="J47" s="5" t="inlineStr">
        <is>
          <t>Коллодионный позитив становится коммерческой портретной практикой, особенно в 1850–1860-х.</t>
        </is>
      </c>
      <c r="K47" s="5" t="inlineStr">
        <is>
          <t>Collodion positive around 1853</t>
        </is>
      </c>
      <c r="L47" s="5" t="inlineStr">
        <is>
          <t>Tintype and paper print competition</t>
        </is>
      </c>
      <c r="M47" s="5" t="inlineStr">
        <is>
          <t>Исторически важная ограниченная ветка</t>
        </is>
      </c>
      <c r="N47" s="6" t="n">
        <v>3</v>
      </c>
      <c r="O47" s="5" t="inlineStr">
        <is>
          <t>PL-005</t>
        </is>
      </c>
      <c r="P47" s="5" t="inlineStr">
        <is>
          <t>SRC-022</t>
        </is>
      </c>
      <c r="Q47" s="5" t="inlineStr">
        <is>
          <t>Library of Congress — Ambrotypes and Tintypes</t>
        </is>
      </c>
      <c r="R47" s="5" t="inlineStr">
        <is>
          <t>https://www.loc.gov/collections/liljenquist-civil-war-photographs/articles-and-essays/ambrotypes-and-tintypes/</t>
        </is>
      </c>
      <c r="S47" s="6" t="n">
        <v>5</v>
      </c>
      <c r="T47" s="5" t="inlineStr">
        <is>
          <t>Для карты: ветка не главная, но культурно важная — доступные портреты.</t>
        </is>
      </c>
      <c r="U47" s="5" t="inlineStr">
        <is>
          <t>Портрет на стекле с тёмной подложкой.</t>
        </is>
      </c>
      <c r="V47" s="5" t="inlineStr">
        <is>
          <t>#ambrotype #Cutting #portrait</t>
        </is>
      </c>
      <c r="W47" s="5" t="n"/>
      <c r="X47" t="inlineStr">
        <is>
          <t>42.3601, -71.0589</t>
        </is>
      </c>
      <c r="Y47" t="inlineStr">
        <is>
          <t>Уникальный позитив / мокрый коллодий</t>
        </is>
      </c>
      <c r="Z47" t="inlineStr">
        <is>
          <t>Технология / процесс</t>
        </is>
      </c>
    </row>
    <row r="48" ht="60" customHeight="1" s="72">
      <c r="A48" s="5" t="inlineStr">
        <is>
          <t>PL-HIST-0047</t>
        </is>
      </c>
      <c r="B48" s="5" t="inlineStr">
        <is>
          <t>1855–1881</t>
        </is>
      </c>
      <c r="C48" s="5" t="inlineStr">
        <is>
          <t>диапазон</t>
        </is>
      </c>
      <c r="D48" s="5" t="inlineStr">
        <is>
          <t>Европа / США</t>
        </is>
      </c>
      <c r="E48" s="5" t="inlineStr">
        <is>
          <t>Студии и полевые лаборатории</t>
        </is>
      </c>
      <c r="F48" s="5" t="inlineStr">
        <is>
          <t>Фотографы мокрого коллодия</t>
        </is>
      </c>
      <c r="G48" s="5" t="inlineStr">
        <is>
          <t>Мокрый коллодионный негатив + альбуминовая печать формируют классический визуальный язык середины XIX века.</t>
        </is>
      </c>
      <c r="H48" s="5" t="inlineStr">
        <is>
          <t>Мокрый коллодий</t>
        </is>
      </c>
      <c r="I48" s="5" t="inlineStr">
        <is>
          <t>Wet collodion negative + albumen print</t>
        </is>
      </c>
      <c r="J48" s="5" t="inlineStr">
        <is>
          <t>Появляется связка: резкий стеклянный негатив даёт детальные бумажные отпечатки.</t>
        </is>
      </c>
      <c r="K48" s="5" t="inlineStr">
        <is>
          <t>Albumen print 1850 + wet collodion 1851</t>
        </is>
      </c>
      <c r="L48" s="5" t="inlineStr">
        <is>
          <t>Dry plate and gelatin processes later</t>
        </is>
      </c>
      <c r="M48" s="5" t="inlineStr">
        <is>
          <t>Главная линия / временная доминирующая линия</t>
        </is>
      </c>
      <c r="N48" s="6" t="n">
        <v>5</v>
      </c>
      <c r="O48" s="5" t="inlineStr">
        <is>
          <t>PL-005</t>
        </is>
      </c>
      <c r="P48" s="5" t="inlineStr">
        <is>
          <t>SRC-020</t>
        </is>
      </c>
      <c r="Q48" s="5" t="inlineStr">
        <is>
          <t>V&amp;A — Photography Processes and Techniques</t>
        </is>
      </c>
      <c r="R48" s="5" t="inlineStr">
        <is>
          <t>https://www.vam.ac.uk/info/collection-selection-boxes-photography-processes-and-techniques</t>
        </is>
      </c>
      <c r="S48" s="6" t="n">
        <v>5</v>
      </c>
      <c r="T48" s="5" t="inlineStr">
        <is>
          <t>Это финальная формула PL-005: не один процесс, а связка негатив + печать.</t>
        </is>
      </c>
      <c r="U48" s="5" t="inlineStr">
        <is>
          <t>Двойной узел: стеклянная пластина → альбуминовый отпечаток.</t>
        </is>
      </c>
      <c r="V48" s="5" t="inlineStr">
        <is>
          <t>#wet-collodion #albumen #print #PL005</t>
        </is>
      </c>
      <c r="W48" s="5" t="n"/>
      <c r="Y48" t="inlineStr">
        <is>
          <t>Мокрый коллодий + печать</t>
        </is>
      </c>
      <c r="Z48" t="inlineStr">
        <is>
          <t>Тиражирование / публикация</t>
        </is>
      </c>
    </row>
    <row r="49" ht="60" customHeight="1" s="72">
      <c r="A49" s="5" t="inlineStr">
        <is>
          <t>PL-HIST-0048</t>
        </is>
      </c>
      <c r="B49" s="5" t="inlineStr">
        <is>
          <t>1856</t>
        </is>
      </c>
      <c r="C49" s="5" t="inlineStr">
        <is>
          <t>год</t>
        </is>
      </c>
      <c r="D49" s="5" t="inlineStr">
        <is>
          <t>США / Великобритания</t>
        </is>
      </c>
      <c r="E49" s="5" t="inlineStr">
        <is>
          <t>США / Великобритания</t>
        </is>
      </c>
      <c r="F49" s="5" t="inlineStr">
        <is>
          <t>Hamilton Smith / William Kloen / другие</t>
        </is>
      </c>
      <c r="G49" s="5" t="inlineStr">
        <is>
          <t>Тинтайп/ферротип закрепляется как дешёвый прямой позитив на лакированном металле, связанный с мокрым коллодием.</t>
        </is>
      </c>
      <c r="H49" s="5" t="inlineStr">
        <is>
          <t>Уникальный позитив</t>
        </is>
      </c>
      <c r="I49" s="5" t="inlineStr">
        <is>
          <t>Tintype / ferrotype</t>
        </is>
      </c>
      <c r="J49" s="5" t="inlineStr">
        <is>
          <t>Фотография становится более дешёвой, прочной и мобильной для массового портрета.</t>
        </is>
      </c>
      <c r="K49" s="5" t="inlineStr">
        <is>
          <t>Ambrotype and wet collodion</t>
        </is>
      </c>
      <c r="L49" s="5" t="inlineStr">
        <is>
          <t>Civil War era portraiture and itinerant photography</t>
        </is>
      </c>
      <c r="M49" s="5" t="inlineStr">
        <is>
          <t>Исторически важная ограниченная ветка / художественное возрождение</t>
        </is>
      </c>
      <c r="N49" s="6" t="n">
        <v>3</v>
      </c>
      <c r="O49" s="5" t="inlineStr">
        <is>
          <t>PL-005</t>
        </is>
      </c>
      <c r="P49" s="5" t="inlineStr">
        <is>
          <t>SRC-022</t>
        </is>
      </c>
      <c r="Q49" s="5" t="inlineStr">
        <is>
          <t>Library of Congress — Ambrotypes and Tintypes</t>
        </is>
      </c>
      <c r="R49" s="5" t="inlineStr">
        <is>
          <t>https://www.loc.gov/collections/liljenquist-civil-war-photographs/articles-and-essays/ambrotypes-and-tintypes/</t>
        </is>
      </c>
      <c r="S49" s="6" t="n">
        <v>4</v>
      </c>
      <c r="T49" s="5" t="inlineStr">
        <is>
          <t>Это ветка массового портрета: не главная линия к плёнке, но важная социально.</t>
        </is>
      </c>
      <c r="U49" s="5" t="inlineStr">
        <is>
          <t>Металлическая пластинка-портрет, ярмарка/палатка.</t>
        </is>
      </c>
      <c r="V49" s="5" t="inlineStr">
        <is>
          <t>#tintype #ferrotype #collodion #portrait</t>
        </is>
      </c>
      <c r="W49" s="5" t="inlineStr">
        <is>
          <t>Уточнить авторство/патенты 1856 по отдельным источникам.</t>
        </is>
      </c>
      <c r="Y49" t="inlineStr">
        <is>
          <t>Уникальный позитив / массовый портрет</t>
        </is>
      </c>
      <c r="Z49" t="inlineStr">
        <is>
          <t>Технология / процесс</t>
        </is>
      </c>
    </row>
    <row r="50" ht="61" customHeight="1" s="72">
      <c r="A50" s="3" t="inlineStr">
        <is>
          <t>PL-HIST-0049</t>
        </is>
      </c>
      <c r="B50" s="3" t="inlineStr">
        <is>
          <t>1871</t>
        </is>
      </c>
      <c r="C50" s="3" t="inlineStr">
        <is>
          <t>год</t>
        </is>
      </c>
      <c r="D50" s="3" t="inlineStr">
        <is>
          <t>Великобритания</t>
        </is>
      </c>
      <c r="E50" s="3" t="inlineStr">
        <is>
          <t>Лондон (публикация)</t>
        </is>
      </c>
      <c r="F50" s="3" t="inlineStr">
        <is>
          <t>Ричард Лич Мэддокс</t>
        </is>
      </c>
      <c r="G50" s="3" t="inlineStr">
        <is>
          <t>Публикует рабочий метод желатино-бромидной сухой пластины: светочувствительная эмульсия на стекле может высохнуть и всё равно сохранять способность к экспонированию.</t>
        </is>
      </c>
      <c r="H50" s="3" t="inlineStr">
        <is>
          <t>Негатив-позитив</t>
        </is>
      </c>
      <c r="I50" s="3" t="inlineStr">
        <is>
          <t>Gelatino-bromide dry plate</t>
        </is>
      </c>
      <c r="J50" s="3" t="inlineStr">
        <is>
          <t>Пластина больше не обязана быть влажной в момент съёмки: фотография делает первый серьёзный шаг от полевой лаборатории к заранее подготовленному материалу.</t>
        </is>
      </c>
      <c r="K50" s="3" t="inlineStr">
        <is>
          <t>Мокрый коллодий требовал немедленно готовить, снимать и проявлять пластину</t>
        </is>
      </c>
      <c r="L50" s="3" t="inlineStr">
        <is>
          <t>Эксперименты Бёрджесса, Кеннетта и Беннетта; коммерческие сухие пластины</t>
        </is>
      </c>
      <c r="M50" s="3" t="inlineStr">
        <is>
          <t>Главная линия</t>
        </is>
      </c>
      <c r="N50" s="3" t="n">
        <v>5</v>
      </c>
      <c r="O50" s="3" t="inlineStr">
        <is>
          <t>PL-006</t>
        </is>
      </c>
      <c r="P50" s="3" t="inlineStr">
        <is>
          <t>SRC-027</t>
        </is>
      </c>
      <c r="Q50" s="3" t="inlineStr">
        <is>
          <t>National Science and Media Museum — Kodak and Ilford camera factories</t>
        </is>
      </c>
      <c r="R50" s="3" t="inlineStr">
        <is>
          <t>https://www.scienceandmediamuseum.org.uk/objects-and-stories/kodak-ilford-camera-factories-1930s</t>
        </is>
      </c>
      <c r="S50" s="3" t="n">
        <v>5</v>
      </c>
      <c r="T50" s="3" t="inlineStr">
        <is>
          <t>В уроке важно объяснить: Мэддокс не сделал фотографию моментально массовой, но открыл принцип — стеклянную пластину можно готовить заранее.</t>
        </is>
      </c>
      <c r="U50" s="3" t="inlineStr">
        <is>
          <t>На карте: влажная красная линия коллодия переходит в сухую стеклянную пластину с желатиновой эмульсией.</t>
        </is>
      </c>
      <c r="V50" s="3" t="inlineStr">
        <is>
          <t>#PL006 #dry-plate #Maddox #gelatin #negative-positive</t>
        </is>
      </c>
      <c r="W50" s="3" t="inlineStr">
        <is>
          <t>Уточнить, стоит ли привязывать город к Лондону как месту публикации, а не к месту экспериментов.</t>
        </is>
      </c>
      <c r="X50" s="3" t="inlineStr">
        <is>
          <t>51.5074, -0.1278</t>
        </is>
      </c>
      <c r="Y50" s="3" t="inlineStr">
        <is>
          <t>Сухие желатиновые пластины / химия</t>
        </is>
      </c>
      <c r="Z50" s="3" t="inlineStr">
        <is>
          <t>Технология / процесс</t>
        </is>
      </c>
      <c r="AA50" t="inlineStr">
        <is>
          <t>да</t>
        </is>
      </c>
    </row>
    <row r="51" ht="61" customHeight="1" s="72">
      <c r="A51" s="3" t="inlineStr">
        <is>
          <t>PL-HIST-0050</t>
        </is>
      </c>
      <c r="B51" s="3" t="inlineStr">
        <is>
          <t>1874</t>
        </is>
      </c>
      <c r="C51" s="3" t="inlineStr">
        <is>
          <t>год</t>
        </is>
      </c>
      <c r="D51" s="3" t="inlineStr">
        <is>
          <t>Великобритания</t>
        </is>
      </c>
      <c r="E51" s="3" t="inlineStr">
        <is>
          <t>Ливерпуль</t>
        </is>
      </c>
      <c r="F51" s="3" t="inlineStr">
        <is>
          <t>Liverpool Dry Plate Company / ранние производители</t>
        </is>
      </c>
      <c r="G51" s="3" t="inlineStr">
        <is>
          <t>Начинаются коммерческие продажи желатиновых сухих пластин; одним из первых производителей называется Liverpool Dry Plate Company.</t>
        </is>
      </c>
      <c r="H51" s="3" t="inlineStr">
        <is>
          <t>Негатив-позитив</t>
        </is>
      </c>
      <c r="I51" s="3" t="inlineStr">
        <is>
          <t>Commercial gelatin dry plates</t>
        </is>
      </c>
      <c r="J51" s="3" t="inlineStr">
        <is>
          <t>Фотограф впервые может не готовить пластину сам перед съёмкой, а купить готовый чувствительный материал.</t>
        </is>
      </c>
      <c r="K51" s="3" t="inlineStr">
        <is>
          <t>Публикация Мэддокса 1871 и последующие улучшения</t>
        </is>
      </c>
      <c r="L51" s="3" t="inlineStr">
        <is>
          <t>Беннетт повышает чувствительность эмульсии; производство становится практичнее</t>
        </is>
      </c>
      <c r="M51" s="3" t="inlineStr">
        <is>
          <t>Распространение / коммерциализация</t>
        </is>
      </c>
      <c r="N51" s="3" t="n">
        <v>4</v>
      </c>
      <c r="O51" s="3" t="inlineStr">
        <is>
          <t>PL-006</t>
        </is>
      </c>
      <c r="P51" s="3" t="inlineStr">
        <is>
          <t>SRC-027</t>
        </is>
      </c>
      <c r="Q51" s="3" t="inlineStr">
        <is>
          <t>National Science and Media Museum — Kodak and Ilford camera factories</t>
        </is>
      </c>
      <c r="R51" s="3" t="inlineStr">
        <is>
          <t>https://www.scienceandmediamuseum.org.uk/objects-and-stories/kodak-ilford-camera-factories-1930s</t>
        </is>
      </c>
      <c r="S51" s="3" t="n">
        <v>4</v>
      </c>
      <c r="T51" s="3" t="inlineStr">
        <is>
          <t>Для новичка: это переход от «сам себе химик» к покупке готового фотоматериала.</t>
        </is>
      </c>
      <c r="U51" s="3" t="inlineStr">
        <is>
          <t>Иконка фабричной коробки сухих пластин рядом со стеклянной пластиной.</t>
        </is>
      </c>
      <c r="V51" s="3" t="inlineStr">
        <is>
          <t>#PL006 #LiverpoolDryPlate #commercial #dry-plate</t>
        </is>
      </c>
      <c r="W51" s="3" t="inlineStr">
        <is>
          <t>Проверить по отдельному источнику точное название компании и формат первых продаж.</t>
        </is>
      </c>
      <c r="X51" s="3" t="inlineStr">
        <is>
          <t>53.4084, -2.9916</t>
        </is>
      </c>
      <c r="Y51" s="3" t="inlineStr">
        <is>
          <t>Сухие желатиновые пластины / коммерциализация</t>
        </is>
      </c>
      <c r="Z51" s="3" t="inlineStr">
        <is>
          <t>Распространение / коммерциализация</t>
        </is>
      </c>
    </row>
    <row r="52" ht="46" customHeight="1" s="72">
      <c r="A52" s="3" t="inlineStr">
        <is>
          <t>PL-HIST-0051</t>
        </is>
      </c>
      <c r="B52" s="3" t="inlineStr">
        <is>
          <t>1878</t>
        </is>
      </c>
      <c r="C52" s="3" t="inlineStr">
        <is>
          <t>год</t>
        </is>
      </c>
      <c r="D52" s="3" t="inlineStr">
        <is>
          <t>Великобритания</t>
        </is>
      </c>
      <c r="E52" s="3" t="inlineStr">
        <is>
          <t>Лондон</t>
        </is>
      </c>
      <c r="F52" s="3" t="inlineStr">
        <is>
          <t>Чарльз Харпер Беннетт</t>
        </is>
      </c>
      <c r="G52" s="3" t="inlineStr">
        <is>
          <t>Предлагает нагревать/«созревать» желатиновую эмульсию перед нанесением на стекло, резко повышая её светочувствительность.</t>
        </is>
      </c>
      <c r="H52" s="3" t="inlineStr">
        <is>
          <t>Негатив-позитив</t>
        </is>
      </c>
      <c r="I52" s="3" t="inlineStr">
        <is>
          <t>Ripened gelatin-bromide emulsion</t>
        </is>
      </c>
      <c r="J52" s="3" t="inlineStr">
        <is>
          <t>Сухая пластина становится достаточно быстрой для коротких выдержек и съёмки более живого движения.</t>
        </is>
      </c>
      <c r="K52" s="3" t="inlineStr">
        <is>
          <t>Желатино-бромидная сухая пластина Мэддокса</t>
        </is>
      </c>
      <c r="L52" s="3" t="inlineStr">
        <is>
          <t>Сухие пластины входят в широкое производство и начинают вытеснять мокрый коллодий</t>
        </is>
      </c>
      <c r="M52" s="3" t="inlineStr">
        <is>
          <t>Главная линия</t>
        </is>
      </c>
      <c r="N52" s="3" t="n">
        <v>5</v>
      </c>
      <c r="O52" s="3" t="inlineStr">
        <is>
          <t>PL-006</t>
        </is>
      </c>
      <c r="P52" s="3" t="inlineStr">
        <is>
          <t>SRC-029</t>
        </is>
      </c>
      <c r="Q52" s="3" t="inlineStr">
        <is>
          <t>Swiss Camera Museum — Gelatine bromide plates</t>
        </is>
      </c>
      <c r="R52" s="3" t="inlineStr">
        <is>
          <t>https://www.cameramuseum.ch/en/discover/permanent-exhibition/the-plate-era/gelatine-bromide-plates/</t>
        </is>
      </c>
      <c r="S52" s="3" t="n">
        <v>5</v>
      </c>
      <c r="T52" s="3" t="inlineStr">
        <is>
          <t>Драматургия урока: сухая пластина была удобной, но сначала слабой; Беннетт сделал её действительно быстрой.</t>
        </is>
      </c>
      <c r="U52" s="3" t="inlineStr">
        <is>
          <t>Иконка нагрева эмульсии + секундомер/короткая выдержка.</t>
        </is>
      </c>
      <c r="V52" s="3" t="inlineStr">
        <is>
          <t>#PL006 #Bennett #gelatin-bromide #instantaneous</t>
        </is>
      </c>
      <c r="W52" s="3" t="n"/>
      <c r="X52" s="3" t="inlineStr">
        <is>
          <t>51.5074, -0.1278</t>
        </is>
      </c>
      <c r="Y52" s="3" t="inlineStr">
        <is>
          <t>Сухие желатиновые пластины / повышение чувствительности</t>
        </is>
      </c>
      <c r="Z52" s="3" t="inlineStr">
        <is>
          <t>Технология / процесс</t>
        </is>
      </c>
    </row>
    <row r="53" ht="46" customHeight="1" s="72">
      <c r="A53" s="3" t="inlineStr">
        <is>
          <t>PL-HIST-0052</t>
        </is>
      </c>
      <c r="B53" s="3" t="inlineStr">
        <is>
          <t>1878</t>
        </is>
      </c>
      <c r="C53" s="3" t="inlineStr">
        <is>
          <t>год</t>
        </is>
      </c>
      <c r="D53" s="3" t="inlineStr">
        <is>
          <t>Великобритания / Европа</t>
        </is>
      </c>
      <c r="E53" s="3" t="inlineStr">
        <is>
          <t>Лондон / промышленные центры</t>
        </is>
      </c>
      <c r="F53" s="3" t="inlineStr">
        <is>
          <t>Производители фотоматериалов</t>
        </is>
      </c>
      <c r="G53" s="3" t="inlineStr">
        <is>
          <t>После улучшений сухие желатиновые пластины переходят к общему производству и начинают быстро заменять мокрый коллодионный процесс.</t>
        </is>
      </c>
      <c r="H53" s="3" t="inlineStr">
        <is>
          <t>Негатив-позитив</t>
        </is>
      </c>
      <c r="I53" s="3" t="inlineStr">
        <is>
          <t>Manufactured gelatin dry plates</t>
        </is>
      </c>
      <c r="J53" s="3" t="inlineStr">
        <is>
          <t>Фотографу больше не нужна переносная тёмная комната на каждую съёмку; процесс становится удобнее, чище и предсказуемее.</t>
        </is>
      </c>
      <c r="K53" s="3" t="inlineStr">
        <is>
          <t>Улучшение чувствительности эмульсии Беннеттом</t>
        </is>
      </c>
      <c r="L53" s="3" t="inlineStr">
        <is>
          <t>Фабричное производство пластин и рост любительской фотографии</t>
        </is>
      </c>
      <c r="M53" s="3" t="inlineStr">
        <is>
          <t>Главная линия / временная доминирующая линия</t>
        </is>
      </c>
      <c r="N53" s="3" t="n">
        <v>5</v>
      </c>
      <c r="O53" s="3" t="inlineStr">
        <is>
          <t>PL-006</t>
        </is>
      </c>
      <c r="P53" s="3" t="inlineStr">
        <is>
          <t>SRC-028</t>
        </is>
      </c>
      <c r="Q53" s="3" t="inlineStr">
        <is>
          <t>National Science and Media Museum — A brief guide to photographs on glass</t>
        </is>
      </c>
      <c r="R53" s="3" t="inlineStr">
        <is>
          <t>https://blog.scienceandmediamuseum.org.uk/a-brief-guide-to-photographs-on-glass/</t>
        </is>
      </c>
      <c r="S53" s="3" t="n">
        <v>5</v>
      </c>
      <c r="T53" s="3" t="inlineStr">
        <is>
          <t>Это ключевой смысл PL-006: фотография освобождается от немедленной химической гонки мокрого коллодия.</t>
        </is>
      </c>
      <c r="U53" s="3" t="inlineStr">
        <is>
          <t>Линия: палатка-лаборатория исчезает, остаётся камера + коробка готовых пластин.</t>
        </is>
      </c>
      <c r="V53" s="3" t="inlineStr">
        <is>
          <t>#PL006 #manufacture #dry-plate #wet-collodion</t>
        </is>
      </c>
      <c r="W53" s="3" t="n"/>
      <c r="X53" s="3" t="inlineStr">
        <is>
          <t>51.5074, -0.1278</t>
        </is>
      </c>
      <c r="Y53" s="3" t="inlineStr">
        <is>
          <t>Сухие желатиновые пластины / переход от мокрого коллодия</t>
        </is>
      </c>
      <c r="Z53" s="3" t="inlineStr">
        <is>
          <t>Связь / переход</t>
        </is>
      </c>
    </row>
    <row r="54" ht="61" customHeight="1" s="72">
      <c r="A54" s="3" t="inlineStr">
        <is>
          <t>PL-HIST-0053</t>
        </is>
      </c>
      <c r="B54" s="3" t="inlineStr">
        <is>
          <t>конец 1870-х – 1880-е</t>
        </is>
      </c>
      <c r="C54" s="3" t="inlineStr">
        <is>
          <t>диапазон</t>
        </is>
      </c>
      <c r="D54" s="3" t="inlineStr">
        <is>
          <t>Европа / США</t>
        </is>
      </c>
      <c r="E54" s="3" t="inlineStr">
        <is>
          <t>распределённый процесс</t>
        </is>
      </c>
      <c r="F54" s="3" t="inlineStr">
        <is>
          <t>Фотографы и производители сухих пластин</t>
        </is>
      </c>
      <c r="G54" s="3" t="inlineStr">
        <is>
          <t>Более быстрые сухие пластины позволяют увереннее снимать события, повседневную жизнь и движение, а не только тщательно поставленные сцены.</t>
        </is>
      </c>
      <c r="H54" s="3" t="inlineStr">
        <is>
          <t>Негатив-позитив</t>
        </is>
      </c>
      <c r="I54" s="3" t="inlineStr">
        <is>
          <t>Fast dry plate / instantaneous photography</t>
        </is>
      </c>
      <c r="J54" s="3" t="inlineStr">
        <is>
          <t>Сокращение выдержки меняет не только технику, но и визуальный язык: фотография становится ближе к «моменту».</t>
        </is>
      </c>
      <c r="K54" s="3" t="inlineStr">
        <is>
          <t>Беннетт повышает чувствительность эмульсии</t>
        </is>
      </c>
      <c r="L54" s="3" t="inlineStr">
        <is>
          <t>Распространение портативных камер, любительской съёмки и последующий переход к плёнке</t>
        </is>
      </c>
      <c r="M54" s="3" t="inlineStr">
        <is>
          <t>Главная линия</t>
        </is>
      </c>
      <c r="N54" s="3" t="n">
        <v>4</v>
      </c>
      <c r="O54" s="3" t="inlineStr">
        <is>
          <t>PL-006</t>
        </is>
      </c>
      <c r="P54" s="3" t="inlineStr">
        <is>
          <t>SRC-030</t>
        </is>
      </c>
      <c r="Q54" s="3" t="inlineStr">
        <is>
          <t>Cornell Library — Dawn's Early Light: Towards Modern Photography</t>
        </is>
      </c>
      <c r="R54" s="3" t="inlineStr">
        <is>
          <t>https://rmc.library.cornell.edu/DawnsEarlyLight/exhibition/modernphotography/index.html</t>
        </is>
      </c>
      <c r="S54" s="3" t="n">
        <v>4</v>
      </c>
      <c r="T54" s="3" t="inlineStr">
        <is>
          <t>Для лекции: сухая пластина — это не просто удобство хранения, а новая скорость взгляда.</t>
        </is>
      </c>
      <c r="U54" s="3" t="inlineStr">
        <is>
          <t>На карте: рядом с пластиной появляется значок бегущего человека/движения.</t>
        </is>
      </c>
      <c r="V54" s="3" t="inlineStr">
        <is>
          <t>#PL006 #instantaneous #motion #dry-plate</t>
        </is>
      </c>
      <c r="W54" s="3" t="n"/>
      <c r="X54" s="3" t="n"/>
      <c r="Y54" s="3" t="inlineStr">
        <is>
          <t>Сухие желатиновые пластины / скорость и движение</t>
        </is>
      </c>
      <c r="Z54" s="3" t="inlineStr">
        <is>
          <t>Применение / жанр</t>
        </is>
      </c>
    </row>
    <row r="55" ht="46" customHeight="1" s="72">
      <c r="A55" s="3" t="inlineStr">
        <is>
          <t>PL-HIST-0054</t>
        </is>
      </c>
      <c r="B55" s="3" t="inlineStr">
        <is>
          <t>1880</t>
        </is>
      </c>
      <c r="C55" s="3" t="inlineStr">
        <is>
          <t>год</t>
        </is>
      </c>
      <c r="D55" s="3" t="inlineStr">
        <is>
          <t>США</t>
        </is>
      </c>
      <c r="E55" s="3" t="inlineStr">
        <is>
          <t>Рочестер, Нью-Йорк</t>
        </is>
      </c>
      <c r="F55" s="3" t="inlineStr">
        <is>
          <t>Джордж Истмен</t>
        </is>
      </c>
      <c r="G55" s="3" t="inlineStr">
        <is>
          <t>Начинает коммерчески производить сухие пластины в США и масштабировать их изготовление.</t>
        </is>
      </c>
      <c r="H55" s="3" t="inlineStr">
        <is>
          <t>Негатив-позитив</t>
        </is>
      </c>
      <c r="I55" s="3" t="inlineStr">
        <is>
          <t>Eastman dry plates</t>
        </is>
      </c>
      <c r="J55" s="3" t="inlineStr">
        <is>
          <t>Сухая пластина становится не только европейским техническим процессом, но и основой американской фотоиндустрии.</t>
        </is>
      </c>
      <c r="K55" s="3" t="inlineStr">
        <is>
          <t>Коммерческие сухие пластины в Великобритании и улучшения Беннетта</t>
        </is>
      </c>
      <c r="L55" s="3" t="inlineStr">
        <is>
          <t>Eastman Dry Plate Company; дальнейший поиск замены стекла гибким носителем</t>
        </is>
      </c>
      <c r="M55" s="3" t="inlineStr">
        <is>
          <t>Распространение / коммерциализация</t>
        </is>
      </c>
      <c r="N55" s="3" t="n">
        <v>4</v>
      </c>
      <c r="O55" s="3" t="inlineStr">
        <is>
          <t>PL-006</t>
        </is>
      </c>
      <c r="P55" s="3" t="inlineStr">
        <is>
          <t>SRC-031</t>
        </is>
      </c>
      <c r="Q55" s="3" t="inlineStr">
        <is>
          <t>Kodak — History</t>
        </is>
      </c>
      <c r="R55" s="3" t="inlineStr">
        <is>
          <t>https://www.kodak.com/en/company/page/history/</t>
        </is>
      </c>
      <c r="S55" s="3" t="n">
        <v>5</v>
      </c>
      <c r="T55" s="3" t="inlineStr">
        <is>
          <t>Здесь появляется мост к Kodak: сначала Истмен работает не с плёнкой, а именно с сухими пластинами.</t>
        </is>
      </c>
      <c r="U55" s="3" t="inlineStr">
        <is>
          <t>Иконка Рочестера/фабрики + коробка Eastman dry plates.</t>
        </is>
      </c>
      <c r="V55" s="3" t="inlineStr">
        <is>
          <t>#PL006 #Eastman #Rochester #dry-plate #Kodak</t>
        </is>
      </c>
      <c r="W55" s="3" t="n"/>
      <c r="X55" s="3" t="inlineStr">
        <is>
          <t>43.1566, -77.6088</t>
        </is>
      </c>
      <c r="Y55" s="3" t="inlineStr">
        <is>
          <t>Сухие желатиновые пластины / американская индустрия</t>
        </is>
      </c>
      <c r="Z55" s="3" t="inlineStr">
        <is>
          <t>Распространение / коммерциализация</t>
        </is>
      </c>
    </row>
    <row r="56" ht="46" customHeight="1" s="72">
      <c r="A56" s="3" t="inlineStr">
        <is>
          <t>PL-HIST-0055</t>
        </is>
      </c>
      <c r="B56" s="3" t="inlineStr">
        <is>
          <t>1881</t>
        </is>
      </c>
      <c r="C56" s="3" t="inlineStr">
        <is>
          <t>точная дата</t>
        </is>
      </c>
      <c r="D56" s="3" t="inlineStr">
        <is>
          <t>США</t>
        </is>
      </c>
      <c r="E56" s="3" t="inlineStr">
        <is>
          <t>Рочестер, Нью-Йорк</t>
        </is>
      </c>
      <c r="F56" s="3" t="inlineStr">
        <is>
          <t>Джордж Истмен / Генри Стронг</t>
        </is>
      </c>
      <c r="G56" s="3" t="inlineStr">
        <is>
          <t>1 января 1881 года создаётся Eastman Dry Plate Company.</t>
        </is>
      </c>
      <c r="H56" s="3" t="inlineStr">
        <is>
          <t>Негатив-позитив</t>
        </is>
      </c>
      <c r="I56" s="3" t="inlineStr">
        <is>
          <t>Eastman Dry Plate Company</t>
        </is>
      </c>
      <c r="J56" s="3" t="inlineStr">
        <is>
          <t>Промышленная логика фотографии усиливается: производство чувствительного материала становится самостоятельным бизнесом.</t>
        </is>
      </c>
      <c r="K56" s="3" t="inlineStr">
        <is>
          <t>Истмен начинает коммерческое производство сухих пластин в 1880</t>
        </is>
      </c>
      <c r="L56" s="3" t="inlineStr">
        <is>
          <t>Eastman Dry Plate and Film Company; рулонные носители и Kodak</t>
        </is>
      </c>
      <c r="M56" s="3" t="inlineStr">
        <is>
          <t>Распространение / коммерциализация</t>
        </is>
      </c>
      <c r="N56" s="3" t="n">
        <v>4</v>
      </c>
      <c r="O56" s="3" t="inlineStr">
        <is>
          <t>PL-006</t>
        </is>
      </c>
      <c r="P56" s="3" t="inlineStr">
        <is>
          <t>SRC-032</t>
        </is>
      </c>
      <c r="Q56" s="3" t="inlineStr">
        <is>
          <t>Kodak — George Eastman History</t>
        </is>
      </c>
      <c r="R56" s="3" t="inlineStr">
        <is>
          <t>https://www.kodak.com/en/company/page/george-eastman-history/</t>
        </is>
      </c>
      <c r="S56" s="3" t="n">
        <v>5</v>
      </c>
      <c r="T56" s="3" t="inlineStr">
        <is>
          <t>Это важный узел для перехода: Kodak родился не сразу как камера для всех, а из бизнеса сухих пластин.</t>
        </is>
      </c>
      <c r="U56" s="3" t="inlineStr">
        <is>
          <t>На карте: фабрика/брендовый узел между сухими пластинами и будущей плёнкой.</t>
        </is>
      </c>
      <c r="V56" s="3" t="inlineStr">
        <is>
          <t>#PL006 #EastmanDryPlateCompany #Rochester #Kodak</t>
        </is>
      </c>
      <c r="W56" s="3" t="n"/>
      <c r="X56" s="3" t="inlineStr">
        <is>
          <t>43.1566, -77.6088</t>
        </is>
      </c>
      <c r="Y56" s="3" t="inlineStr">
        <is>
          <t>Сухие желатиновые пластины / бизнес и масштабирование</t>
        </is>
      </c>
      <c r="Z56" s="3" t="inlineStr">
        <is>
          <t>Распространение / коммерциализация</t>
        </is>
      </c>
    </row>
    <row r="57" ht="46" customHeight="1" s="72">
      <c r="A57" s="3" t="inlineStr">
        <is>
          <t>PL-HIST-0056</t>
        </is>
      </c>
      <c r="B57" s="3" t="inlineStr">
        <is>
          <t>1880–1900</t>
        </is>
      </c>
      <c r="C57" s="3" t="inlineStr">
        <is>
          <t>диапазон</t>
        </is>
      </c>
      <c r="D57" s="3" t="inlineStr">
        <is>
          <t>Европа / США</t>
        </is>
      </c>
      <c r="E57" s="3" t="inlineStr">
        <is>
          <t>распределённый процесс</t>
        </is>
      </c>
      <c r="F57" s="3" t="inlineStr">
        <is>
          <t>Фотографы конца XIX века</t>
        </is>
      </c>
      <c r="G57" s="3" t="inlineStr">
        <is>
          <t>Желатиновые сухие пластинные негативы становятся наиболее распространённой формой негативов примерно с 1880 по 1900 год.</t>
        </is>
      </c>
      <c r="H57" s="3" t="inlineStr">
        <is>
          <t>Негатив-позитив</t>
        </is>
      </c>
      <c r="I57" s="3" t="inlineStr">
        <is>
          <t>Gelatin dry plate negative</t>
        </is>
      </c>
      <c r="J57" s="3" t="inlineStr">
        <is>
          <t>На два десятилетия сухая пластина становится нормой профессиональной и серьёзной любительской фотографии.</t>
        </is>
      </c>
      <c r="K57" s="3" t="inlineStr">
        <is>
          <t>Производство сухих пластин и рост чувствительности эмульсий</t>
        </is>
      </c>
      <c r="L57" s="3" t="inlineStr">
        <is>
          <t>Гибкая плёнка постепенно заменяет стеклянную пластину в массовой фотографии</t>
        </is>
      </c>
      <c r="M57" s="3" t="inlineStr">
        <is>
          <t>Главная линия / временная доминирующая линия</t>
        </is>
      </c>
      <c r="N57" s="3" t="n">
        <v>4</v>
      </c>
      <c r="O57" s="3" t="inlineStr">
        <is>
          <t>PL-006</t>
        </is>
      </c>
      <c r="P57" s="3" t="inlineStr">
        <is>
          <t>SRC-033</t>
        </is>
      </c>
      <c r="Q57" s="3" t="inlineStr">
        <is>
          <t>Smithsonian Institution Archives — Gelatin Dry Plate Negatives</t>
        </is>
      </c>
      <c r="R57" s="3" t="inlineStr">
        <is>
          <t>https://siarchives.si.edu/blog/highlight-photo-cold-vault-gelatin-dry-plate-negatives</t>
        </is>
      </c>
      <c r="S57" s="3" t="n">
        <v>5</v>
      </c>
      <c r="T57" s="3" t="inlineStr">
        <is>
          <t>Формула для урока: мокрый коллодий был революцией середины века, сухая пластина — нормой конца века.</t>
        </is>
      </c>
      <c r="U57" s="3" t="inlineStr">
        <is>
          <t>Широкая полоса на таймлайне 1880–1900: «эпоха сухих пластин».</t>
        </is>
      </c>
      <c r="V57" s="3" t="inlineStr">
        <is>
          <t>#PL006 #1880s #dry-plate-negative #glass-negative</t>
        </is>
      </c>
      <c r="W57" s="3" t="n"/>
      <c r="X57" s="3" t="n"/>
      <c r="Y57" s="3" t="inlineStr">
        <is>
          <t>Сухие желатиновые пластины / доминирующая практика</t>
        </is>
      </c>
      <c r="Z57" s="3" t="inlineStr">
        <is>
          <t>Ключевой исторический узел</t>
        </is>
      </c>
    </row>
    <row r="58" ht="61" customHeight="1" s="72">
      <c r="A58" s="3" t="inlineStr">
        <is>
          <t>PL-HIST-0057</t>
        </is>
      </c>
      <c r="B58" s="3" t="inlineStr">
        <is>
          <t>1880-е</t>
        </is>
      </c>
      <c r="C58" s="3" t="inlineStr">
        <is>
          <t>диапазон</t>
        </is>
      </c>
      <c r="D58" s="3" t="inlineStr">
        <is>
          <t>Европа / США</t>
        </is>
      </c>
      <c r="E58" s="3" t="inlineStr">
        <is>
          <t>распределённый процесс</t>
        </is>
      </c>
      <c r="F58" s="3" t="inlineStr">
        <is>
          <t>Профессиональные и любительские фотографы</t>
        </is>
      </c>
      <c r="G58" s="3" t="inlineStr">
        <is>
          <t>Сухие пластины можно было экспонировать в одном месте, а проявлять позже в тёмной комнате; это убирало зависимость от немедленной полевой химии.</t>
        </is>
      </c>
      <c r="H58" s="3" t="inlineStr">
        <is>
          <t>Негатив-позитив</t>
        </is>
      </c>
      <c r="I58" s="3" t="inlineStr">
        <is>
          <t>Prepared dry plates / delayed development</t>
        </is>
      </c>
      <c r="J58" s="3" t="inlineStr">
        <is>
          <t>Фотограф получает свободу маршрута: съёмка и проявка впервые заметно расходятся во времени и пространстве.</t>
        </is>
      </c>
      <c r="K58" s="3" t="inlineStr">
        <is>
          <t>Wet collodion field darkroom</t>
        </is>
      </c>
      <c r="L58" s="3" t="inlineStr">
        <is>
          <t>Portable cameras, amateur photography and roll film systems</t>
        </is>
      </c>
      <c r="M58" s="3" t="inlineStr">
        <is>
          <t>Главная линия</t>
        </is>
      </c>
      <c r="N58" s="3" t="n">
        <v>5</v>
      </c>
      <c r="O58" s="3" t="inlineStr">
        <is>
          <t>PL-006</t>
        </is>
      </c>
      <c r="P58" s="3" t="inlineStr">
        <is>
          <t>SRC-034</t>
        </is>
      </c>
      <c r="Q58" s="3" t="inlineStr">
        <is>
          <t>George Eastman Museum — Dry Plates in the Woods</t>
        </is>
      </c>
      <c r="R58" s="3" t="inlineStr">
        <is>
          <t>https://www.eastman.org/blog/dry-plates-woods-using-19th-century-photographic-processes-capture-letchworth-state-park</t>
        </is>
      </c>
      <c r="S58" s="3" t="n">
        <v>5</v>
      </c>
      <c r="T58" s="3" t="inlineStr">
        <is>
          <t>Очень понятная фраза для новичка: теперь не нужно тащить лабораторию за каждым кадром.</t>
        </is>
      </c>
      <c r="U58" s="3" t="inlineStr">
        <is>
          <t>Маршрутная линия: фотограф уходит из лаборатории на улицу/в лес, а проявляет позже.</t>
        </is>
      </c>
      <c r="V58" s="3" t="inlineStr">
        <is>
          <t>#PL006 #mobility #delayed-development #dry-plate</t>
        </is>
      </c>
      <c r="W58" s="3" t="n"/>
      <c r="X58" s="3" t="n"/>
      <c r="Y58" s="3" t="inlineStr">
        <is>
          <t>Сухие желатиновые пластины / мобильность</t>
        </is>
      </c>
      <c r="Z58" s="3" t="inlineStr">
        <is>
          <t>Связь / переход</t>
        </is>
      </c>
    </row>
    <row r="59" ht="61" customHeight="1" s="72">
      <c r="A59" s="3" t="inlineStr">
        <is>
          <t>PL-HIST-0058</t>
        </is>
      </c>
      <c r="B59" s="3" t="inlineStr">
        <is>
          <t>1880-е</t>
        </is>
      </c>
      <c r="C59" s="3" t="inlineStr">
        <is>
          <t>диапазон</t>
        </is>
      </c>
      <c r="D59" s="3" t="inlineStr">
        <is>
          <t>США / Великобритания</t>
        </is>
      </c>
      <c r="E59" s="3" t="inlineStr">
        <is>
          <t>Рочестер / промышленные центры</t>
        </is>
      </c>
      <c r="F59" s="3" t="inlineStr">
        <is>
          <t>Джордж Истмен и производители фотоматериалов</t>
        </is>
      </c>
      <c r="G59" s="3" t="inlineStr">
        <is>
          <t>Опыт с желатиновыми сухими пластинами подталкивает производителей к следующей проблеме: заменить тяжёлое и хрупкое стекло более лёгким гибким носителем.</t>
        </is>
      </c>
      <c r="H59" s="3" t="inlineStr">
        <is>
          <t>Негатив-позитив</t>
        </is>
      </c>
      <c r="I59" s="3" t="inlineStr">
        <is>
          <t>Bridge from glass plates to roll film</t>
        </is>
      </c>
      <c r="J59" s="3" t="inlineStr">
        <is>
          <t>PL-006 логически открывает PL-007: после свободы от мокрой химии фотография начинает освобождаться от стеклянной пластины.</t>
        </is>
      </c>
      <c r="K59" s="3" t="inlineStr">
        <is>
          <t>Сухие желатиновые пластины как удобный готовый негативный материал</t>
        </is>
      </c>
      <c r="L59" s="3" t="inlineStr">
        <is>
          <t>Рулонная плёнка, Kodak camera 1888, массовая любительская фотография</t>
        </is>
      </c>
      <c r="M59" s="3" t="inlineStr">
        <is>
          <t>Связь / переход</t>
        </is>
      </c>
      <c r="N59" s="3" t="n">
        <v>5</v>
      </c>
      <c r="O59" s="3" t="inlineStr">
        <is>
          <t>PL-006</t>
        </is>
      </c>
      <c r="P59" s="3" t="inlineStr">
        <is>
          <t>SRC-031</t>
        </is>
      </c>
      <c r="Q59" s="3" t="inlineStr">
        <is>
          <t>Kodak — History</t>
        </is>
      </c>
      <c r="R59" s="3" t="inlineStr">
        <is>
          <t>https://www.kodak.com/en/company/page/history/</t>
        </is>
      </c>
      <c r="S59" s="3" t="n">
        <v>4</v>
      </c>
      <c r="T59" s="3" t="inlineStr">
        <is>
          <t>Это интрига на следующий урок: фотография стала сухой, но пока ещё стеклянной.</t>
        </is>
      </c>
      <c r="U59" s="3" t="inlineStr">
        <is>
          <t>Стеклянная пластина превращается в гибкую ленту/рулон — стрелка к будущему PL-007.</t>
        </is>
      </c>
      <c r="V59" s="3" t="inlineStr">
        <is>
          <t>#PL006 #bridge #roll-film #Kodak #future-PL</t>
        </is>
      </c>
      <c r="W59" s="3" t="inlineStr">
        <is>
          <t>При планировании PL-007 уточнить отдельными источниками Eastman-Walker roll holder и даты ранней рулонной плёнки.</t>
        </is>
      </c>
      <c r="X59" s="3" t="inlineStr">
        <is>
          <t>43.1566, -77.6088</t>
        </is>
      </c>
      <c r="Y59" s="3" t="inlineStr">
        <is>
          <t>Сухие желатиновые пластины / мост к плёнке</t>
        </is>
      </c>
      <c r="Z59" s="3" t="inlineStr">
        <is>
          <t>Связь / переход</t>
        </is>
      </c>
    </row>
    <row r="60" ht="17" customHeight="1" s="72">
      <c r="A60" s="8" t="inlineStr">
        <is>
          <t>PL-HIST-0059</t>
        </is>
      </c>
      <c r="B60" s="8" t="inlineStr">
        <is>
          <t>1884</t>
        </is>
      </c>
      <c r="C60" s="8" t="inlineStr">
        <is>
          <t>год</t>
        </is>
      </c>
      <c r="D60" s="8" t="inlineStr">
        <is>
          <t>США</t>
        </is>
      </c>
      <c r="E60" s="8" t="inlineStr">
        <is>
          <t>Рочестер, Нью-Йорк</t>
        </is>
      </c>
      <c r="F60" s="8" t="inlineStr">
        <is>
          <t>Джордж Истмен / Eastman Dry Plate and Film Company</t>
        </is>
      </c>
      <c r="G60" s="8" t="inlineStr">
        <is>
          <t>Компания Истмена меняет акцент с одних сухих пластин на поиск более удобного рулонного носителя для фотографии.</t>
        </is>
      </c>
      <c r="H60" s="8" t="inlineStr">
        <is>
          <t>Негатив-позитив</t>
        </is>
      </c>
      <c r="I60" s="8" t="inlineStr">
        <is>
          <t>Eastman Dry Plate and Film Company / roll-film direction</t>
        </is>
      </c>
      <c r="J60" s="8" t="inlineStr">
        <is>
          <t>После сухих пластин следующей проблемой становится не химия, а носитель: стекло нужно заменить чем-то гибким и лёгким.</t>
        </is>
      </c>
      <c r="K60" s="8" t="inlineStr">
        <is>
          <t>Сухие желатиновые пластины освободили фотографа от мокрой лаборатории, но не от тяжёлого стекла.</t>
        </is>
      </c>
      <c r="L60" s="8" t="inlineStr">
        <is>
          <t>Eastman-Walker roll holder и бумажная рулонная плёнка</t>
        </is>
      </c>
      <c r="M60" s="8" t="inlineStr">
        <is>
          <t>Связь / переход</t>
        </is>
      </c>
      <c r="N60" s="8" t="n">
        <v>4</v>
      </c>
      <c r="O60" s="8" t="inlineStr">
        <is>
          <t>PL-007</t>
        </is>
      </c>
      <c r="P60" s="8" t="inlineStr">
        <is>
          <t>SRC-031</t>
        </is>
      </c>
      <c r="Q60" s="8" t="inlineStr">
        <is>
          <t>Kodak — History</t>
        </is>
      </c>
      <c r="R60" s="8" t="inlineStr">
        <is>
          <t>https://www.kodak.com/en/company/page/history/</t>
        </is>
      </c>
      <c r="S60" s="8" t="n">
        <v>4</v>
      </c>
      <c r="T60" s="8" t="inlineStr">
        <is>
          <t>В уроке это мост: фотография уже стала сухой, но ещё остаётся стеклянной. Истмен ищет следующий уровень удобства.</t>
        </is>
      </c>
      <c r="U60" s="8" t="inlineStr">
        <is>
          <t>Стеклянная пластина на карте превращается в намотанную ленту.</t>
        </is>
      </c>
      <c r="V60" s="8" t="inlineStr">
        <is>
          <t>#PL007 #Eastman #roll-film #Rochester #bridge</t>
        </is>
      </c>
      <c r="W60" s="8" t="inlineStr">
        <is>
          <t>Уточнить, нужна ли отдельная строка по юридическому переименованию компании 1884 или достаточно оставить как контекст.</t>
        </is>
      </c>
      <c r="X60" s="8" t="inlineStr">
        <is>
          <t>43.1566, -77.6088</t>
        </is>
      </c>
      <c r="Y60" s="8" t="inlineStr">
        <is>
          <t>Рулонная плёнка / бизнес-переход</t>
        </is>
      </c>
      <c r="Z60" s="8" t="inlineStr">
        <is>
          <t>Связь / переход</t>
        </is>
      </c>
      <c r="AA60" s="8" t="n"/>
    </row>
    <row r="61" ht="17" customHeight="1" s="72">
      <c r="A61" s="8" t="inlineStr">
        <is>
          <t>PL-HIST-0060</t>
        </is>
      </c>
      <c r="B61" s="8" t="inlineStr">
        <is>
          <t>1885</t>
        </is>
      </c>
      <c r="C61" s="8" t="inlineStr">
        <is>
          <t>год</t>
        </is>
      </c>
      <c r="D61" s="8" t="inlineStr">
        <is>
          <t>США</t>
        </is>
      </c>
      <c r="E61" s="8" t="inlineStr">
        <is>
          <t>Рочестер, Нью-Йорк</t>
        </is>
      </c>
      <c r="F61" s="8" t="inlineStr">
        <is>
          <t>Джордж Истмен / Уильям Холл Уокер</t>
        </is>
      </c>
      <c r="G61" s="8" t="inlineStr">
        <is>
          <t>Появляется Eastman-Walker roll holder — держатель, позволявший использовать рулонный носитель в камерах, рассчитанных на пластины.</t>
        </is>
      </c>
      <c r="H61" s="8" t="inlineStr">
        <is>
          <t>Негатив-позитив</t>
        </is>
      </c>
      <c r="I61" s="8" t="inlineStr">
        <is>
          <t>Eastman-Walker roll holder</t>
        </is>
      </c>
      <c r="J61" s="8" t="inlineStr">
        <is>
          <t>Камера начинает работать не с одиночными стеклянными пластинами, а с последовательностью кадров на рулоне.</t>
        </is>
      </c>
      <c r="K61" s="8" t="inlineStr">
        <is>
          <t>Сухая пластина как готовый негативный материал</t>
        </is>
      </c>
      <c r="L61" s="8" t="inlineStr">
        <is>
          <t>American Film и первые попытки коммерческого рулонного процесса</t>
        </is>
      </c>
      <c r="M61" s="8" t="inlineStr">
        <is>
          <t>Главная линия</t>
        </is>
      </c>
      <c r="N61" s="8" t="n">
        <v>5</v>
      </c>
      <c r="O61" s="8" t="inlineStr">
        <is>
          <t>PL-007</t>
        </is>
      </c>
      <c r="P61" s="8" t="inlineStr">
        <is>
          <t>SRC-035</t>
        </is>
      </c>
      <c r="Q61" s="8" t="inlineStr">
        <is>
          <t>Science Museum Group — Eastman-Walker roll holder</t>
        </is>
      </c>
      <c r="R61" s="8" t="inlineStr">
        <is>
          <t>https://collection.sciencemuseumgroup.org.uk/objects/co15879/eastman-walker-roll-holder</t>
        </is>
      </c>
      <c r="S61" s="8" t="n">
        <v>5</v>
      </c>
      <c r="T61" s="8" t="inlineStr">
        <is>
          <t>Для новичка: рулонная плёнка сначала вошла не как маленькая камера Kodak, а как приставка/держатель для уже существующих камер.</t>
        </is>
      </c>
      <c r="U61" s="8" t="inlineStr">
        <is>
          <t>На карте: рядом с камерой появляется рулонный модуль вместо стопки стеклянных пластин.</t>
        </is>
      </c>
      <c r="V61" s="8" t="inlineStr">
        <is>
          <t>#PL007 #EastmanWalker #roll-holder #Rochester</t>
        </is>
      </c>
      <c r="W61" s="8" t="n"/>
      <c r="X61" s="8" t="inlineStr">
        <is>
          <t>43.1566, -77.6088</t>
        </is>
      </c>
      <c r="Y61" s="8" t="inlineStr">
        <is>
          <t>Рулонная плёнка / держатель</t>
        </is>
      </c>
      <c r="Z61" s="8" t="inlineStr">
        <is>
          <t>Инструмент / устройство</t>
        </is>
      </c>
      <c r="AA61" s="8" t="n"/>
    </row>
    <row r="62" ht="17" customHeight="1" s="72">
      <c r="A62" s="8" t="inlineStr">
        <is>
          <t>PL-HIST-0061</t>
        </is>
      </c>
      <c r="B62" s="8" t="inlineStr">
        <is>
          <t>1885</t>
        </is>
      </c>
      <c r="C62" s="8" t="inlineStr">
        <is>
          <t>год</t>
        </is>
      </c>
      <c r="D62" s="8" t="inlineStr">
        <is>
          <t>США</t>
        </is>
      </c>
      <c r="E62" s="8" t="inlineStr">
        <is>
          <t>Рочестер, Нью-Йорк</t>
        </is>
      </c>
      <c r="F62" s="8" t="inlineStr">
        <is>
          <t>Джордж Истмен / Eastman Dry Plate and Film Company</t>
        </is>
      </c>
      <c r="G62" s="8" t="inlineStr">
        <is>
          <t>Eastman American Film с бумажной основой вводится вместе с Eastman-Walker roll holder и предлагается профессиональным фотографам.</t>
        </is>
      </c>
      <c r="H62" s="8" t="inlineStr">
        <is>
          <t>Негатив-позитив</t>
        </is>
      </c>
      <c r="I62" s="8" t="inlineStr">
        <is>
          <t>American Film / paper-based roll film</t>
        </is>
      </c>
      <c r="J62" s="8" t="inlineStr">
        <is>
          <t>Рулонный носитель становится реальным коммерческим продуктом, но бумажная основа ещё даёт ограничения по качеству.</t>
        </is>
      </c>
      <c r="K62" s="8" t="inlineStr">
        <is>
          <t>Eastman-Walker roll holder</t>
        </is>
      </c>
      <c r="L62" s="8" t="inlineStr">
        <is>
          <t>Kodak camera 1888 и прозрачная рулонная плёнка 1889</t>
        </is>
      </c>
      <c r="M62" s="8" t="inlineStr">
        <is>
          <t>Переходная технология</t>
        </is>
      </c>
      <c r="N62" s="8" t="n">
        <v>4</v>
      </c>
      <c r="O62" s="8" t="inlineStr">
        <is>
          <t>PL-007</t>
        </is>
      </c>
      <c r="P62" s="8" t="inlineStr">
        <is>
          <t>SRC-036</t>
        </is>
      </c>
      <c r="Q62" s="8" t="inlineStr">
        <is>
          <t>George Eastman Museum — Two rare rolls of early Kodak film</t>
        </is>
      </c>
      <c r="R62" s="8" t="inlineStr">
        <is>
          <t>https://www.eastman.org/two-rare-rolls-early-kodak-film-acquired-george-eastman-museum</t>
        </is>
      </c>
      <c r="S62" s="8" t="n">
        <v>5</v>
      </c>
      <c r="T62" s="8" t="inlineStr">
        <is>
          <t>Важно показать честно: первая рулонная плёнка была удобнее стекла, но ещё не идеальна по изображению.</t>
        </is>
      </c>
      <c r="U62" s="8" t="inlineStr">
        <is>
          <t>Пунктирная лента: рулон уже появился, но ещё требует улучшения.</t>
        </is>
      </c>
      <c r="V62" s="8" t="inlineStr">
        <is>
          <t>#PL007 #AmericanFilm #paper-roll-film #Eastman</t>
        </is>
      </c>
      <c r="W62" s="8" t="n"/>
      <c r="X62" s="8" t="inlineStr">
        <is>
          <t>43.1566, -77.6088</t>
        </is>
      </c>
      <c r="Y62" s="8" t="inlineStr">
        <is>
          <t>Рулонная плёнка / бумажная основа</t>
        </is>
      </c>
      <c r="Z62" s="8" t="inlineStr">
        <is>
          <t>Технология / процесс</t>
        </is>
      </c>
      <c r="AA62" s="8" t="n"/>
    </row>
    <row r="63" ht="17" customHeight="1" s="72">
      <c r="A63" s="8" t="inlineStr">
        <is>
          <t>PL-HIST-0062</t>
        </is>
      </c>
      <c r="B63" s="8" t="inlineStr">
        <is>
          <t>1887</t>
        </is>
      </c>
      <c r="C63" s="8" t="inlineStr">
        <is>
          <t>год</t>
        </is>
      </c>
      <c r="D63" s="8" t="inlineStr">
        <is>
          <t>США</t>
        </is>
      </c>
      <c r="E63" s="8" t="inlineStr">
        <is>
          <t>Ньюарк, Нью-Джерси</t>
        </is>
      </c>
      <c r="F63" s="8" t="inlineStr">
        <is>
          <t>Ганнибал Гудвин</t>
        </is>
      </c>
      <c r="G63" s="8" t="inlineStr">
        <is>
          <t>Гудвин подаёт патентную заявку на прозрачную гибкую фотографическую плёнку на нитроцеллюлозной основе.</t>
        </is>
      </c>
      <c r="H63" s="8" t="inlineStr">
        <is>
          <t>Негатив-позитив</t>
        </is>
      </c>
      <c r="I63" s="8" t="inlineStr">
        <is>
          <t>Flexible transparent nitrocellulose film</t>
        </is>
      </c>
      <c r="J63" s="8" t="inlineStr">
        <is>
          <t>Рулонная фотография получает направление к прозрачной гибкой основе, которая лучше подходит для качественного негатива и будущего кино.</t>
        </is>
      </c>
      <c r="K63" s="8" t="inlineStr">
        <is>
          <t>Ограничения бумажной рулонной плёнки</t>
        </is>
      </c>
      <c r="L63" s="8" t="inlineStr">
        <is>
          <t>Прозрачная плёнка Eastman/Reichenbach и патентные споры вокруг целлулоидной основы</t>
        </is>
      </c>
      <c r="M63" s="8" t="inlineStr">
        <is>
          <t>Исторически важная ограниченная ветка</t>
        </is>
      </c>
      <c r="N63" s="8" t="n">
        <v>4</v>
      </c>
      <c r="O63" s="8" t="inlineStr">
        <is>
          <t>PL-007</t>
        </is>
      </c>
      <c r="P63" s="8" t="inlineStr">
        <is>
          <t>SRC-037</t>
        </is>
      </c>
      <c r="Q63" s="8" t="inlineStr">
        <is>
          <t>National Inventors Hall of Fame — Hannibal Goodwin</t>
        </is>
      </c>
      <c r="R63" s="8" t="inlineStr">
        <is>
          <t>https://www.invent.org/inductees/hannibal-goodwin</t>
        </is>
      </c>
      <c r="S63" s="8" t="n">
        <v>4</v>
      </c>
      <c r="T63" s="8" t="inlineStr">
        <is>
          <t>Этот узел нужен как параллельная ветка: история плёнки — не только Истмен, но и спорная линия Гудвина.</t>
        </is>
      </c>
      <c r="U63" s="8" t="inlineStr">
        <is>
          <t>От основной линии Kodak отходит пунктирная ветка к Ньюарку: изобретатель вне большой фабрики.</t>
        </is>
      </c>
      <c r="V63" s="8" t="inlineStr">
        <is>
          <t>#PL007 #Goodwin #celluloid #transparent-film #patent</t>
        </is>
      </c>
      <c r="W63" s="8" t="inlineStr">
        <is>
          <t>Проверить формулировку: заявка 1887, патент выдан позже; не писать как мгновенно утверждённый патент.</t>
        </is>
      </c>
      <c r="X63" s="8" t="inlineStr">
        <is>
          <t>40.7357, -74.1724</t>
        </is>
      </c>
      <c r="Y63" s="8" t="inlineStr">
        <is>
          <t>Рулонная плёнка / целлулоидная основа</t>
        </is>
      </c>
      <c r="Z63" s="8" t="inlineStr">
        <is>
          <t>Технология / процесс</t>
        </is>
      </c>
      <c r="AA63" s="8" t="n"/>
    </row>
    <row r="64" ht="17" customHeight="1" s="72">
      <c r="A64" s="8" t="inlineStr">
        <is>
          <t>PL-HIST-0063</t>
        </is>
      </c>
      <c r="B64" s="8" t="inlineStr">
        <is>
          <t>1888</t>
        </is>
      </c>
      <c r="C64" s="8" t="inlineStr">
        <is>
          <t>год</t>
        </is>
      </c>
      <c r="D64" s="8" t="inlineStr">
        <is>
          <t>США</t>
        </is>
      </c>
      <c r="E64" s="8" t="inlineStr">
        <is>
          <t>Рочестер, Нью-Йорк</t>
        </is>
      </c>
      <c r="F64" s="8" t="inlineStr">
        <is>
          <t>Джордж Истмен / Kodak</t>
        </is>
      </c>
      <c r="G64" s="8" t="inlineStr">
        <is>
          <t>Появляется первая камера Kodak: простая box-camera, заранее заряженная рулоном на 100 снимков.</t>
        </is>
      </c>
      <c r="H64" s="8" t="inlineStr">
        <is>
          <t>Негатив-позитив</t>
        </is>
      </c>
      <c r="I64" s="8" t="inlineStr">
        <is>
          <t>Original Kodak camera / roll-film camera</t>
        </is>
      </c>
      <c r="J64" s="8" t="inlineStr">
        <is>
          <t>Фотография становится не только технологией профессионалов: пользователь нажимает кнопку, а сложную обработку берёт на себя компания.</t>
        </is>
      </c>
      <c r="K64" s="8" t="inlineStr">
        <is>
          <t>American Film и попытки заменить стеклянную пластину рулонным носителем</t>
        </is>
      </c>
      <c r="L64" s="8" t="inlineStr">
        <is>
          <t>Сервисная модель Kodak и массовая любительская фотография</t>
        </is>
      </c>
      <c r="M64" s="8" t="inlineStr">
        <is>
          <t>Главная линия</t>
        </is>
      </c>
      <c r="N64" s="8" t="n">
        <v>5</v>
      </c>
      <c r="O64" s="8" t="inlineStr">
        <is>
          <t>PL-007</t>
        </is>
      </c>
      <c r="P64" s="8" t="inlineStr">
        <is>
          <t>SRC-038</t>
        </is>
      </c>
      <c r="Q64" s="8" t="inlineStr">
        <is>
          <t>Smithsonian NMAH — Original Kodak Camera, Serial No. 540</t>
        </is>
      </c>
      <c r="R64" s="8" t="inlineStr">
        <is>
          <t>https://americanhistory.si.edu/collections/object/nmah_760118</t>
        </is>
      </c>
      <c r="S64" s="8" t="n">
        <v>5</v>
      </c>
      <c r="T64" s="8" t="inlineStr">
        <is>
          <t>Это флагман PL-007: камера Kodak изменила не только материал, но и саму роль фотографа.</t>
        </is>
      </c>
      <c r="U64" s="8" t="inlineStr">
        <is>
          <t>Главный узел: маленькая box-camera с рулоном внутри, от неё расходится линия к массовой фотографии.</t>
        </is>
      </c>
      <c r="V64" s="8" t="inlineStr">
        <is>
          <t>#PL007 #Kodak #roll-film-camera #Eastman #Rochester</t>
        </is>
      </c>
      <c r="W64" s="8" t="n"/>
      <c r="X64" s="8" t="inlineStr">
        <is>
          <t>43.1566, -77.6088</t>
        </is>
      </c>
      <c r="Y64" s="8" t="inlineStr">
        <is>
          <t>Рулонная плёнка / Kodak camera</t>
        </is>
      </c>
      <c r="Z64" s="8" t="inlineStr">
        <is>
          <t>Ключевой исторический узел</t>
        </is>
      </c>
      <c r="AA64" s="8" t="inlineStr">
        <is>
          <t>да</t>
        </is>
      </c>
    </row>
    <row r="65" ht="17" customHeight="1" s="72">
      <c r="A65" s="8" t="inlineStr">
        <is>
          <t>PL-HIST-0064</t>
        </is>
      </c>
      <c r="B65" s="8" t="inlineStr">
        <is>
          <t>1888</t>
        </is>
      </c>
      <c r="C65" s="8" t="inlineStr">
        <is>
          <t>год</t>
        </is>
      </c>
      <c r="D65" s="8" t="inlineStr">
        <is>
          <t>США</t>
        </is>
      </c>
      <c r="E65" s="8" t="inlineStr">
        <is>
          <t>Рочестер, Нью-Йорк</t>
        </is>
      </c>
      <c r="F65" s="8" t="inlineStr">
        <is>
          <t>Джордж Истмен / Kodak</t>
        </is>
      </c>
      <c r="G65" s="8" t="inlineStr">
        <is>
          <t>Kodak продаёт камеру уже заряженной плёнкой; после съёмки всю камеру отправляют в Рочестер для проявки, печати и перезарядки.</t>
        </is>
      </c>
      <c r="H65" s="8" t="inlineStr">
        <is>
          <t>Негатив-позитив</t>
        </is>
      </c>
      <c r="I65" s="8" t="inlineStr">
        <is>
          <t>Kodak processing service model</t>
        </is>
      </c>
      <c r="J65" s="8" t="inlineStr">
        <is>
          <t>Фотограф больше не обязан быть химиком и печатником: процесс съёмки отделяется от лабораторной обработки.</t>
        </is>
      </c>
      <c r="K65" s="8" t="inlineStr">
        <is>
          <t>Original Kodak camera 1888</t>
        </is>
      </c>
      <c r="L65" s="8" t="inlineStr">
        <is>
          <t>Слоган «You press the button, we do the rest» и рост любительской фотографии</t>
        </is>
      </c>
      <c r="M65" s="8" t="inlineStr">
        <is>
          <t>Распространение / коммерциализация</t>
        </is>
      </c>
      <c r="N65" s="8" t="n">
        <v>5</v>
      </c>
      <c r="O65" s="8" t="inlineStr">
        <is>
          <t>PL-007</t>
        </is>
      </c>
      <c r="P65" s="8" t="inlineStr">
        <is>
          <t>SRC-039</t>
        </is>
      </c>
      <c r="Q65" s="8" t="inlineStr">
        <is>
          <t>The Met — Kodak and the Rise of Amateur Photography</t>
        </is>
      </c>
      <c r="R65" s="8" t="inlineStr">
        <is>
          <t>https://www.metmuseum.org/essays/kodak-and-the-rise-of-amateur-photography</t>
        </is>
      </c>
      <c r="S65" s="8" t="n">
        <v>5</v>
      </c>
      <c r="T65" s="8" t="inlineStr">
        <is>
          <t>Главная мысль для лекции: Kodak продавал не просто камеру, а целую систему — камера + плёнка + обработка.</t>
        </is>
      </c>
      <c r="U65" s="8" t="inlineStr">
        <is>
          <t>Маршрут: камера у пользователя → фабрика в Рочестере → готовые отпечатки возвращаются обратно.</t>
        </is>
      </c>
      <c r="V65" s="8" t="inlineStr">
        <is>
          <t>#PL007 #Kodak #service-model #amateur-photography</t>
        </is>
      </c>
      <c r="W65" s="8" t="n"/>
      <c r="X65" s="8" t="inlineStr">
        <is>
          <t>43.1566, -77.6088</t>
        </is>
      </c>
      <c r="Y65" s="8" t="inlineStr">
        <is>
          <t>Рулонная плёнка / сервисная модель</t>
        </is>
      </c>
      <c r="Z65" s="8" t="inlineStr">
        <is>
          <t>Распространение / коммерциализация</t>
        </is>
      </c>
      <c r="AA65" s="8" t="n"/>
    </row>
    <row r="66" ht="17" customHeight="1" s="72">
      <c r="A66" s="8" t="inlineStr">
        <is>
          <t>PL-HIST-0065</t>
        </is>
      </c>
      <c r="B66" s="8" t="inlineStr">
        <is>
          <t>4 сентября 1888</t>
        </is>
      </c>
      <c r="C66" s="8" t="inlineStr">
        <is>
          <t>точная дата</t>
        </is>
      </c>
      <c r="D66" s="8" t="inlineStr">
        <is>
          <t>США</t>
        </is>
      </c>
      <c r="E66" s="8" t="inlineStr">
        <is>
          <t>Рочестер, Нью-Йорк</t>
        </is>
      </c>
      <c r="F66" s="8" t="inlineStr">
        <is>
          <t>Джордж Истмен / Kodak</t>
        </is>
      </c>
      <c r="G66" s="8" t="inlineStr">
        <is>
          <t>Истмен получает патент на камеру Kodak и регистрирует товарный знак Kodak.</t>
        </is>
      </c>
      <c r="H66" s="8" t="inlineStr">
        <is>
          <t>Негатив-позитив</t>
        </is>
      </c>
      <c r="I66" s="8" t="inlineStr">
        <is>
          <t>Kodak patent and trademark</t>
        </is>
      </c>
      <c r="J66" s="8" t="inlineStr">
        <is>
          <t>Рулонная камера становится не только техническим устройством, но и брендом, который легко запомнить и продвигать.</t>
        </is>
      </c>
      <c r="K66" s="8" t="inlineStr">
        <is>
          <t>Original Kodak camera 1888</t>
        </is>
      </c>
      <c r="L66" s="8" t="inlineStr">
        <is>
          <t>Переименование компании и формирование Kodak как массового фотобренда</t>
        </is>
      </c>
      <c r="M66" s="8" t="inlineStr">
        <is>
          <t>Распространение / коммерциализация</t>
        </is>
      </c>
      <c r="N66" s="8" t="n">
        <v>4</v>
      </c>
      <c r="O66" s="8" t="inlineStr">
        <is>
          <t>PL-007</t>
        </is>
      </c>
      <c r="P66" s="8" t="inlineStr">
        <is>
          <t>SRC-040</t>
        </is>
      </c>
      <c r="Q66" s="8" t="inlineStr">
        <is>
          <t>George Eastman Museum — From the Camera Obscura to the Revolutionary Kodak</t>
        </is>
      </c>
      <c r="R66" s="8" t="inlineStr">
        <is>
          <t>https://www.eastman.org/camera-obscura-revolutionary-kodak</t>
        </is>
      </c>
      <c r="S66" s="8" t="n">
        <v>5</v>
      </c>
      <c r="T66" s="8" t="inlineStr">
        <is>
          <t>Этот узел можно использовать коротко: фотография входит в эпоху бренда, рекламы и простого обещания пользователю.</t>
        </is>
      </c>
      <c r="U66" s="8" t="inlineStr">
        <is>
          <t>На карте: рядом с Рочестером появляется знак KODAK как брендовый маяк.</t>
        </is>
      </c>
      <c r="V66" s="8" t="inlineStr">
        <is>
          <t>#PL007 #Kodak #patent #trademark #brand</t>
        </is>
      </c>
      <c r="W66" s="8" t="n"/>
      <c r="X66" s="8" t="inlineStr">
        <is>
          <t>43.1566, -77.6088</t>
        </is>
      </c>
      <c r="Y66" s="8" t="inlineStr">
        <is>
          <t>Рулонная плёнка / патент и бренд</t>
        </is>
      </c>
      <c r="Z66" s="8" t="inlineStr">
        <is>
          <t>Публикация / объявление</t>
        </is>
      </c>
      <c r="AA66" s="8" t="n"/>
    </row>
    <row r="67" ht="17" customHeight="1" s="72">
      <c r="A67" s="8" t="inlineStr">
        <is>
          <t>PL-HIST-0066</t>
        </is>
      </c>
      <c r="B67" s="8" t="inlineStr">
        <is>
          <t>1889</t>
        </is>
      </c>
      <c r="C67" s="8" t="inlineStr">
        <is>
          <t>год</t>
        </is>
      </c>
      <c r="D67" s="8" t="inlineStr">
        <is>
          <t>США</t>
        </is>
      </c>
      <c r="E67" s="8" t="inlineStr">
        <is>
          <t>Рочестер, Нью-Йорк</t>
        </is>
      </c>
      <c r="F67" s="8" t="inlineStr">
        <is>
          <t>Джордж Истмен / Генри Райхенбах</t>
        </is>
      </c>
      <c r="G67" s="8" t="inlineStr">
        <is>
          <t>На рынок выходит первая коммерческая прозрачная рулонная плёнка, усовершенствованная Истменом и его химиком.</t>
        </is>
      </c>
      <c r="H67" s="8" t="inlineStr">
        <is>
          <t>Негатив-позитив</t>
        </is>
      </c>
      <c r="I67" s="8" t="inlineStr">
        <is>
          <t>Commercial transparent roll film</t>
        </is>
      </c>
      <c r="J67" s="8" t="inlineStr">
        <is>
          <t>Плёнка становится более удобной для качественного негатива и открывает путь не только фотографии, но и движущемуся изображению.</t>
        </is>
      </c>
      <c r="K67" s="8" t="inlineStr">
        <is>
          <t>Бумажная American Film и поиски прозрачной гибкой основы</t>
        </is>
      </c>
      <c r="L67" s="8" t="inlineStr">
        <is>
          <t>Развитие кинематографа и дальнейшая массовая плёночная фотография</t>
        </is>
      </c>
      <c r="M67" s="8" t="inlineStr">
        <is>
          <t>Главная линия</t>
        </is>
      </c>
      <c r="N67" s="8" t="n">
        <v>5</v>
      </c>
      <c r="O67" s="8" t="inlineStr">
        <is>
          <t>PL-007</t>
        </is>
      </c>
      <c r="P67" s="8" t="inlineStr">
        <is>
          <t>SRC-041</t>
        </is>
      </c>
      <c r="Q67" s="8" t="inlineStr">
        <is>
          <t>Kodak — Chronology of Film</t>
        </is>
      </c>
      <c r="R67" s="8" t="inlineStr">
        <is>
          <t>https://www.kodak.com/en/motion/page/chronology-of-film/</t>
        </is>
      </c>
      <c r="S67" s="8" t="n">
        <v>5</v>
      </c>
      <c r="T67" s="8" t="inlineStr">
        <is>
          <t>В уроке важно отличить: Kodak 1888 уже был рулонной камерой, но прозрачная рулонная плёнка как коммерческий материал — отдельный шаг 1889 года.</t>
        </is>
      </c>
      <c r="U67" s="8" t="inlineStr">
        <is>
          <t>Рулон из полупрозрачной ленты, уходящий от фотографии к кино.</t>
        </is>
      </c>
      <c r="V67" s="8" t="inlineStr">
        <is>
          <t>#PL007 #transparent-roll-film #Reichenbach #Eastman #motion-picture</t>
        </is>
      </c>
      <c r="W67" s="8" t="n"/>
      <c r="X67" s="8" t="inlineStr">
        <is>
          <t>43.1566, -77.6088</t>
        </is>
      </c>
      <c r="Y67" s="8" t="inlineStr">
        <is>
          <t>Рулонная плёнка / прозрачная плёнка</t>
        </is>
      </c>
      <c r="Z67" s="8" t="inlineStr">
        <is>
          <t>Технология / процесс</t>
        </is>
      </c>
      <c r="AA67" s="8" t="n"/>
    </row>
    <row r="68" ht="17" customHeight="1" s="72">
      <c r="A68" s="8" t="inlineStr">
        <is>
          <t>PL-HIST-0067</t>
        </is>
      </c>
      <c r="B68" s="8" t="inlineStr">
        <is>
          <t>1891</t>
        </is>
      </c>
      <c r="C68" s="8" t="inlineStr">
        <is>
          <t>год</t>
        </is>
      </c>
      <c r="D68" s="8" t="inlineStr">
        <is>
          <t>США</t>
        </is>
      </c>
      <c r="E68" s="8" t="inlineStr">
        <is>
          <t>Рочестер, Нью-Йорк</t>
        </is>
      </c>
      <c r="F68" s="8" t="inlineStr">
        <is>
          <t>Kodak / Eastman Company</t>
        </is>
      </c>
      <c r="G68" s="8" t="inlineStr">
        <is>
          <t>Kodak выводит первую daylight-loading camera: фотограф может перезаряжать плёнку без тёмной комнаты.</t>
        </is>
      </c>
      <c r="H68" s="8" t="inlineStr">
        <is>
          <t>Негатив-позитив</t>
        </is>
      </c>
      <c r="I68" s="8" t="inlineStr">
        <is>
          <t>Daylight-loading roll-film camera</t>
        </is>
      </c>
      <c r="J68" s="8" t="inlineStr">
        <is>
          <t>Рулонная фотография становится ещё удобнее: перезарядка перестаёт требовать полной темноты.</t>
        </is>
      </c>
      <c r="K68" s="8" t="inlineStr">
        <is>
          <t>Kodak camera 1888 and factory service model</t>
        </is>
      </c>
      <c r="L68" s="8" t="inlineStr">
        <is>
          <t>Pocket Kodak, Folding Pocket Kodak, Brownie and standard roll-film formats</t>
        </is>
      </c>
      <c r="M68" s="8" t="inlineStr">
        <is>
          <t>Главная линия</t>
        </is>
      </c>
      <c r="N68" s="8" t="n">
        <v>4</v>
      </c>
      <c r="O68" s="8" t="inlineStr">
        <is>
          <t>PL-007</t>
        </is>
      </c>
      <c r="P68" s="8" t="inlineStr">
        <is>
          <t>SRC-042</t>
        </is>
      </c>
      <c r="Q68" s="8" t="inlineStr">
        <is>
          <t>Kodak — Milestones</t>
        </is>
      </c>
      <c r="R68" s="8" t="inlineStr">
        <is>
          <t>https://www.kodak.com/en/company/page/milestones/</t>
        </is>
      </c>
      <c r="S68" s="8" t="n">
        <v>5</v>
      </c>
      <c r="T68" s="8" t="inlineStr">
        <is>
          <t>Это не главный герой урока, но важный шаг удобства: фотограф получает больше самостоятельности.</t>
        </is>
      </c>
      <c r="U68" s="8" t="inlineStr">
        <is>
          <t>На карте: маленькая камера открывается на свету без тёмной комнаты.</t>
        </is>
      </c>
      <c r="V68" s="8" t="inlineStr">
        <is>
          <t>#PL007 #daylight-loading #roll-film #Kodak</t>
        </is>
      </c>
      <c r="W68" s="8" t="n"/>
      <c r="X68" s="8" t="inlineStr">
        <is>
          <t>43.1566, -77.6088</t>
        </is>
      </c>
      <c r="Y68" s="8" t="inlineStr">
        <is>
          <t>Рулонная плёнка / дневная перезарядка</t>
        </is>
      </c>
      <c r="Z68" s="8" t="inlineStr">
        <is>
          <t>Технология / процесс</t>
        </is>
      </c>
      <c r="AA68" s="8" t="n"/>
    </row>
    <row r="69" ht="17" customHeight="1" s="72">
      <c r="A69" s="8" t="inlineStr">
        <is>
          <t>PL-HIST-0068</t>
        </is>
      </c>
      <c r="B69" s="8" t="inlineStr">
        <is>
          <t>1900</t>
        </is>
      </c>
      <c r="C69" s="8" t="inlineStr">
        <is>
          <t>год</t>
        </is>
      </c>
      <c r="D69" s="8" t="inlineStr">
        <is>
          <t>США</t>
        </is>
      </c>
      <c r="E69" s="8" t="inlineStr">
        <is>
          <t>Рочестер, Нью-Йорк</t>
        </is>
      </c>
      <c r="F69" s="8" t="inlineStr">
        <is>
          <t>Eastman Kodak / Brownie</t>
        </is>
      </c>
      <c r="G69" s="8" t="inlineStr">
        <is>
          <t>Камера Brownie делает рулонную фотографию ещё более дешёвой и доступной для массового пользователя.</t>
        </is>
      </c>
      <c r="H69" s="8" t="inlineStr">
        <is>
          <t>Негатив-позитив</t>
        </is>
      </c>
      <c r="I69" s="8" t="inlineStr">
        <is>
          <t>Kodak Brownie / mass snapshot photography</t>
        </is>
      </c>
      <c r="J69" s="8" t="inlineStr">
        <is>
          <t>Идея Kodak доводится до массового уровня: фотография становится повседневным занятием и семейной практикой.</t>
        </is>
      </c>
      <c r="K69" s="8" t="inlineStr">
        <is>
          <t>Kodak camera 1888 and roll-film service model</t>
        </is>
      </c>
      <c r="L69" s="8" t="inlineStr">
        <is>
          <t>PL-008: массовая любительская фотография, snapshot-культура и Brownie как социальный перелом</t>
        </is>
      </c>
      <c r="M69" s="8" t="inlineStr">
        <is>
          <t>Связь / переход</t>
        </is>
      </c>
      <c r="N69" s="8" t="n">
        <v>4</v>
      </c>
      <c r="O69" s="8" t="inlineStr">
        <is>
          <t>PL-007</t>
        </is>
      </c>
      <c r="P69" s="8" t="inlineStr">
        <is>
          <t>SRC-043</t>
        </is>
      </c>
      <c r="Q69" s="8" t="inlineStr">
        <is>
          <t>National Science and Media Museum — Kodak Gallery</t>
        </is>
      </c>
      <c r="R69" s="8" t="inlineStr">
        <is>
          <t>https://www.scienceandmediamuseum.org.uk/whats-on/kodak-gallery</t>
        </is>
      </c>
      <c r="S69" s="8" t="n">
        <v>5</v>
      </c>
      <c r="T69" s="8" t="inlineStr">
        <is>
          <t>Это мост к следующему уроку: Kodak сделал фотографию проще, Brownie сделает её по-настоящему массовой.</t>
        </is>
      </c>
      <c r="U69" s="8" t="inlineStr">
        <is>
          <t>От Kodak 1888 линия идёт к дешёвой коробочной камере Brownie и семейным снимкам.</t>
        </is>
      </c>
      <c r="V69" s="8" t="inlineStr">
        <is>
          <t>#PL007 #Brownie #snapshot #mass-photography #future-PL</t>
        </is>
      </c>
      <c r="W69" s="8" t="n"/>
      <c r="X69" s="8" t="inlineStr">
        <is>
          <t>43.1566, -77.6088</t>
        </is>
      </c>
      <c r="Y69" s="8" t="inlineStr">
        <is>
          <t>Рулонная плёнка / массовая фотография</t>
        </is>
      </c>
      <c r="Z69" s="8" t="inlineStr">
        <is>
          <t>Связь / переход</t>
        </is>
      </c>
      <c r="AA69" s="8" t="n"/>
    </row>
    <row r="70" ht="17" customHeight="1" s="72">
      <c r="A70" s="8" t="inlineStr">
        <is>
          <t>PL-HIST-0069</t>
        </is>
      </c>
      <c r="B70" s="8" t="inlineStr">
        <is>
          <t>1900</t>
        </is>
      </c>
      <c r="C70" s="8" t="inlineStr">
        <is>
          <t>год</t>
        </is>
      </c>
      <c r="D70" s="8" t="inlineStr">
        <is>
          <t>США</t>
        </is>
      </c>
      <c r="E70" s="8" t="inlineStr">
        <is>
          <t>Рочестер, Нью-Йорк</t>
        </is>
      </c>
      <c r="F70" s="8" t="inlineStr">
        <is>
          <t>Eastman Kodak / Brownie</t>
        </is>
      </c>
      <c r="G70" s="8" t="inlineStr">
        <is>
          <t>Появляется первая камера Kodak Brownie — простая и недорогая коробочная roll-film камера для массового пользователя.</t>
        </is>
      </c>
      <c r="H70" s="8" t="inlineStr">
        <is>
          <t>Негатив-позитив</t>
        </is>
      </c>
      <c r="I70" s="8" t="inlineStr">
        <is>
          <t>Kodak Brownie / box roll-film camera</t>
        </is>
      </c>
      <c r="J70" s="8" t="inlineStr">
        <is>
          <t>Фотография становится дешёвой и доступной: теперь камера перестаёт быть только инструментом обеспеченных любителей и профессионалов.</t>
        </is>
      </c>
      <c r="K70" s="8" t="inlineStr">
        <is>
          <t>Kodak camera 1888 и сервисная модель обработки плёнки</t>
        </is>
      </c>
      <c r="L70" s="8" t="inlineStr">
        <is>
          <t>Snapshot-культура, семейные альбомы и массовая любительская фотография</t>
        </is>
      </c>
      <c r="M70" s="8" t="inlineStr">
        <is>
          <t>Главная линия</t>
        </is>
      </c>
      <c r="N70" s="8" t="n">
        <v>5</v>
      </c>
      <c r="O70" s="8" t="inlineStr">
        <is>
          <t>PL-008</t>
        </is>
      </c>
      <c r="P70" s="8" t="inlineStr">
        <is>
          <t>SRC-044</t>
        </is>
      </c>
      <c r="Q70" s="8" t="inlineStr">
        <is>
          <t>Science Museum Group — No. 1 Brownie Box Camera</t>
        </is>
      </c>
      <c r="R70" s="8" t="inlineStr">
        <is>
          <t>https://collection.sciencemuseumgroup.org.uk/objects/co8406729/no-1-brownie-box-camera</t>
        </is>
      </c>
      <c r="S70" s="8" t="n">
        <v>5</v>
      </c>
      <c r="T70" s="8" t="inlineStr">
        <is>
          <t>Флагман PL-008: Brownie — момент, когда фотография становится по-настоящему массовой бытовой практикой.</t>
        </is>
      </c>
      <c r="U70" s="8" t="inlineStr">
        <is>
          <t>На карте: из Рочестера расходятся линии к домам, семьям и любительским снимкам.</t>
        </is>
      </c>
      <c r="V70" s="8" t="inlineStr">
        <is>
          <t>#PL008 #Brownie #Kodak #snapshot #mass-photography</t>
        </is>
      </c>
      <c r="W70" s="8" t="n"/>
      <c r="X70" s="8" t="inlineStr">
        <is>
          <t>43.1566, -77.6088</t>
        </is>
      </c>
      <c r="Y70" s="8" t="inlineStr">
        <is>
          <t>Brownie / доступная камера</t>
        </is>
      </c>
      <c r="Z70" s="8" t="inlineStr">
        <is>
          <t>Ключевой исторический узел</t>
        </is>
      </c>
      <c r="AA70" s="8" t="inlineStr">
        <is>
          <t>да</t>
        </is>
      </c>
    </row>
    <row r="71" ht="17" customHeight="1" s="72">
      <c r="A71" s="8" t="inlineStr">
        <is>
          <t>PL-HIST-0070</t>
        </is>
      </c>
      <c r="B71" s="8" t="inlineStr">
        <is>
          <t>1900</t>
        </is>
      </c>
      <c r="C71" s="8" t="inlineStr">
        <is>
          <t>год</t>
        </is>
      </c>
      <c r="D71" s="8" t="inlineStr">
        <is>
          <t>США</t>
        </is>
      </c>
      <c r="E71" s="8" t="inlineStr">
        <is>
          <t>Рочестер, Нью-Йорк</t>
        </is>
      </c>
      <c r="F71" s="8" t="inlineStr">
        <is>
          <t>Eastman Kodak</t>
        </is>
      </c>
      <c r="G71" s="8" t="inlineStr">
        <is>
          <t>Brownie продаётся по низкой цене и продвигается как камера, которой может пользоваться человек без фотографического опыта.</t>
        </is>
      </c>
      <c r="H71" s="8" t="inlineStr">
        <is>
          <t>Негатив-позитив</t>
        </is>
      </c>
      <c r="I71" s="8" t="inlineStr">
        <is>
          <t>Low-cost consumer camera</t>
        </is>
      </c>
      <c r="J71" s="8" t="inlineStr">
        <is>
          <t>Порог входа резко падает: фотография становится не только техникой, но и доступным хобби.</t>
        </is>
      </c>
      <c r="K71" s="8" t="inlineStr">
        <is>
          <t>Kodak 1888 упростил процесс, но оставался сравнительно дорогим</t>
        </is>
      </c>
      <c r="L71" s="8" t="inlineStr">
        <is>
          <t>Brownie расширяет аудиторию до детей, семей и среднего класса</t>
        </is>
      </c>
      <c r="M71" s="8" t="inlineStr">
        <is>
          <t>Распространение / коммерциализация</t>
        </is>
      </c>
      <c r="N71" s="8" t="n">
        <v>5</v>
      </c>
      <c r="O71" s="8" t="inlineStr">
        <is>
          <t>PL-008</t>
        </is>
      </c>
      <c r="P71" s="8" t="inlineStr">
        <is>
          <t>SRC-046</t>
        </is>
      </c>
      <c r="Q71" s="8" t="inlineStr">
        <is>
          <t>ACS — George Eastman, Kodak, and the Birth of Consumer Photography</t>
        </is>
      </c>
      <c r="R71" s="8" t="inlineStr">
        <is>
          <t>https://www.acs.org/education/whatischemistry/landmarks/eastman-kodak.html</t>
        </is>
      </c>
      <c r="S71" s="8" t="n">
        <v>5</v>
      </c>
      <c r="T71" s="8" t="inlineStr">
        <is>
          <t>Объяснить просто: Kodak сделал фотографию удобной, а Brownie сделал её дешёвой.</t>
        </is>
      </c>
      <c r="U71" s="8" t="inlineStr">
        <is>
          <t>Ценник рядом с маленькой коробочной камерой: фотография становится покупкой для обычной семьи.</t>
        </is>
      </c>
      <c r="V71" s="8" t="inlineStr">
        <is>
          <t>#PL008 #Brownie #affordable-camera #consumer-photography</t>
        </is>
      </c>
      <c r="W71" s="8" t="n"/>
      <c r="X71" s="8" t="inlineStr">
        <is>
          <t>43.1566, -77.6088</t>
        </is>
      </c>
      <c r="Y71" s="8" t="inlineStr">
        <is>
          <t>Brownie / цена и массовый рынок</t>
        </is>
      </c>
      <c r="Z71" s="8" t="inlineStr">
        <is>
          <t>Распространение / коммерциализация</t>
        </is>
      </c>
      <c r="AA71" s="8" t="n"/>
    </row>
    <row r="72" ht="17" customHeight="1" s="72">
      <c r="A72" s="8" t="inlineStr">
        <is>
          <t>PL-HIST-0071</t>
        </is>
      </c>
      <c r="B72" s="8" t="inlineStr">
        <is>
          <t>1900–1901</t>
        </is>
      </c>
      <c r="C72" s="8" t="inlineStr">
        <is>
          <t>диапазон</t>
        </is>
      </c>
      <c r="D72" s="8" t="inlineStr">
        <is>
          <t>США / Великобритания</t>
        </is>
      </c>
      <c r="E72" s="8" t="inlineStr">
        <is>
          <t>Рочестер / массовая пресса</t>
        </is>
      </c>
      <c r="F72" s="8" t="inlineStr">
        <is>
          <t>Eastman Kodak / рекламные кампании Brownie</t>
        </is>
      </c>
      <c r="G72" s="8" t="inlineStr">
        <is>
          <t>Brownie продвигается через популярную прессу и визуальный образ персонажей Brownie, обращаясь к новой молодой и семейной аудитории.</t>
        </is>
      </c>
      <c r="H72" s="8" t="inlineStr">
        <is>
          <t>Негатив-позитив</t>
        </is>
      </c>
      <c r="I72" s="8" t="inlineStr">
        <is>
          <t>Brownie marketing / popular press</t>
        </is>
      </c>
      <c r="J72" s="8" t="inlineStr">
        <is>
          <t>Фотокамера становится не только устройством, но и массовым культурным продуктом с понятным образом и обещанием простоты.</t>
        </is>
      </c>
      <c r="K72" s="8" t="inlineStr">
        <is>
          <t>Kodak как бренд и сервис съёмки</t>
        </is>
      </c>
      <c r="L72" s="8" t="inlineStr">
        <is>
          <t>Brownie становится узнаваемой народной камерой</t>
        </is>
      </c>
      <c r="M72" s="8" t="inlineStr">
        <is>
          <t>Распространение / коммерциализация</t>
        </is>
      </c>
      <c r="N72" s="8" t="n">
        <v>4</v>
      </c>
      <c r="O72" s="8" t="inlineStr">
        <is>
          <t>PL-008</t>
        </is>
      </c>
      <c r="P72" s="8" t="inlineStr">
        <is>
          <t>SRC-047</t>
        </is>
      </c>
      <c r="Q72" s="8" t="inlineStr">
        <is>
          <t>National Science and Media Museum — B is for Brownie</t>
        </is>
      </c>
      <c r="R72" s="8" t="inlineStr">
        <is>
          <t>https://blog.scienceandmediamuseum.org.uk/a-z-photography-collection-b-is-for-brownie/</t>
        </is>
      </c>
      <c r="S72" s="8" t="n">
        <v>5</v>
      </c>
      <c r="T72" s="8" t="inlineStr">
        <is>
          <t>Хороший сюжет для урока: массовая фотография победила не только химией и камерой, но и рекламой.</t>
        </is>
      </c>
      <c r="U72" s="8" t="inlineStr">
        <is>
          <t>Визуально: рекламный плакат Brownie, персонажи и маленькая камера как игрушка для всех.</t>
        </is>
      </c>
      <c r="V72" s="8" t="inlineStr">
        <is>
          <t>#PL008 #Brownie #advertising #popular-press #children</t>
        </is>
      </c>
      <c r="W72" s="8" t="n"/>
      <c r="X72" s="8" t="inlineStr">
        <is>
          <t>43.1566, -77.6088</t>
        </is>
      </c>
      <c r="Y72" s="8" t="inlineStr">
        <is>
          <t>Brownie / детская аудитория и реклама</t>
        </is>
      </c>
      <c r="Z72" s="8" t="inlineStr">
        <is>
          <t>Распространение / коммерциализация</t>
        </is>
      </c>
      <c r="AA72" s="8" t="n"/>
    </row>
    <row r="73" ht="17" customHeight="1" s="72">
      <c r="A73" s="8" t="inlineStr">
        <is>
          <t>PL-HIST-0072</t>
        </is>
      </c>
      <c r="B73" s="8" t="inlineStr">
        <is>
          <t>1901</t>
        </is>
      </c>
      <c r="C73" s="8" t="inlineStr">
        <is>
          <t>год</t>
        </is>
      </c>
      <c r="D73" s="8" t="inlineStr">
        <is>
          <t>Великобритания</t>
        </is>
      </c>
      <c r="E73" s="8" t="inlineStr">
        <is>
          <t>Лондон</t>
        </is>
      </c>
      <c r="F73" s="8" t="inlineStr">
        <is>
          <t>Kodak Limited / No. 2 Brownie</t>
        </is>
      </c>
      <c r="G73" s="8" t="inlineStr">
        <is>
          <t>No. 2 Brownie использует 120 roll film — формат, который позже станет важным стандартом среднего формата.</t>
        </is>
      </c>
      <c r="H73" s="8" t="inlineStr">
        <is>
          <t>Негатив-позитив</t>
        </is>
      </c>
      <c r="I73" s="8" t="inlineStr">
        <is>
          <t>No. 2 Brownie / 120 roll film</t>
        </is>
      </c>
      <c r="J73" s="8" t="inlineStr">
        <is>
          <t>Массовая простая камера оказывается связана с форматом плёнки, который переживёт саму эпоху Brownie и останется важным для фотографии.</t>
        </is>
      </c>
      <c r="K73" s="8" t="inlineStr">
        <is>
          <t>Brownie No. 1 и массовая roll-film камера</t>
        </is>
      </c>
      <c r="L73" s="8" t="inlineStr">
        <is>
          <t>120 film и среднеформатная фотография XX века</t>
        </is>
      </c>
      <c r="M73" s="8" t="inlineStr">
        <is>
          <t>Главная линия</t>
        </is>
      </c>
      <c r="N73" s="8" t="n">
        <v>4</v>
      </c>
      <c r="O73" s="8" t="inlineStr">
        <is>
          <t>PL-008</t>
        </is>
      </c>
      <c r="P73" s="8" t="inlineStr">
        <is>
          <t>SRC-050</t>
        </is>
      </c>
      <c r="Q73" s="8" t="inlineStr">
        <is>
          <t>Science Museum Group — No 2 Brownie Camera</t>
        </is>
      </c>
      <c r="R73" s="8" t="inlineStr">
        <is>
          <t>https://collection.sciencemuseumgroup.org.uk/objects/co8207799/no-2-brownie-camera</t>
        </is>
      </c>
      <c r="S73" s="8" t="n">
        <v>4</v>
      </c>
      <c r="T73" s="8" t="inlineStr">
        <is>
          <t>Не перегружать технически: важно показать, что массовая камера дала жизнь формату, который потом станет серьёзным фотографическим стандартом.</t>
        </is>
      </c>
      <c r="U73" s="8" t="inlineStr">
        <is>
          <t>Рядом с камерой — катушка 120 film, мост к среднему формату.</t>
        </is>
      </c>
      <c r="V73" s="8" t="inlineStr">
        <is>
          <t>#PL008 #No2Brownie #120film #medium-format</t>
        </is>
      </c>
      <c r="W73" s="8" t="inlineStr">
        <is>
          <t>Проверить отдельно формулировку «первый / introduced 120» по более сильному источнику; в текущем виде писать осторожно: «использует 120 roll film».</t>
        </is>
      </c>
      <c r="X73" s="8" t="inlineStr">
        <is>
          <t>51.5074, -0.1278</t>
        </is>
      </c>
      <c r="Y73" s="8" t="inlineStr">
        <is>
          <t>Brownie / 120 roll film</t>
        </is>
      </c>
      <c r="Z73" s="8" t="inlineStr">
        <is>
          <t>Технология / процесс</t>
        </is>
      </c>
      <c r="AA73" s="8" t="n"/>
    </row>
    <row r="74" ht="17" customHeight="1" s="72">
      <c r="A74" s="8" t="inlineStr">
        <is>
          <t>PL-HIST-0073</t>
        </is>
      </c>
      <c r="B74" s="8" t="inlineStr">
        <is>
          <t>1900-е</t>
        </is>
      </c>
      <c r="C74" s="8" t="inlineStr">
        <is>
          <t>диапазон</t>
        </is>
      </c>
      <c r="D74" s="8" t="inlineStr">
        <is>
          <t>США / Великобритания</t>
        </is>
      </c>
      <c r="E74" s="8" t="inlineStr">
        <is>
          <t>распределённый процесс</t>
        </is>
      </c>
      <c r="F74" s="8" t="inlineStr">
        <is>
          <t>Любители фотографии / семьи</t>
        </is>
      </c>
      <c r="G74" s="8" t="inlineStr">
        <is>
          <t>Snapshot становится повседневной практикой: люди снимают прогулки, детей, поездки, праздники и частную жизнь.</t>
        </is>
      </c>
      <c r="H74" s="8" t="inlineStr">
        <is>
          <t>Печать / тиражирование</t>
        </is>
      </c>
      <c r="I74" s="8" t="inlineStr">
        <is>
          <t>Snapshot culture / family photography</t>
        </is>
      </c>
      <c r="J74" s="8" t="inlineStr">
        <is>
          <t>Фотография меняет социальную роль: она перестаёт быть только портретом или документом и становится способом сохранять личную память.</t>
        </is>
      </c>
      <c r="K74" s="8" t="inlineStr">
        <is>
          <t>Brownie делает камеру доступной широкому кругу людей</t>
        </is>
      </c>
      <c r="L74" s="8" t="inlineStr">
        <is>
          <t>Семейные альбомы и бытовая визуальная культура XX века</t>
        </is>
      </c>
      <c r="M74" s="8" t="inlineStr">
        <is>
          <t>Главная линия</t>
        </is>
      </c>
      <c r="N74" s="8" t="n">
        <v>5</v>
      </c>
      <c r="O74" s="8" t="inlineStr">
        <is>
          <t>PL-008</t>
        </is>
      </c>
      <c r="P74" s="8" t="inlineStr">
        <is>
          <t>SRC-049</t>
        </is>
      </c>
      <c r="Q74" s="8" t="inlineStr">
        <is>
          <t>National Gallery of Art — The Art of the American Snapshot, 1888–1978</t>
        </is>
      </c>
      <c r="R74" s="8" t="inlineStr">
        <is>
          <t>https://www.nga.gov/exhibitions/art-american-snapshot-1888-1978-collection-robert-e-jackson</t>
        </is>
      </c>
      <c r="S74" s="8" t="n">
        <v>5</v>
      </c>
      <c r="T74" s="8" t="inlineStr">
        <is>
          <t>Ключевой смысл: фотография входит в дом и начинает фиксировать обычную жизнь, а не только важные события.</t>
        </is>
      </c>
      <c r="U74" s="8" t="inlineStr">
        <is>
          <t>На карте: от камеры появляются маленькие карточки-снимки семьи, поездки, дома.</t>
        </is>
      </c>
      <c r="V74" s="8" t="inlineStr">
        <is>
          <t>#PL008 #snapshot #family-album #vernacular-photography</t>
        </is>
      </c>
      <c r="W74" s="8" t="n"/>
      <c r="X74" s="8" t="n"/>
      <c r="Y74" s="8" t="inlineStr">
        <is>
          <t>Snapshot-культура / семейный альбом</t>
        </is>
      </c>
      <c r="Z74" s="8" t="inlineStr">
        <is>
          <t>Применение / жанр</t>
        </is>
      </c>
      <c r="AA74" s="8" t="n"/>
    </row>
    <row r="75" ht="17" customHeight="1" s="72">
      <c r="A75" s="8" t="inlineStr">
        <is>
          <t>PL-HIST-0074</t>
        </is>
      </c>
      <c r="B75" s="8" t="inlineStr">
        <is>
          <t>1900-е</t>
        </is>
      </c>
      <c r="C75" s="8" t="inlineStr">
        <is>
          <t>диапазон</t>
        </is>
      </c>
      <c r="D75" s="8" t="inlineStr">
        <is>
          <t>США</t>
        </is>
      </c>
      <c r="E75" s="8" t="inlineStr">
        <is>
          <t>распределённый процесс</t>
        </is>
      </c>
      <c r="F75" s="8" t="inlineStr">
        <is>
          <t>Массовые любители фотографии</t>
        </is>
      </c>
      <c r="G75" s="8" t="inlineStr">
        <is>
          <t>Фотография становится занятием людей без профессиональной подготовки: важнее не техническое мастерство, а возможность сохранить момент.</t>
        </is>
      </c>
      <c r="H75" s="8" t="inlineStr">
        <is>
          <t>Печать / тиражирование</t>
        </is>
      </c>
      <c r="I75" s="8" t="inlineStr">
        <is>
          <t>Amateur snapshot photography</t>
        </is>
      </c>
      <c r="J75" s="8" t="inlineStr">
        <is>
          <t>В центр выходит не фотограф-профессионал, а обычный человек с камерой; рождается культура бытового снимка.</t>
        </is>
      </c>
      <c r="K75" s="8" t="inlineStr">
        <is>
          <t>Kodak/Brownie снижает технический барьер</t>
        </is>
      </c>
      <c r="L75" s="8" t="inlineStr">
        <is>
          <t>Фотография как личный дневник, семейная память и визуальный архив</t>
        </is>
      </c>
      <c r="M75" s="8" t="inlineStr">
        <is>
          <t>Главная линия</t>
        </is>
      </c>
      <c r="N75" s="8" t="n">
        <v>5</v>
      </c>
      <c r="O75" s="8" t="inlineStr">
        <is>
          <t>PL-008</t>
        </is>
      </c>
      <c r="P75" s="8" t="inlineStr">
        <is>
          <t>SRC-039</t>
        </is>
      </c>
      <c r="Q75" s="8" t="inlineStr">
        <is>
          <t>The Met — Kodak and the Rise of Amateur Photography</t>
        </is>
      </c>
      <c r="R75" s="8" t="inlineStr">
        <is>
          <t>https://www.metmuseum.org/essays/kodak-and-the-rise-of-amateur-photography</t>
        </is>
      </c>
      <c r="S75" s="8" t="n">
        <v>5</v>
      </c>
      <c r="T75" s="8" t="inlineStr">
        <is>
          <t>Объяснить просто: раньше фотография была делом специалиста; теперь обычный человек получает право нажать кнопку и сохранить свою жизнь.</t>
        </is>
      </c>
      <c r="U75" s="8" t="inlineStr">
        <is>
          <t>Иконка: человек без студии и лаборатории снимает повседневный момент.</t>
        </is>
      </c>
      <c r="V75" s="8" t="inlineStr">
        <is>
          <t>#PL008 #amateur-photography #snapshot #everyday-life</t>
        </is>
      </c>
      <c r="W75" s="8" t="n"/>
      <c r="X75" s="8" t="n"/>
      <c r="Y75" s="8" t="inlineStr">
        <is>
          <t>Snapshot-культура / любительская практика</t>
        </is>
      </c>
      <c r="Z75" s="8" t="inlineStr">
        <is>
          <t>Применение / жанр</t>
        </is>
      </c>
      <c r="AA75" s="8" t="n"/>
    </row>
    <row r="76" ht="17" customHeight="1" s="72">
      <c r="A76" s="8" t="inlineStr">
        <is>
          <t>PL-HIST-0075</t>
        </is>
      </c>
      <c r="B76" s="8" t="inlineStr">
        <is>
          <t>1900-е</t>
        </is>
      </c>
      <c r="C76" s="8" t="inlineStr">
        <is>
          <t>диапазон</t>
        </is>
      </c>
      <c r="D76" s="8" t="inlineStr">
        <is>
          <t>США</t>
        </is>
      </c>
      <c r="E76" s="8" t="inlineStr">
        <is>
          <t>Рочестер, Нью-Йорк / потребительский рынок</t>
        </is>
      </c>
      <c r="F76" s="8" t="inlineStr">
        <is>
          <t>Eastman Kodak / фотолаборатории</t>
        </is>
      </c>
      <c r="G76" s="8" t="inlineStr">
        <is>
          <t>Сервисная модель Kodak продолжает освобождать пользователя от проявки и печати: съёмка становится проще, а обработка уходит в лабораторию.</t>
        </is>
      </c>
      <c r="H76" s="8" t="inlineStr">
        <is>
          <t>Печать / тиражирование</t>
        </is>
      </c>
      <c r="I76" s="8" t="inlineStr">
        <is>
          <t>Consumer processing service</t>
        </is>
      </c>
      <c r="J76" s="8" t="inlineStr">
        <is>
          <t>Массовая фотография требует не только камеры, но и инфраструктуры: плёнка, проявка, печать и возврат снимков становятся частью единой системы.</t>
        </is>
      </c>
      <c r="K76" s="8" t="inlineStr">
        <is>
          <t>Kodak service model 1888</t>
        </is>
      </c>
      <c r="L76" s="8" t="inlineStr">
        <is>
          <t>Фотолаборатории, минилабы и массовая печать XX века</t>
        </is>
      </c>
      <c r="M76" s="8" t="inlineStr">
        <is>
          <t>Распространение / коммерциализация</t>
        </is>
      </c>
      <c r="N76" s="8" t="n">
        <v>4</v>
      </c>
      <c r="O76" s="8" t="inlineStr">
        <is>
          <t>PL-008</t>
        </is>
      </c>
      <c r="P76" s="8" t="inlineStr">
        <is>
          <t>SRC-039</t>
        </is>
      </c>
      <c r="Q76" s="8" t="inlineStr">
        <is>
          <t>The Met — Kodak and the Rise of Amateur Photography</t>
        </is>
      </c>
      <c r="R76" s="8" t="inlineStr">
        <is>
          <t>https://www.metmuseum.org/essays/kodak-and-the-rise-of-amateur-photography</t>
        </is>
      </c>
      <c r="S76" s="8" t="n">
        <v>5</v>
      </c>
      <c r="T76" s="8" t="inlineStr">
        <is>
          <t>Для PHOTO LAB это важный мост: массовая фотография сразу связана с лабораторией и печатью.</t>
        </is>
      </c>
      <c r="U76" s="8" t="inlineStr">
        <is>
          <t>Маршрут: пользователь снимает → лаборатория проявляет → отпечатки возвращаются.</t>
        </is>
      </c>
      <c r="V76" s="8" t="inlineStr">
        <is>
          <t>#PL008 #processing #photo-lab #Kodak-service #prints</t>
        </is>
      </c>
      <c r="W76" s="8" t="n"/>
      <c r="X76" s="8" t="inlineStr">
        <is>
          <t>43.1566, -77.6088</t>
        </is>
      </c>
      <c r="Y76" s="8" t="inlineStr">
        <is>
          <t>Snapshot-культура / сервисная обработка</t>
        </is>
      </c>
      <c r="Z76" s="8" t="inlineStr">
        <is>
          <t>Распространение / коммерциализация</t>
        </is>
      </c>
      <c r="AA76" s="8" t="n"/>
    </row>
    <row r="77" ht="17" customHeight="1" s="72">
      <c r="A77" s="8" t="inlineStr">
        <is>
          <t>PL-HIST-0076</t>
        </is>
      </c>
      <c r="B77" s="8" t="inlineStr">
        <is>
          <t>1900–1980-е</t>
        </is>
      </c>
      <c r="C77" s="8" t="inlineStr">
        <is>
          <t>диапазон</t>
        </is>
      </c>
      <c r="D77" s="8" t="inlineStr">
        <is>
          <t>США / Великобритания / глобально</t>
        </is>
      </c>
      <c r="E77" s="8" t="inlineStr">
        <is>
          <t>распределённый процесс</t>
        </is>
      </c>
      <c r="F77" s="8" t="inlineStr">
        <is>
          <t>Eastman Kodak / пользователи Brownie</t>
        </is>
      </c>
      <c r="G77" s="8" t="inlineStr">
        <is>
          <t>Линейка Brownie живёт десятилетиями и закрепляет образ простой камеры для всех.</t>
        </is>
      </c>
      <c r="H77" s="8" t="inlineStr">
        <is>
          <t>Негатив-позитив</t>
        </is>
      </c>
      <c r="I77" s="8" t="inlineStr">
        <is>
          <t>Brownie camera line</t>
        </is>
      </c>
      <c r="J77" s="8" t="inlineStr">
        <is>
          <t>Brownie становится не одиночной моделью, а длительной культурной идеей: простая камера, доступная широкой аудитории.</t>
        </is>
      </c>
      <c r="K77" s="8" t="inlineStr">
        <is>
          <t>Brownie No. 1 и ранняя массовая фотография</t>
        </is>
      </c>
      <c r="L77" s="8" t="inlineStr">
        <is>
          <t>Долгая традиция простых потребительских камер XX века</t>
        </is>
      </c>
      <c r="M77" s="8" t="inlineStr">
        <is>
          <t>Временная доминирующая линия</t>
        </is>
      </c>
      <c r="N77" s="8" t="n">
        <v>4</v>
      </c>
      <c r="O77" s="8" t="inlineStr">
        <is>
          <t>PL-008</t>
        </is>
      </c>
      <c r="P77" s="8" t="inlineStr">
        <is>
          <t>SRC-047</t>
        </is>
      </c>
      <c r="Q77" s="8" t="inlineStr">
        <is>
          <t>National Science and Media Museum — B is for Brownie</t>
        </is>
      </c>
      <c r="R77" s="8" t="inlineStr">
        <is>
          <t>https://blog.scienceandmediamuseum.org.uk/a-z-photography-collection-b-is-for-brownie/</t>
        </is>
      </c>
      <c r="S77" s="8" t="n">
        <v>4</v>
      </c>
      <c r="T77" s="8" t="inlineStr">
        <is>
          <t>Важно: Brownie — это не только камера 1900 года, а символ народной фотографии на десятилетия.</t>
        </is>
      </c>
      <c r="U77" s="8" t="inlineStr">
        <is>
          <t>Таймлайн с разными поколениями Brownie как одной длинной народной линии.</t>
        </is>
      </c>
      <c r="V77" s="8" t="inlineStr">
        <is>
          <t>#PL008 #Brownie #camera-line #consumer-cameras</t>
        </is>
      </c>
      <c r="W77" s="8" t="inlineStr">
        <is>
          <t>Уточнить конкретные годы производства отдельных моделей Brownie при расширении темы.</t>
        </is>
      </c>
      <c r="X77" s="8" t="n"/>
      <c r="Y77" s="8" t="inlineStr">
        <is>
          <t>Brownie / долгий жизненный цикл</t>
        </is>
      </c>
      <c r="Z77" s="8" t="inlineStr">
        <is>
          <t>Распространение / коммерциализация</t>
        </is>
      </c>
      <c r="AA77" s="8" t="n"/>
    </row>
    <row r="78" ht="17" customHeight="1" s="72">
      <c r="A78" s="8" t="inlineStr">
        <is>
          <t>PL-HIST-0077</t>
        </is>
      </c>
      <c r="B78" s="8" t="inlineStr">
        <is>
          <t>1888–1978</t>
        </is>
      </c>
      <c r="C78" s="8" t="inlineStr">
        <is>
          <t>диапазон</t>
        </is>
      </c>
      <c r="D78" s="8" t="inlineStr">
        <is>
          <t>США</t>
        </is>
      </c>
      <c r="E78" s="8" t="inlineStr">
        <is>
          <t>США / музейные коллекции</t>
        </is>
      </c>
      <c r="F78" s="8" t="inlineStr">
        <is>
          <t>Неизвестные фотографы / snapshot-архивы</t>
        </is>
      </c>
      <c r="G78" s="8" t="inlineStr">
        <is>
          <t>Массовые любительские снимки позже становятся историческим и культурным архивом повседневной жизни.</t>
        </is>
      </c>
      <c r="H78" s="8" t="inlineStr">
        <is>
          <t>Печать / тиражирование</t>
        </is>
      </c>
      <c r="I78" s="8" t="inlineStr">
        <is>
          <t>Vernacular photography / snapshot archive</t>
        </is>
      </c>
      <c r="J78" s="8" t="inlineStr">
        <is>
          <t>То, что начиналось как личные карточки «для себя», становится материалом для изучения общества, семьи, досуга и визуальной культуры.</t>
        </is>
      </c>
      <c r="K78" s="8" t="inlineStr">
        <is>
          <t>Kodak roll film и Brownie расширяют количество любительских снимков</t>
        </is>
      </c>
      <c r="L78" s="8" t="inlineStr">
        <is>
          <t>История vernacular photography и коллекционирование бытовых снимков</t>
        </is>
      </c>
      <c r="M78" s="8" t="inlineStr">
        <is>
          <t>Переходная технология</t>
        </is>
      </c>
      <c r="N78" s="8" t="n">
        <v>3</v>
      </c>
      <c r="O78" s="8" t="inlineStr">
        <is>
          <t>PL-008</t>
        </is>
      </c>
      <c r="P78" s="8" t="inlineStr">
        <is>
          <t>SRC-049</t>
        </is>
      </c>
      <c r="Q78" s="8" t="inlineStr">
        <is>
          <t>National Gallery of Art — The Art of the American Snapshot, 1888–1978</t>
        </is>
      </c>
      <c r="R78" s="8" t="inlineStr">
        <is>
          <t>https://www.nga.gov/exhibitions/art-american-snapshot-1888-1978-collection-robert-e-jackson</t>
        </is>
      </c>
      <c r="S78" s="8" t="n">
        <v>5</v>
      </c>
      <c r="T78" s="8" t="inlineStr">
        <is>
          <t>Смысл для начинающего: даже обычный семейный снимок со временем может стать историческим документом.</t>
        </is>
      </c>
      <c r="U78" s="8" t="inlineStr">
        <is>
          <t>Коробка старых снимков превращается в музейный архив.</t>
        </is>
      </c>
      <c r="V78" s="8" t="inlineStr">
        <is>
          <t>#PL008 #vernacular #snapshot-archive #museum #everyday-history</t>
        </is>
      </c>
      <c r="W78" s="8" t="n"/>
      <c r="X78" s="8" t="n"/>
      <c r="Y78" s="8" t="inlineStr">
        <is>
          <t>Snapshot-культура / культурный архив</t>
        </is>
      </c>
      <c r="Z78" s="8" t="inlineStr">
        <is>
          <t>Применение / жанр</t>
        </is>
      </c>
      <c r="AA78" s="8" t="n"/>
    </row>
    <row r="79" ht="17" customHeight="1" s="72">
      <c r="A79" s="8" t="inlineStr">
        <is>
          <t>PL-HIST-0078</t>
        </is>
      </c>
      <c r="B79" s="8" t="inlineStr">
        <is>
          <t>1913 / 1925</t>
        </is>
      </c>
      <c r="C79" s="8" t="inlineStr">
        <is>
          <t>диапазон</t>
        </is>
      </c>
      <c r="D79" s="8" t="inlineStr">
        <is>
          <t>Германия</t>
        </is>
      </c>
      <c r="E79" s="8" t="inlineStr">
        <is>
          <t>Вецлар / Лейпциг</t>
        </is>
      </c>
      <c r="F79" s="8" t="inlineStr">
        <is>
          <t>Оскар Барнак / Leica</t>
        </is>
      </c>
      <c r="G79" s="8" t="inlineStr">
        <is>
          <t>После массовых box-камер следующий большой вопрос — как сделать камеру компактной, быстрой и качественной; к этому ведёт линия 35 мм и Leica.</t>
        </is>
      </c>
      <c r="H79" s="8" t="inlineStr">
        <is>
          <t>Негатив-позитив</t>
        </is>
      </c>
      <c r="I79" s="8" t="inlineStr">
        <is>
          <t>Bridge to 35mm miniature photography</t>
        </is>
      </c>
      <c r="J79" s="8" t="inlineStr">
        <is>
          <t>Фотография уже стала массовой, но следующий этап — сделать маленькую камеру серьёзным инструментом для живой съёмки.</t>
        </is>
      </c>
      <c r="K79" s="8" t="inlineStr">
        <is>
          <t>Brownie и snapshot-культура показывают силу простой камеры</t>
        </is>
      </c>
      <c r="L79" s="8" t="inlineStr">
        <is>
          <t>PL-009: 35 мм, Leica и новая мобильность фотографа</t>
        </is>
      </c>
      <c r="M79" s="8" t="inlineStr">
        <is>
          <t>Связь / переход</t>
        </is>
      </c>
      <c r="N79" s="8" t="n">
        <v>5</v>
      </c>
      <c r="O79" s="8" t="inlineStr">
        <is>
          <t>PL-008</t>
        </is>
      </c>
      <c r="P79" s="8" t="inlineStr">
        <is>
          <t>SRC-051</t>
        </is>
      </c>
      <c r="Q79" s="8" t="inlineStr">
        <is>
          <t>Smithsonian NMAH — Leica 35 mm 1(A) Camera</t>
        </is>
      </c>
      <c r="R79" s="8" t="inlineStr">
        <is>
          <t>https://americanhistory.si.edu/collections/object/nmah_834692</t>
        </is>
      </c>
      <c r="S79" s="8" t="n">
        <v>5</v>
      </c>
      <c r="T79" s="8" t="inlineStr">
        <is>
          <t>Это мост к PL-009: после «камеры для всех» появится идея компактной камеры для быстрой и качественной фотографии.</t>
        </is>
      </c>
      <c r="U79" s="8" t="inlineStr">
        <is>
          <t>Линия от коробочной Brownie к маленькой 35-мм камере Leica.</t>
        </is>
      </c>
      <c r="V79" s="8" t="inlineStr">
        <is>
          <t>#PL008 #bridge #Leica #35mm #future-PL</t>
        </is>
      </c>
      <c r="W79" s="8" t="inlineStr">
        <is>
          <t>При заполнении PL-009 уточнить отдельно Ur-Leica 1913, Leica I 1925 и роль 35-мм кино-плёнки.</t>
        </is>
      </c>
      <c r="X79" s="8" t="inlineStr">
        <is>
          <t>50.5619, 8.5044</t>
        </is>
      </c>
      <c r="Y79" s="8" t="inlineStr">
        <is>
          <t>Brownie / мост к 35 мм</t>
        </is>
      </c>
      <c r="Z79" s="8" t="inlineStr">
        <is>
          <t>Связь / переход</t>
        </is>
      </c>
      <c r="AA79" s="8" t="n"/>
    </row>
    <row r="80" ht="17" customHeight="1" s="72">
      <c r="A80" s="75" t="inlineStr">
        <is>
          <t>PL-HIST-0079</t>
        </is>
      </c>
      <c r="B80" s="75" t="inlineStr">
        <is>
          <t>1889</t>
        </is>
      </c>
      <c r="C80" s="75" t="inlineStr">
        <is>
          <t>год</t>
        </is>
      </c>
      <c r="D80" s="75" t="inlineStr">
        <is>
          <t>США</t>
        </is>
      </c>
      <c r="E80" s="75" t="inlineStr">
        <is>
          <t>Рочестер, Нью-Йорк</t>
        </is>
      </c>
      <c r="F80" s="75" t="inlineStr">
        <is>
          <t>Джордж Истмен / Eastman Kodak</t>
        </is>
      </c>
      <c r="G80" s="75" t="inlineStr">
        <is>
          <t>Промышленная прозрачная рулонная плёнка Eastman создаёт гибкий носитель, из которого вскоре вырастет киноформат 35 мм.</t>
        </is>
      </c>
      <c r="H80" s="75" t="inlineStr">
        <is>
          <t>Негатив-позитив</t>
        </is>
      </c>
      <c r="I80" s="75" t="inlineStr">
        <is>
          <t>Transparent roll film</t>
        </is>
      </c>
      <c r="J80" s="75" t="inlineStr">
        <is>
          <t>Плёнка становится не только альтернативой стеклянной пластине, но и материалом для длинной последовательности кадров.</t>
        </is>
      </c>
      <c r="K80" s="75" t="inlineStr">
        <is>
          <t>Рулонная плёнка Kodak 1888–1889</t>
        </is>
      </c>
      <c r="L80" s="75" t="inlineStr">
        <is>
          <t>Edison/Dickson use flexible film for motion-picture camera</t>
        </is>
      </c>
      <c r="M80" s="75" t="inlineStr">
        <is>
          <t>Связь / переход</t>
        </is>
      </c>
      <c r="N80" s="75" t="n">
        <v>5</v>
      </c>
      <c r="O80" s="75" t="inlineStr">
        <is>
          <t>PL-009</t>
        </is>
      </c>
      <c r="P80" s="75" t="inlineStr">
        <is>
          <t>SRC-052</t>
        </is>
      </c>
      <c r="Q80" s="75" t="inlineStr">
        <is>
          <t>Kodak — Motion Picture History</t>
        </is>
      </c>
      <c r="R80" s="75" t="inlineStr">
        <is>
          <t>https://www.kodak.com/en/company/page/motion-picture-history/</t>
        </is>
      </c>
      <c r="S80" s="75" t="n">
        <v>5</v>
      </c>
      <c r="T80" s="75" t="inlineStr">
        <is>
          <t>Для PL-009 важно показать: 35 мм родился не сразу как фотоплёнка для фотоаппарата, а через кинематографический носитель.</t>
        </is>
      </c>
      <c r="U80" s="75" t="inlineStr">
        <is>
          <t>Рулон прозрачной плёнки превращается в длинную дорожку кадров.</t>
        </is>
      </c>
      <c r="V80" s="75" t="inlineStr">
        <is>
          <t>#PL009 #35mm #transparent-film #Eastman #cinema-roots</t>
        </is>
      </c>
      <c r="W80" s="75" t="n"/>
      <c r="X80" s="75" t="inlineStr">
        <is>
          <t>43.1566, -77.6088</t>
        </is>
      </c>
      <c r="Y80" s="75" t="inlineStr">
        <is>
          <t>35 мм / прозрачная рулонная плёнка</t>
        </is>
      </c>
      <c r="Z80" s="75" t="inlineStr">
        <is>
          <t>Связь / переход</t>
        </is>
      </c>
      <c r="AA80" s="75" t="n"/>
    </row>
    <row r="81" ht="17" customHeight="1" s="72">
      <c r="A81" s="75" t="inlineStr">
        <is>
          <t>PL-HIST-0080</t>
        </is>
      </c>
      <c r="B81" s="75" t="inlineStr">
        <is>
          <t>1891</t>
        </is>
      </c>
      <c r="C81" s="75" t="inlineStr">
        <is>
          <t>год</t>
        </is>
      </c>
      <c r="D81" s="75" t="inlineStr">
        <is>
          <t>США</t>
        </is>
      </c>
      <c r="E81" s="75" t="inlineStr">
        <is>
          <t>Вест-Ориндж, Нью-Джерси</t>
        </is>
      </c>
      <c r="F81" s="75" t="inlineStr">
        <is>
          <t>Томас Эдисон / Уильям К. Л. Диксон</t>
        </is>
      </c>
      <c r="G81" s="75" t="inlineStr">
        <is>
          <t>В лаборатории Эдисона разрабатываются Kinetograph и Kinetoscope; в патентной логике ширина плёнки фиксируется как 35 мм.</t>
        </is>
      </c>
      <c r="H81" s="75" t="inlineStr">
        <is>
          <t>Проекция / распространение</t>
        </is>
      </c>
      <c r="I81" s="75" t="inlineStr">
        <is>
          <t>Kinetograph / Kinetoscope 35 mm film</t>
        </is>
      </c>
      <c r="J81" s="75" t="inlineStr">
        <is>
          <t>35 мм начинает работать как практический формат для записи и показа движущегося изображения.</t>
        </is>
      </c>
      <c r="K81" s="75" t="inlineStr">
        <is>
          <t>Прозрачная рулонная плёнка Eastman</t>
        </is>
      </c>
      <c r="L81" s="75" t="inlineStr">
        <is>
          <t>35 мм закрепляется в кино как рабочий стандарт</t>
        </is>
      </c>
      <c r="M81" s="75" t="inlineStr">
        <is>
          <t>Главная линия</t>
        </is>
      </c>
      <c r="N81" s="75" t="n">
        <v>5</v>
      </c>
      <c r="O81" s="75" t="inlineStr">
        <is>
          <t>PL-009</t>
        </is>
      </c>
      <c r="P81" s="75" t="inlineStr">
        <is>
          <t>SRC-053</t>
        </is>
      </c>
      <c r="Q81" s="75" t="inlineStr">
        <is>
          <t>Library of Congress — Origins of Motion Pictures</t>
        </is>
      </c>
      <c r="R81" s="75" t="inlineStr">
        <is>
          <t>https://www.loc.gov/collections/edison-company-motion-pictures-and-sound-recordings/articles-and-essays/history-of-edison-motion-pictures/origins-of-motion-pictures/</t>
        </is>
      </c>
      <c r="S81" s="75" t="n">
        <v>5</v>
      </c>
      <c r="T81" s="75" t="inlineStr">
        <is>
          <t>Объяснить аккуратно: это ещё не фотоаппарат Leica, а кинематографический стандарт, который позже будет переосмыслен фотографией.</t>
        </is>
      </c>
      <c r="U81" s="75" t="inlineStr">
        <is>
          <t>Лаборатория Эдисона: лента плёнки проходит через механизм с перфорацией.</t>
        </is>
      </c>
      <c r="V81" s="75" t="inlineStr">
        <is>
          <t>#PL009 #Edison #Dickson #Kinetograph #35mm</t>
        </is>
      </c>
      <c r="W81" s="75" t="n"/>
      <c r="X81" s="75" t="inlineStr">
        <is>
          <t>40.7987, -74.2390</t>
        </is>
      </c>
      <c r="Y81" s="75" t="inlineStr">
        <is>
          <t>35 мм / киноистоки</t>
        </is>
      </c>
      <c r="Z81" s="75" t="inlineStr">
        <is>
          <t>Технология / процесс</t>
        </is>
      </c>
      <c r="AA81" s="75" t="n"/>
    </row>
    <row r="82" ht="17" customHeight="1" s="72">
      <c r="A82" s="75" t="inlineStr">
        <is>
          <t>PL-HIST-0081</t>
        </is>
      </c>
      <c r="B82" s="75" t="inlineStr">
        <is>
          <t>1890-е</t>
        </is>
      </c>
      <c r="C82" s="75" t="inlineStr">
        <is>
          <t>диапазон</t>
        </is>
      </c>
      <c r="D82" s="75" t="inlineStr">
        <is>
          <t>США</t>
        </is>
      </c>
      <c r="E82" s="75" t="inlineStr">
        <is>
          <t>Вест-Ориндж, Нью-Джерси</t>
        </is>
      </c>
      <c r="F82" s="75" t="inlineStr">
        <is>
          <t>Уильям К. Л. Диксон / Kodak</t>
        </is>
      </c>
      <c r="G82" s="75" t="inlineStr">
        <is>
          <t>Диксон использует прозрачную плёнку Kodak шириной 70 мм, разрезает её пополам до 35 мм и перфорирует для Edison Kinetoscope.</t>
        </is>
      </c>
      <c r="H82" s="75" t="inlineStr">
        <is>
          <t>Проекция / распространение</t>
        </is>
      </c>
      <c r="I82" s="75" t="inlineStr">
        <is>
          <t>35 mm perforated motion-picture film</t>
        </is>
      </c>
      <c r="J82" s="75" t="inlineStr">
        <is>
          <t>Появляется физическая логика формата: узкая гибкая лента, перфорация, кадры, механическая протяжка.</t>
        </is>
      </c>
      <c r="K82" s="75" t="inlineStr">
        <is>
          <t>Transparent Kodak film</t>
        </is>
      </c>
      <c r="L82" s="75" t="inlineStr">
        <is>
          <t>International 35 mm motion-picture practice</t>
        </is>
      </c>
      <c r="M82" s="75" t="inlineStr">
        <is>
          <t>Главная линия</t>
        </is>
      </c>
      <c r="N82" s="75" t="n">
        <v>5</v>
      </c>
      <c r="O82" s="75" t="inlineStr">
        <is>
          <t>PL-009</t>
        </is>
      </c>
      <c r="P82" s="75" t="inlineStr">
        <is>
          <t>SRC-054</t>
        </is>
      </c>
      <c r="Q82" s="75" t="inlineStr">
        <is>
          <t>George Eastman Museum — Early Kodak transparent film</t>
        </is>
      </c>
      <c r="R82" s="75" t="inlineStr">
        <is>
          <t>https://www.eastman.org/two-rare-rolls-early-kodak-film-acquired-george-eastman-museum</t>
        </is>
      </c>
      <c r="S82" s="75" t="n">
        <v>5</v>
      </c>
      <c r="T82" s="75" t="inlineStr">
        <is>
          <t>Это красивый узел для карты: 70 мм делится пополам — и рождается 35-мм дорожка.</t>
        </is>
      </c>
      <c r="U82" s="75" t="inlineStr">
        <is>
          <t>70-мм рулон плёнки разрезан на две 35-мм ленты с перфорацией.</t>
        </is>
      </c>
      <c r="V82" s="75" t="inlineStr">
        <is>
          <t>#PL009 #Dickson #Kodak #perforation #35mm-film</t>
        </is>
      </c>
      <c r="W82" s="75" t="inlineStr">
        <is>
          <t>Проверить формулировку периода: точный год разрезания 70 мм на 35 мм в разных источниках может отличаться.</t>
        </is>
      </c>
      <c r="X82" s="75" t="inlineStr">
        <is>
          <t>40.7987, -74.2390</t>
        </is>
      </c>
      <c r="Y82" s="75" t="inlineStr">
        <is>
          <t>35 мм / ширина и перфорация</t>
        </is>
      </c>
      <c r="Z82" s="75" t="inlineStr">
        <is>
          <t>Ключевой исторический узел</t>
        </is>
      </c>
      <c r="AA82" s="75" t="n"/>
    </row>
    <row r="83" ht="17" customHeight="1" s="72">
      <c r="A83" s="75" t="inlineStr">
        <is>
          <t>PL-HIST-0082</t>
        </is>
      </c>
      <c r="B83" s="75" t="inlineStr">
        <is>
          <t>1893–1894</t>
        </is>
      </c>
      <c r="C83" s="75" t="inlineStr">
        <is>
          <t>диапазон</t>
        </is>
      </c>
      <c r="D83" s="75" t="inlineStr">
        <is>
          <t>США</t>
        </is>
      </c>
      <c r="E83" s="75" t="inlineStr">
        <is>
          <t>Вест-Ориндж / Нью-Йорк</t>
        </is>
      </c>
      <c r="F83" s="75" t="inlineStr">
        <is>
          <t>Edison Manufacturing Company / зрители Kinetoscope</t>
        </is>
      </c>
      <c r="G83" s="75" t="inlineStr">
        <is>
          <t>Kinetoscope показывает движущиеся изображения на 35-мм перфорированной плёнке и превращает формат в публичный медианоситель.</t>
        </is>
      </c>
      <c r="H83" s="75" t="inlineStr">
        <is>
          <t>Проекция / распространение</t>
        </is>
      </c>
      <c r="I83" s="75" t="inlineStr">
        <is>
          <t>35 mm Kinetoscope viewing</t>
        </is>
      </c>
      <c r="J83" s="75" t="inlineStr">
        <is>
          <t>35 мм становится не лабораторной пробой, а частью публичной визуальной культуры.</t>
        </is>
      </c>
      <c r="K83" s="75" t="inlineStr">
        <is>
          <t>Kinetograph and perforated 35 mm film</t>
        </is>
      </c>
      <c r="L83" s="75" t="inlineStr">
        <is>
          <t>Dominance of 35 mm motion-picture projection and production</t>
        </is>
      </c>
      <c r="M83" s="75" t="inlineStr">
        <is>
          <t>Главная линия / временная доминирующая линия</t>
        </is>
      </c>
      <c r="N83" s="75" t="n">
        <v>4</v>
      </c>
      <c r="O83" s="75" t="inlineStr">
        <is>
          <t>PL-009</t>
        </is>
      </c>
      <c r="P83" s="75" t="inlineStr">
        <is>
          <t>SRC-055</t>
        </is>
      </c>
      <c r="Q83" s="75" t="inlineStr">
        <is>
          <t>George Eastman Museum — Kinetoscope</t>
        </is>
      </c>
      <c r="R83" s="75" t="inlineStr">
        <is>
          <t>https://collections.eastman.org/objects/78087/kinetoscope</t>
        </is>
      </c>
      <c r="S83" s="75" t="n">
        <v>5</v>
      </c>
      <c r="T83" s="75" t="inlineStr">
        <is>
          <t>Новичку важно: до Leica 35 мм уже был массовым форматом движения и развлечения.</t>
        </is>
      </c>
      <c r="U83" s="75" t="inlineStr">
        <is>
          <t>Аппарат Kinetoscope с лентой 35 мм внутри и зрителем у окуляра.</t>
        </is>
      </c>
      <c r="V83" s="75" t="inlineStr">
        <is>
          <t>#PL009 #Kinetoscope #cinema #35mm #public-viewing</t>
        </is>
      </c>
      <c r="W83" s="75" t="n"/>
      <c r="X83" s="75" t="inlineStr">
        <is>
          <t>40.7128, -74.0060</t>
        </is>
      </c>
      <c r="Y83" s="75" t="inlineStr">
        <is>
          <t>35 мм / Kinetoscope</t>
        </is>
      </c>
      <c r="Z83" s="75" t="inlineStr">
        <is>
          <t>Распространение / коммерциализация</t>
        </is>
      </c>
      <c r="AA83" s="75" t="n"/>
    </row>
    <row r="84" ht="17" customHeight="1" s="72">
      <c r="A84" s="75" t="inlineStr">
        <is>
          <t>PL-HIST-0083</t>
        </is>
      </c>
      <c r="B84" s="75" t="inlineStr">
        <is>
          <t>1908–1909</t>
        </is>
      </c>
      <c r="C84" s="75" t="inlineStr">
        <is>
          <t>диапазон</t>
        </is>
      </c>
      <c r="D84" s="75" t="inlineStr">
        <is>
          <t>международный процесс</t>
        </is>
      </c>
      <c r="E84" s="75" t="inlineStr">
        <is>
          <t>США / Европа</t>
        </is>
      </c>
      <c r="F84" s="75" t="inlineStr">
        <is>
          <t>Киноиндустрия / MPPC / производители оборудования</t>
        </is>
      </c>
      <c r="G84" s="75" t="inlineStr">
        <is>
          <t>35-мм киноплёнка с четырьмя перфорациями на кадр фактически закрепляется как международный производственный и прокатный стандарт.</t>
        </is>
      </c>
      <c r="H84" s="75" t="inlineStr">
        <is>
          <t>Проекция / распространение</t>
        </is>
      </c>
      <c r="I84" s="75" t="inlineStr">
        <is>
          <t>35 mm motion-picture standard</t>
        </is>
      </c>
      <c r="J84" s="75" t="inlineStr">
        <is>
          <t>Стандартизация делает формат удобным для индустрии: камеры, проекторы, лаборатории и прокат начинают говорить на одном техническом языке.</t>
        </is>
      </c>
      <c r="K84" s="75" t="inlineStr">
        <is>
          <t>Edison/Dickson 35 mm practice</t>
        </is>
      </c>
      <c r="L84" s="75" t="inlineStr">
        <is>
          <t>35 mm cine film becomes available for still-camera reinterpretation</t>
        </is>
      </c>
      <c r="M84" s="75" t="inlineStr">
        <is>
          <t>Главная линия / временная доминирующая линия</t>
        </is>
      </c>
      <c r="N84" s="75" t="n">
        <v>4</v>
      </c>
      <c r="O84" s="75" t="inlineStr">
        <is>
          <t>PL-009</t>
        </is>
      </c>
      <c r="P84" s="75" t="inlineStr">
        <is>
          <t>SRC-056</t>
        </is>
      </c>
      <c r="Q84" s="75" t="inlineStr">
        <is>
          <t>SMPTE Journal — The Origins of 35mm Film as a Standard</t>
        </is>
      </c>
      <c r="R84" s="75" t="inlineStr">
        <is>
          <t>https://journal.smpte.org/periodicals/SMPTE%20Journal/99/8/22/</t>
        </is>
      </c>
      <c r="S84" s="75" t="n">
        <v>4</v>
      </c>
      <c r="T84" s="75" t="inlineStr">
        <is>
          <t>Это узел про стандарт: когда формат становится общим языком, его легче взять и переосмыслить в фотографии.</t>
        </is>
      </c>
      <c r="U84" s="75" t="inlineStr">
        <is>
          <t>Схема: камера → плёнка 35 мм → проектор → общий стандарт.</t>
        </is>
      </c>
      <c r="V84" s="75" t="inlineStr">
        <is>
          <t>#PL009 #35mm-standard #cinema #SMPTE #MPPC</t>
        </is>
      </c>
      <c r="W84" s="75" t="inlineStr">
        <is>
          <t>Проверить детали 1908–1909 и роль MPPC при финальной редакции лекции.</t>
        </is>
      </c>
      <c r="X84" s="75" t="n"/>
      <c r="Y84" s="75" t="inlineStr">
        <is>
          <t>35 мм / международный стандарт</t>
        </is>
      </c>
      <c r="Z84" s="75" t="inlineStr">
        <is>
          <t>Ключевой исторический узел</t>
        </is>
      </c>
      <c r="AA84" s="75" t="n"/>
    </row>
    <row r="85" ht="17" customHeight="1" s="72">
      <c r="A85" s="75" t="inlineStr">
        <is>
          <t>PL-HIST-0084</t>
        </is>
      </c>
      <c r="B85" s="75" t="inlineStr">
        <is>
          <t>1913–1914</t>
        </is>
      </c>
      <c r="C85" s="75" t="inlineStr">
        <is>
          <t>диапазон</t>
        </is>
      </c>
      <c r="D85" s="75" t="inlineStr">
        <is>
          <t>Германия</t>
        </is>
      </c>
      <c r="E85" s="75" t="inlineStr">
        <is>
          <t>Вецлар</t>
        </is>
      </c>
      <c r="F85" s="75" t="inlineStr">
        <is>
          <t>Оскар Барнак / Ernst Leitz</t>
        </is>
      </c>
      <c r="G85" s="75" t="inlineStr">
        <is>
          <t>Оскар Барнак создаёт прототип Ur-Leica: поворачивает 35-мм киноплёнку в горизонтальную ориентацию и получает кадр 24×36 мм.</t>
        </is>
      </c>
      <c r="H85" s="75" t="inlineStr">
        <is>
          <t>Негатив-позитив</t>
        </is>
      </c>
      <c r="I85" s="75" t="inlineStr">
        <is>
          <t>24×36 mm still frame on 35 mm film</t>
        </is>
      </c>
      <c r="J85" s="75" t="inlineStr">
        <is>
          <t>Киноноситель становится фотографическим форматом: маленький негатив можно увеличить до полноценного отпечатка.</t>
        </is>
      </c>
      <c r="K85" s="75" t="inlineStr">
        <is>
          <t>35 mm motion-picture standard</t>
        </is>
      </c>
      <c r="L85" s="75" t="inlineStr">
        <is>
          <t>Leica I and small-format photography</t>
        </is>
      </c>
      <c r="M85" s="75" t="inlineStr">
        <is>
          <t>Главная линия</t>
        </is>
      </c>
      <c r="N85" s="75" t="n">
        <v>5</v>
      </c>
      <c r="O85" s="75" t="inlineStr">
        <is>
          <t>PL-009</t>
        </is>
      </c>
      <c r="P85" s="75" t="inlineStr">
        <is>
          <t>SRC-057</t>
        </is>
      </c>
      <c r="Q85" s="75" t="inlineStr">
        <is>
          <t>Leica Timeline — 1914</t>
        </is>
      </c>
      <c r="R85" s="75" t="inlineStr">
        <is>
          <t>https://timeline.leica-camera.com/en-US/years/1914</t>
        </is>
      </c>
      <c r="S85" s="75" t="n">
        <v>5</v>
      </c>
      <c r="T85" s="75" t="inlineStr">
        <is>
          <t>Главная идея PL-009: не просто плёнка 35 мм, а поворот мышления — киноформат превращают в компактную фотографическую систему.</t>
        </is>
      </c>
      <c r="U85" s="75" t="inlineStr">
        <is>
          <t>35-мм кинолента поворачивается горизонтально; появляется прямоугольник 24×36.</t>
        </is>
      </c>
      <c r="V85" s="75" t="inlineStr">
        <is>
          <t>#PL009 #Ur-Leica #Oskar-Barnack #24x36 #35mm</t>
        </is>
      </c>
      <c r="W85" s="75" t="n"/>
      <c r="X85" s="75" t="inlineStr">
        <is>
          <t>50.5619, 8.5044</t>
        </is>
      </c>
      <c r="Y85" s="75" t="inlineStr">
        <is>
          <t>35 мм / 24×36</t>
        </is>
      </c>
      <c r="Z85" s="75" t="inlineStr">
        <is>
          <t>Ключевой исторический узел</t>
        </is>
      </c>
      <c r="AA85" s="75" t="inlineStr">
        <is>
          <t>да</t>
        </is>
      </c>
    </row>
    <row r="86" ht="17" customHeight="1" s="72">
      <c r="A86" s="75" t="inlineStr">
        <is>
          <t>PL-HIST-0085</t>
        </is>
      </c>
      <c r="B86" s="75" t="inlineStr">
        <is>
          <t>1920</t>
        </is>
      </c>
      <c r="C86" s="75" t="inlineStr">
        <is>
          <t>год</t>
        </is>
      </c>
      <c r="D86" s="75" t="inlineStr">
        <is>
          <t>Германия</t>
        </is>
      </c>
      <c r="E86" s="75" t="inlineStr">
        <is>
          <t>Вецлар</t>
        </is>
      </c>
      <c r="F86" s="75" t="inlineStr">
        <is>
          <t>Оскар Барнак</t>
        </is>
      </c>
      <c r="G86" s="75" t="inlineStr">
        <is>
          <t>Барнак снимает на прототип Leica наводнение в Вецларе; серия часто рассматривается как ранний пример 35-мм репортажной фотографии.</t>
        </is>
      </c>
      <c r="H86" s="75" t="inlineStr">
        <is>
          <t>Негатив-позитив</t>
        </is>
      </c>
      <c r="I86" s="75" t="inlineStr">
        <is>
          <t>35 mm reportage series</t>
        </is>
      </c>
      <c r="J86" s="75" t="inlineStr">
        <is>
          <t>Компактная камера показывает свою силу: фотограф может быть ближе к событию и двигаться быстрее.</t>
        </is>
      </c>
      <c r="K86" s="75" t="inlineStr">
        <is>
          <t>Ur-Leica prototype and 24×36 format</t>
        </is>
      </c>
      <c r="L86" s="75" t="inlineStr">
        <is>
          <t>Small camera becomes tool for reportage and street photography</t>
        </is>
      </c>
      <c r="M86" s="75" t="inlineStr">
        <is>
          <t>Переходная технология</t>
        </is>
      </c>
      <c r="N86" s="75" t="n">
        <v>4</v>
      </c>
      <c r="O86" s="75" t="inlineStr">
        <is>
          <t>PL-009</t>
        </is>
      </c>
      <c r="P86" s="75" t="inlineStr">
        <is>
          <t>SRC-058</t>
        </is>
      </c>
      <c r="Q86" s="75" t="inlineStr">
        <is>
          <t>Leica Oskar Barnack Award — Oskar Barnack</t>
        </is>
      </c>
      <c r="R86" s="75" t="inlineStr">
        <is>
          <t>https://www.leica-oskar-barnack-award.com/en/information/oskar-barnack.html</t>
        </is>
      </c>
      <c r="S86" s="75" t="n">
        <v>5</v>
      </c>
      <c r="T86" s="75" t="inlineStr">
        <is>
          <t>Важно для storytelling: 35 мм меняет не только технику, но и поведение фотографа — он становится мобильным наблюдателем.</t>
        </is>
      </c>
      <c r="U86" s="75" t="inlineStr">
        <is>
          <t>Фотограф с маленькой камерой среди реального события, не в студии.</t>
        </is>
      </c>
      <c r="V86" s="75" t="inlineStr">
        <is>
          <t>#PL009 #reportage #Barnack #Wetzlar #35mm</t>
        </is>
      </c>
      <c r="W86" s="75" t="n"/>
      <c r="X86" s="75" t="inlineStr">
        <is>
          <t>50.5619, 8.5044</t>
        </is>
      </c>
      <c r="Y86" s="75" t="inlineStr">
        <is>
          <t>35 мм / репортажность</t>
        </is>
      </c>
      <c r="Z86" s="75" t="inlineStr">
        <is>
          <t>Применение / жанр</t>
        </is>
      </c>
      <c r="AA86" s="75" t="n"/>
    </row>
    <row r="87" ht="17" customHeight="1" s="72">
      <c r="A87" s="75" t="inlineStr">
        <is>
          <t>PL-HIST-0086</t>
        </is>
      </c>
      <c r="B87" s="75" t="inlineStr">
        <is>
          <t>1924 / 1925</t>
        </is>
      </c>
      <c r="C87" s="75" t="inlineStr">
        <is>
          <t>диапазон</t>
        </is>
      </c>
      <c r="D87" s="75" t="inlineStr">
        <is>
          <t>Германия</t>
        </is>
      </c>
      <c r="E87" s="75" t="inlineStr">
        <is>
          <t>Вецлар / Лейпциг</t>
        </is>
      </c>
      <c r="F87" s="75" t="inlineStr">
        <is>
          <t>Oskar Barnack / Ernst Leitz</t>
        </is>
      </c>
      <c r="G87" s="75" t="inlineStr">
        <is>
          <t>Leica 1(A), разработанная Барнаком, объявлена в 1924 году и продаётся с 1925 года; она популяризирует 35-мм фотографию.</t>
        </is>
      </c>
      <c r="H87" s="75" t="inlineStr">
        <is>
          <t>Оптические инструменты</t>
        </is>
      </c>
      <c r="I87" s="75" t="inlineStr">
        <is>
          <t>Leica 1(A) 35 mm camera</t>
        </is>
      </c>
      <c r="J87" s="75" t="inlineStr">
        <is>
          <t>35 мм выходит из экспериментального прототипа в коммерческую фотографическую практику.</t>
        </is>
      </c>
      <c r="K87" s="75" t="inlineStr">
        <is>
          <t>Ur-Leica and 24×36 format</t>
        </is>
      </c>
      <c r="L87" s="75" t="inlineStr">
        <is>
          <t>Leica I as the next dedicated lesson PL-010</t>
        </is>
      </c>
      <c r="M87" s="75" t="inlineStr">
        <is>
          <t>Главная линия</t>
        </is>
      </c>
      <c r="N87" s="75" t="n">
        <v>5</v>
      </c>
      <c r="O87" s="75" t="inlineStr">
        <is>
          <t>PL-009</t>
        </is>
      </c>
      <c r="P87" s="75" t="inlineStr">
        <is>
          <t>SRC-059</t>
        </is>
      </c>
      <c r="Q87" s="75" t="inlineStr">
        <is>
          <t>Smithsonian NMAH — Leica 35 mm 1(A) Camera</t>
        </is>
      </c>
      <c r="R87" s="75" t="inlineStr">
        <is>
          <t>https://americanhistory.si.edu/collections/object/nmah_834692</t>
        </is>
      </c>
      <c r="S87" s="75" t="n">
        <v>5</v>
      </c>
      <c r="T87" s="75" t="inlineStr">
        <is>
          <t>Этот узел — мост к PL-010: в PL-009 объясняем формат, в PL-010 подробно разбираем Leica I.</t>
        </is>
      </c>
      <c r="U87" s="75" t="inlineStr">
        <is>
          <t>Маленькая Leica рядом с тяжёлой старой камерой: формат меняет масштаб фотографии.</t>
        </is>
      </c>
      <c r="V87" s="75" t="inlineStr">
        <is>
          <t>#PL009 #Leica #Leica1A #35mm #Barnack</t>
        </is>
      </c>
      <c r="W87" s="75" t="n"/>
      <c r="X87" s="75" t="inlineStr">
        <is>
          <t>51.3397, 12.3731</t>
        </is>
      </c>
      <c r="Y87" s="75" t="inlineStr">
        <is>
          <t>35 мм / коммерциализация Leica</t>
        </is>
      </c>
      <c r="Z87" s="75" t="inlineStr">
        <is>
          <t>Инструмент / устройство</t>
        </is>
      </c>
      <c r="AA87" s="75" t="n"/>
    </row>
    <row r="88" ht="17" customHeight="1" s="72">
      <c r="A88" s="75" t="inlineStr">
        <is>
          <t>PL-HIST-0087</t>
        </is>
      </c>
      <c r="B88" s="75" t="inlineStr">
        <is>
          <t>1925</t>
        </is>
      </c>
      <c r="C88" s="75" t="inlineStr">
        <is>
          <t>год</t>
        </is>
      </c>
      <c r="D88" s="75" t="inlineStr">
        <is>
          <t>Германия</t>
        </is>
      </c>
      <c r="E88" s="75" t="inlineStr">
        <is>
          <t>Лейпциг</t>
        </is>
      </c>
      <c r="F88" s="75" t="inlineStr">
        <is>
          <t>Ernst Leitz / Leica</t>
        </is>
      </c>
      <c r="G88" s="75" t="inlineStr">
        <is>
          <t>Leica I дебютирует на Лейпцигской весенней ярмарке как первая серийная 35-мм камера Leitz.</t>
        </is>
      </c>
      <c r="H88" s="75" t="inlineStr">
        <is>
          <t>Оптические инструменты</t>
        </is>
      </c>
      <c r="I88" s="75" t="inlineStr">
        <is>
          <t>Leica I serial production</t>
        </is>
      </c>
      <c r="J88" s="75" t="inlineStr">
        <is>
          <t>Компактная камера становится серьёзным фотографическим инструментом, а не игрушкой или лабораторной пробой.</t>
        </is>
      </c>
      <c r="K88" s="75" t="inlineStr">
        <is>
          <t>Commercial Leica 1(A) launch</t>
        </is>
      </c>
      <c r="L88" s="75" t="inlineStr">
        <is>
          <t>PL-010: Leica I and the new language of photography</t>
        </is>
      </c>
      <c r="M88" s="75" t="inlineStr">
        <is>
          <t>Переходная технология</t>
        </is>
      </c>
      <c r="N88" s="75" t="n">
        <v>5</v>
      </c>
      <c r="O88" s="75" t="inlineStr">
        <is>
          <t>PL-009</t>
        </is>
      </c>
      <c r="P88" s="75" t="inlineStr">
        <is>
          <t>SRC-060</t>
        </is>
      </c>
      <c r="Q88" s="75" t="inlineStr">
        <is>
          <t>Leica Timeline — 1925</t>
        </is>
      </c>
      <c r="R88" s="75" t="inlineStr">
        <is>
          <t>https://timeline.leica-camera.com/en/years/1925</t>
        </is>
      </c>
      <c r="S88" s="75" t="n">
        <v>5</v>
      </c>
      <c r="T88" s="75" t="inlineStr">
        <is>
          <t>Оставить как переход: это событие нужно не раскрывать полностью, а открыть дверь в PL-010.</t>
        </is>
      </c>
      <c r="U88" s="75" t="inlineStr">
        <is>
          <t>Ярмарочная витрина Leica I как вход в следующий урок.</t>
        </is>
      </c>
      <c r="V88" s="75" t="inlineStr">
        <is>
          <t>#PL009 #LeicaI #Leipzig #small-format #future-PL010</t>
        </is>
      </c>
      <c r="W88" s="75" t="inlineStr">
        <is>
          <t>Не дублировать слишком подробно с PL-010: здесь только мост к следующему уроку.</t>
        </is>
      </c>
      <c r="X88" s="75" t="inlineStr">
        <is>
          <t>51.3397, 12.3731</t>
        </is>
      </c>
      <c r="Y88" s="75" t="inlineStr">
        <is>
          <t>35 мм / мост к Leica I</t>
        </is>
      </c>
      <c r="Z88" s="75" t="inlineStr">
        <is>
          <t>Связь / переход</t>
        </is>
      </c>
      <c r="AA88" s="75" t="n"/>
    </row>
    <row r="89" ht="17" customHeight="1" s="72">
      <c r="A89" s="75" t="inlineStr">
        <is>
          <t>PL-HIST-0088</t>
        </is>
      </c>
      <c r="B89" s="75" t="inlineStr">
        <is>
          <t>1934</t>
        </is>
      </c>
      <c r="C89" s="75" t="inlineStr">
        <is>
          <t>год</t>
        </is>
      </c>
      <c r="D89" s="75" t="inlineStr">
        <is>
          <t>Германия</t>
        </is>
      </c>
      <c r="E89" s="75" t="inlineStr">
        <is>
          <t>Штутгарт</t>
        </is>
      </c>
      <c r="F89" s="75" t="inlineStr">
        <is>
          <t>Kodak AG / Kodak Retina</t>
        </is>
      </c>
      <c r="G89" s="75" t="inlineStr">
        <is>
          <t>Kodak Retina Type 117 становится первой камерой для дневной загрузки 135-картриджей, которые сделают 35 мм удобнее для широкой фотографии.</t>
        </is>
      </c>
      <c r="H89" s="75" t="inlineStr">
        <is>
          <t>Негатив-позитив</t>
        </is>
      </c>
      <c r="I89" s="75" t="inlineStr">
        <is>
          <t>135 daylight-loading cartridge</t>
        </is>
      </c>
      <c r="J89" s="75" t="inlineStr">
        <is>
          <t>35 мм получает бытовую форму: плёнку становится легче покупать, вставлять в камеру и использовать без тёмной комнаты.</t>
        </is>
      </c>
      <c r="K89" s="75" t="inlineStr">
        <is>
          <t>Leica and manually loaded 35 mm film</t>
        </is>
      </c>
      <c r="L89" s="75" t="inlineStr">
        <is>
          <t>135 cartridge becomes dominant consumer still-film format</t>
        </is>
      </c>
      <c r="M89" s="75" t="inlineStr">
        <is>
          <t>Переходная технология</t>
        </is>
      </c>
      <c r="N89" s="75" t="n">
        <v>4</v>
      </c>
      <c r="O89" s="75" t="inlineStr">
        <is>
          <t>PL-009</t>
        </is>
      </c>
      <c r="P89" s="75" t="inlineStr">
        <is>
          <t>SRC-061</t>
        </is>
      </c>
      <c r="Q89" s="75" t="inlineStr">
        <is>
          <t>Science Museum Group — Kodak Retina Type 117</t>
        </is>
      </c>
      <c r="R89" s="75" t="inlineStr">
        <is>
          <t>https://collection.sciencemuseumgroup.org.uk/objects/co8205056/kodak-retina-type-117-35mm-camera</t>
        </is>
      </c>
      <c r="S89" s="75" t="n">
        <v>5</v>
      </c>
      <c r="T89" s="75" t="inlineStr">
        <is>
          <t>Финальный смысл PL-009: формат победил не только из-за качества, но и из-за удобства системы.</t>
        </is>
      </c>
      <c r="U89" s="75" t="inlineStr">
        <is>
          <t>Открытый 135-картридж рядом с Kodak Retina и полоской 35-мм плёнки.</t>
        </is>
      </c>
      <c r="V89" s="75" t="inlineStr">
        <is>
          <t>#PL009 #135-film #Kodak-Retina #35mm #cartridge</t>
        </is>
      </c>
      <c r="W89" s="75" t="n"/>
      <c r="X89" s="75" t="inlineStr">
        <is>
          <t>48.7758, 9.1829</t>
        </is>
      </c>
      <c r="Y89" s="75" t="inlineStr">
        <is>
          <t>35 мм / 135 cartridge</t>
        </is>
      </c>
      <c r="Z89" s="75" t="inlineStr">
        <is>
          <t>Распространение / коммерциализация</t>
        </is>
      </c>
      <c r="AA89" s="75" t="n"/>
    </row>
    <row r="90" ht="17" customHeight="1" s="72">
      <c r="A90" s="75" t="inlineStr">
        <is>
          <t>PL-HIST-0089</t>
        </is>
      </c>
      <c r="B90" s="75" t="inlineStr">
        <is>
          <t>1913–1914</t>
        </is>
      </c>
      <c r="C90" s="75" t="inlineStr">
        <is>
          <t>диапазон</t>
        </is>
      </c>
      <c r="D90" s="75" t="inlineStr">
        <is>
          <t>Германия</t>
        </is>
      </c>
      <c r="E90" s="75" t="inlineStr">
        <is>
          <t>Вецлар</t>
        </is>
      </c>
      <c r="F90" s="75" t="inlineStr">
        <is>
          <t>Оскар Барнак / Ernst Leitz</t>
        </is>
      </c>
      <c r="G90" s="75" t="inlineStr">
        <is>
          <t>Оскар Барнак создаёт прототип Ur-Leica: компактную камеру под 35-мм киноплёнку, которая станет основой будущей Leica I.</t>
        </is>
      </c>
      <c r="H90" s="75" t="inlineStr">
        <is>
          <t>Оптические инструменты</t>
        </is>
      </c>
      <c r="I90" s="75" t="inlineStr">
        <is>
          <t>Ur-Leica prototype</t>
        </is>
      </c>
      <c r="J90" s="75" t="inlineStr">
        <is>
          <t>Идея 35 мм перестаёт быть только кинематографической: появляется замысел маленькой фотокамеры для серьёзной съёмки.</t>
        </is>
      </c>
      <c r="K90" s="75" t="inlineStr">
        <is>
          <t>35-мм киноплёнка и кадр 24×36</t>
        </is>
      </c>
      <c r="L90" s="75" t="inlineStr">
        <is>
          <t>Leica 0-Series and Leica I</t>
        </is>
      </c>
      <c r="M90" s="75" t="inlineStr">
        <is>
          <t>Переходная технология</t>
        </is>
      </c>
      <c r="N90" s="75" t="n">
        <v>5</v>
      </c>
      <c r="O90" s="75" t="inlineStr">
        <is>
          <t>PL-010</t>
        </is>
      </c>
      <c r="P90" s="75" t="inlineStr">
        <is>
          <t>SRC-062</t>
        </is>
      </c>
      <c r="Q90" s="75" t="inlineStr">
        <is>
          <t>Leica Camera — The History of the Leica I</t>
        </is>
      </c>
      <c r="R90" s="75" t="inlineStr">
        <is>
          <t>https://leica-camera.com/en-int/photography/100-years/the-history-of-the-leica-I</t>
        </is>
      </c>
      <c r="S90" s="75" t="n">
        <v>5</v>
      </c>
      <c r="T90" s="75" t="inlineStr">
        <is>
          <t>Для урока важно показать: Leica I родилась не из желания сделать игрушку, а из идеи мобильной серьёзной камеры.</t>
        </is>
      </c>
      <c r="U90" s="75" t="inlineStr">
        <is>
          <t>Маленький прототип на рабочем столе Барнака рядом с полоской 35-мм киноплёнки.</t>
        </is>
      </c>
      <c r="V90" s="75" t="inlineStr">
        <is>
          <t>#PL010 #Ur-Leica #Barnack #Wetzlar #35mm</t>
        </is>
      </c>
      <c r="W90" s="75" t="n"/>
      <c r="X90" s="75" t="inlineStr">
        <is>
          <t>50.5619, 8.5044</t>
        </is>
      </c>
      <c r="Y90" s="75" t="inlineStr">
        <is>
          <t>Leica I / прототип</t>
        </is>
      </c>
      <c r="Z90" s="75" t="inlineStr">
        <is>
          <t>Инструмент / устройство</t>
        </is>
      </c>
      <c r="AA90" s="75" t="n"/>
    </row>
    <row r="91" ht="17" customHeight="1" s="72">
      <c r="A91" s="75" t="inlineStr">
        <is>
          <t>PL-HIST-0090</t>
        </is>
      </c>
      <c r="B91" s="75" t="inlineStr">
        <is>
          <t>1923</t>
        </is>
      </c>
      <c r="C91" s="75" t="inlineStr">
        <is>
          <t>год</t>
        </is>
      </c>
      <c r="D91" s="75" t="inlineStr">
        <is>
          <t>Германия</t>
        </is>
      </c>
      <c r="E91" s="75" t="inlineStr">
        <is>
          <t>Вецлар</t>
        </is>
      </c>
      <c r="F91" s="75" t="inlineStr">
        <is>
          <t>Оскар Барнак / Ernst Leitz</t>
        </is>
      </c>
      <c r="G91" s="75" t="inlineStr">
        <is>
          <t>После прототипов появляется проверочная серия Leica 0-Series: небольшая партия камер для испытаний перед коммерческим запуском.</t>
        </is>
      </c>
      <c r="H91" s="75" t="inlineStr">
        <is>
          <t>Оптические инструменты</t>
        </is>
      </c>
      <c r="I91" s="75" t="inlineStr">
        <is>
          <t>Leica 0-Series</t>
        </is>
      </c>
      <c r="J91" s="75" t="inlineStr">
        <is>
          <t>Идея маленькой 35-мм камеры проходит практическую проверку: её нужно не просто изобрести, а сделать пригодной для реальных фотографов.</t>
        </is>
      </c>
      <c r="K91" s="75" t="inlineStr">
        <is>
          <t>Ur-Leica prototype</t>
        </is>
      </c>
      <c r="L91" s="75" t="inlineStr">
        <is>
          <t>Decision to enter serial production</t>
        </is>
      </c>
      <c r="M91" s="75" t="inlineStr">
        <is>
          <t>Переходная технология</t>
        </is>
      </c>
      <c r="N91" s="75" t="n">
        <v>4</v>
      </c>
      <c r="O91" s="75" t="inlineStr">
        <is>
          <t>PL-010</t>
        </is>
      </c>
      <c r="P91" s="75" t="inlineStr">
        <is>
          <t>SRC-062</t>
        </is>
      </c>
      <c r="Q91" s="75" t="inlineStr">
        <is>
          <t>Leica Camera — The History of the Leica I</t>
        </is>
      </c>
      <c r="R91" s="75" t="inlineStr">
        <is>
          <t>https://leica-camera.com/en-int/photography/100-years/the-history-of-the-leica-I</t>
        </is>
      </c>
      <c r="S91" s="75" t="n">
        <v>5</v>
      </c>
      <c r="T91" s="75" t="inlineStr">
        <is>
          <t>Хороший storytelling-узел: между прототипом и рынком всегда есть испытание, сомнение и проверка.</t>
        </is>
      </c>
      <c r="U91" s="75" t="inlineStr">
        <is>
          <t>Небольшая партия камер Leica 0-Series на столе в мастерской Leitz.</t>
        </is>
      </c>
      <c r="V91" s="75" t="inlineStr">
        <is>
          <t>#PL010 #Leica0 #preproduction #Leitz #Barnack</t>
        </is>
      </c>
      <c r="W91" s="75" t="inlineStr">
        <is>
          <t>Проверить точное количество камер 0-Series в финальной лекции: источники обычно указывают малую проверочную серию, но формулировки различаются.</t>
        </is>
      </c>
      <c r="X91" s="75" t="inlineStr">
        <is>
          <t>50.5619, 8.5044</t>
        </is>
      </c>
      <c r="Y91" s="75" t="inlineStr">
        <is>
          <t>Leica I / проверочная серия</t>
        </is>
      </c>
      <c r="Z91" s="75" t="inlineStr">
        <is>
          <t>Связь / переход</t>
        </is>
      </c>
      <c r="AA91" s="75" t="n"/>
    </row>
    <row r="92" ht="17" customHeight="1" s="72">
      <c r="A92" s="75" t="inlineStr">
        <is>
          <t>PL-HIST-0091</t>
        </is>
      </c>
      <c r="B92" s="75" t="inlineStr">
        <is>
          <t>конец 1924</t>
        </is>
      </c>
      <c r="C92" s="75" t="inlineStr">
        <is>
          <t>точная дата</t>
        </is>
      </c>
      <c r="D92" s="75" t="inlineStr">
        <is>
          <t>Германия</t>
        </is>
      </c>
      <c r="E92" s="75" t="inlineStr">
        <is>
          <t>Вецлар</t>
        </is>
      </c>
      <c r="F92" s="75" t="inlineStr">
        <is>
          <t>Ernst Leitz II / Ernst Leitz Werke</t>
        </is>
      </c>
      <c r="G92" s="75" t="inlineStr">
        <is>
          <t>Первая серийная версия Leica I официально входит в производство в конце 1924 года, опираясь на опыт Leica 0-Series.</t>
        </is>
      </c>
      <c r="H92" s="75" t="inlineStr">
        <is>
          <t>Оптические инструменты</t>
        </is>
      </c>
      <c r="I92" s="75" t="inlineStr">
        <is>
          <t>Leica I serial production begins</t>
        </is>
      </c>
      <c r="J92" s="75" t="inlineStr">
        <is>
          <t>Leica перестаёт быть лабораторным экспериментом и становится промышленным изделием.</t>
        </is>
      </c>
      <c r="K92" s="75" t="inlineStr">
        <is>
          <t>Leica 0-Series tests</t>
        </is>
      </c>
      <c r="L92" s="75" t="inlineStr">
        <is>
          <t>Public presentation at Leipzig Spring Fair 1925</t>
        </is>
      </c>
      <c r="M92" s="75" t="inlineStr">
        <is>
          <t>Главная линия</t>
        </is>
      </c>
      <c r="N92" s="75" t="n">
        <v>5</v>
      </c>
      <c r="O92" s="75" t="inlineStr">
        <is>
          <t>PL-010</t>
        </is>
      </c>
      <c r="P92" s="75" t="inlineStr">
        <is>
          <t>SRC-062</t>
        </is>
      </c>
      <c r="Q92" s="75" t="inlineStr">
        <is>
          <t>Leica Camera — The History of the Leica I</t>
        </is>
      </c>
      <c r="R92" s="75" t="inlineStr">
        <is>
          <t>https://leica-camera.com/en-int/photography/100-years/the-history-of-the-leica-I</t>
        </is>
      </c>
      <c r="S92" s="75" t="n">
        <v>5</v>
      </c>
      <c r="T92" s="75" t="inlineStr">
        <is>
          <t>Объяснить просто: революция начинается не в момент идеи, а когда идею удалось произвести серийно.</t>
        </is>
      </c>
      <c r="U92" s="75" t="inlineStr">
        <is>
          <t>Фабричная сборка маленьких Leica I в Вецларе, рядом детали корпуса и объектив.</t>
        </is>
      </c>
      <c r="V92" s="75" t="inlineStr">
        <is>
          <t>#PL010 #LeicaI #serial-production #Leitz</t>
        </is>
      </c>
      <c r="W92" s="75" t="n"/>
      <c r="X92" s="75" t="inlineStr">
        <is>
          <t>50.5619, 8.5044</t>
        </is>
      </c>
      <c r="Y92" s="75" t="inlineStr">
        <is>
          <t>Leica I / начало производства</t>
        </is>
      </c>
      <c r="Z92" s="75" t="inlineStr">
        <is>
          <t>Распространение / коммерциализация</t>
        </is>
      </c>
      <c r="AA92" s="75" t="n"/>
    </row>
    <row r="93" ht="17" customHeight="1" s="72">
      <c r="A93" s="75" t="inlineStr">
        <is>
          <t>PL-HIST-0092</t>
        </is>
      </c>
      <c r="B93" s="75" t="inlineStr">
        <is>
          <t>1925</t>
        </is>
      </c>
      <c r="C93" s="75" t="inlineStr">
        <is>
          <t>год</t>
        </is>
      </c>
      <c r="D93" s="75" t="inlineStr">
        <is>
          <t>Германия</t>
        </is>
      </c>
      <c r="E93" s="75" t="inlineStr">
        <is>
          <t>Лейпциг</t>
        </is>
      </c>
      <c r="F93" s="75" t="inlineStr">
        <is>
          <t>Ernst Leitz / Leica</t>
        </is>
      </c>
      <c r="G93" s="75" t="inlineStr">
        <is>
          <t>Leica I представлена публике на Лейпцигской весенней ярмарке как первая серийная 35-мм камера Leitz.</t>
        </is>
      </c>
      <c r="H93" s="75" t="inlineStr">
        <is>
          <t>Оптические инструменты</t>
        </is>
      </c>
      <c r="I93" s="75" t="inlineStr">
        <is>
          <t>Leica I at Leipzig Spring Fair</t>
        </is>
      </c>
      <c r="J93" s="75" t="inlineStr">
        <is>
          <t>35 мм получает публичный коммерческий вход в фотографию: маленькая камера становится реальным продуктом.</t>
        </is>
      </c>
      <c r="K93" s="75" t="inlineStr">
        <is>
          <t>Serial production begins at Leitz</t>
        </is>
      </c>
      <c r="L93" s="75" t="inlineStr">
        <is>
          <t>Compact 35 mm photography spreads</t>
        </is>
      </c>
      <c r="M93" s="75" t="inlineStr">
        <is>
          <t>Главная линия</t>
        </is>
      </c>
      <c r="N93" s="75" t="n">
        <v>5</v>
      </c>
      <c r="O93" s="75" t="inlineStr">
        <is>
          <t>PL-010</t>
        </is>
      </c>
      <c r="P93" s="75" t="inlineStr">
        <is>
          <t>SRC-063</t>
        </is>
      </c>
      <c r="Q93" s="75" t="inlineStr">
        <is>
          <t>Leica Camera — 100 Years of Leica: Witness to a Century</t>
        </is>
      </c>
      <c r="R93" s="75" t="inlineStr">
        <is>
          <t>https://leica-camera.com/en-GB/press/100-years-leica-witness-century-1925-2025-1</t>
        </is>
      </c>
      <c r="S93" s="75" t="n">
        <v>5</v>
      </c>
      <c r="T93" s="75" t="inlineStr">
        <is>
          <t>Это главный исторический момент урока: Leica I выходит к публике и меняет представление о серьёзной камере.</t>
        </is>
      </c>
      <c r="U93" s="75" t="inlineStr">
        <is>
          <t>Витрина Leica I на ярмарке в Лейпциге; маленькая камера среди больших фотоаппаратов эпохи.</t>
        </is>
      </c>
      <c r="V93" s="75" t="inlineStr">
        <is>
          <t>#PL010 #LeicaI #Leipzig #1925 #35mm-camera</t>
        </is>
      </c>
      <c r="W93" s="75" t="n"/>
      <c r="X93" s="75" t="inlineStr">
        <is>
          <t>51.3397, 12.3731</t>
        </is>
      </c>
      <c r="Y93" s="75" t="inlineStr">
        <is>
          <t>Leica I / публичный дебют</t>
        </is>
      </c>
      <c r="Z93" s="75" t="inlineStr">
        <is>
          <t>Ключевой исторический узел</t>
        </is>
      </c>
      <c r="AA93" s="75" t="inlineStr">
        <is>
          <t>да</t>
        </is>
      </c>
    </row>
    <row r="94" ht="17" customHeight="1" s="72">
      <c r="A94" s="75" t="inlineStr">
        <is>
          <t>PL-HIST-0093</t>
        </is>
      </c>
      <c r="B94" s="75" t="inlineStr">
        <is>
          <t>1925</t>
        </is>
      </c>
      <c r="C94" s="75" t="inlineStr">
        <is>
          <t>год</t>
        </is>
      </c>
      <c r="D94" s="75" t="inlineStr">
        <is>
          <t>Германия</t>
        </is>
      </c>
      <c r="E94" s="75" t="inlineStr">
        <is>
          <t>Вецлар</t>
        </is>
      </c>
      <c r="F94" s="75" t="inlineStr">
        <is>
          <t>Oskar Barnack / Ernst Leitz</t>
        </is>
      </c>
      <c r="G94" s="75" t="inlineStr">
        <is>
          <t>Leica 1(A), разработанная Барнаком, становится первой коммерчески доступной Leica 35-мм камерой и быстро популяризирует 35-мм фотографию.</t>
        </is>
      </c>
      <c r="H94" s="75" t="inlineStr">
        <is>
          <t>Оптические инструменты</t>
        </is>
      </c>
      <c r="I94" s="75" t="inlineStr">
        <is>
          <t>Leica 1(A) 35 mm camera</t>
        </is>
      </c>
      <c r="J94" s="75" t="inlineStr">
        <is>
          <t>Компактность становится серьёзным фотографическим преимуществом: камера теперь может быть постоянно с фотографом.</t>
        </is>
      </c>
      <c r="K94" s="75" t="inlineStr">
        <is>
          <t>Leica I public launch</t>
        </is>
      </c>
      <c r="L94" s="75" t="inlineStr">
        <is>
          <t>New mobile visual practice</t>
        </is>
      </c>
      <c r="M94" s="75" t="inlineStr">
        <is>
          <t>Главная линия</t>
        </is>
      </c>
      <c r="N94" s="75" t="n">
        <v>5</v>
      </c>
      <c r="O94" s="75" t="inlineStr">
        <is>
          <t>PL-010</t>
        </is>
      </c>
      <c r="P94" s="75" t="inlineStr">
        <is>
          <t>SRC-064</t>
        </is>
      </c>
      <c r="Q94" s="75" t="inlineStr">
        <is>
          <t>Smithsonian NMAH — Leica 35 mm 1(A) Camera</t>
        </is>
      </c>
      <c r="R94" s="75" t="inlineStr">
        <is>
          <t>https://americanhistory.si.edu/collections/object/nmah_834692</t>
        </is>
      </c>
      <c r="S94" s="75" t="n">
        <v>5</v>
      </c>
      <c r="T94" s="75" t="inlineStr">
        <is>
          <t>Новичку важно понять: Leica I — это не просто новая модель, а изменение поведения фотографа.</t>
        </is>
      </c>
      <c r="U94" s="75" t="inlineStr">
        <is>
          <t>Маленькая Leica I в руке фотографа рядом с большой складной камерой как контраст старого и нового.</t>
        </is>
      </c>
      <c r="V94" s="75" t="inlineStr">
        <is>
          <t>#PL010 #Leica1A #compact-camera #35mm #Barnack</t>
        </is>
      </c>
      <c r="W94" s="75" t="n"/>
      <c r="X94" s="75" t="inlineStr">
        <is>
          <t>50.5619, 8.5044</t>
        </is>
      </c>
      <c r="Y94" s="75" t="inlineStr">
        <is>
          <t>Leica I / компактная камера</t>
        </is>
      </c>
      <c r="Z94" s="75" t="inlineStr">
        <is>
          <t>Инструмент / устройство</t>
        </is>
      </c>
      <c r="AA94" s="75" t="n"/>
    </row>
    <row r="95" ht="17" customHeight="1" s="72">
      <c r="A95" s="75" t="inlineStr">
        <is>
          <t>PL-HIST-0094</t>
        </is>
      </c>
      <c r="B95" s="75" t="inlineStr">
        <is>
          <t>1925</t>
        </is>
      </c>
      <c r="C95" s="75" t="inlineStr">
        <is>
          <t>год</t>
        </is>
      </c>
      <c r="D95" s="75" t="inlineStr">
        <is>
          <t>Германия</t>
        </is>
      </c>
      <c r="E95" s="75" t="inlineStr">
        <is>
          <t>Вецлар</t>
        </is>
      </c>
      <c r="F95" s="75" t="inlineStr">
        <is>
          <t>Макс Берек / Leitz</t>
        </is>
      </c>
      <c r="G95" s="75" t="inlineStr">
        <is>
          <t>Первые объективы Leica разрабатывает Макс Берек: 50 мм f/3.5 Anastigmat / Elmax, затем Elmar, чтобы маленький негатив можно было качественно увеличивать.</t>
        </is>
      </c>
      <c r="H95" s="75" t="inlineStr">
        <is>
          <t>Оптические инструменты</t>
        </is>
      </c>
      <c r="I95" s="75" t="inlineStr">
        <is>
          <t>Leica Anastigmat / Elmax / Elmar 50 mm f/3.5</t>
        </is>
      </c>
      <c r="J95" s="75" t="inlineStr">
        <is>
          <t>Малый формат требует сильной оптики: качество объектива становится условием идеи «маленький негатив — большой отпечаток».</t>
        </is>
      </c>
      <c r="K95" s="75" t="inlineStr">
        <is>
          <t>24×36 mm small negative</t>
        </is>
      </c>
      <c r="L95" s="75" t="inlineStr">
        <is>
          <t>Leica becomes practical system for enlargement and printing</t>
        </is>
      </c>
      <c r="M95" s="75" t="inlineStr">
        <is>
          <t>Главная линия</t>
        </is>
      </c>
      <c r="N95" s="75" t="n">
        <v>5</v>
      </c>
      <c r="O95" s="75" t="inlineStr">
        <is>
          <t>PL-010</t>
        </is>
      </c>
      <c r="P95" s="75" t="inlineStr">
        <is>
          <t>SRC-065</t>
        </is>
      </c>
      <c r="Q95" s="75" t="inlineStr">
        <is>
          <t>Leica Camera — Understanding Leica Lenses</t>
        </is>
      </c>
      <c r="R95" s="75" t="inlineStr">
        <is>
          <t>https://leica-camera.com/en-int/photography/understanding-leica-lenses</t>
        </is>
      </c>
      <c r="S95" s="75" t="n">
        <v>5</v>
      </c>
      <c r="T95" s="75" t="inlineStr">
        <is>
          <t>Это мост к будущим урокам про объективы: формат победил не один, ему понадобилась точная оптика.</t>
        </is>
      </c>
      <c r="U95" s="75" t="inlineStr">
        <is>
          <t>Схема: маленький негатив 24×36 → объектив Elmar → увеличенный отпечаток.</t>
        </is>
      </c>
      <c r="V95" s="75" t="inlineStr">
        <is>
          <t>#PL010 #MaxBerek #Elmar #Leica-lens #small-negative</t>
        </is>
      </c>
      <c r="W95" s="75" t="inlineStr">
        <is>
          <t>Уточнить в финальном тексте различие Anastigmat / Elmax / Elmar, чтобы не смешать ранние версии объектива.</t>
        </is>
      </c>
      <c r="X95" s="75" t="inlineStr">
        <is>
          <t>50.5619, 8.5044</t>
        </is>
      </c>
      <c r="Y95" s="75" t="inlineStr">
        <is>
          <t>Leica I / оптика и Elmar</t>
        </is>
      </c>
      <c r="Z95" s="75" t="inlineStr">
        <is>
          <t>Технология / процесс</t>
        </is>
      </c>
      <c r="AA95" s="75" t="n"/>
    </row>
    <row r="96" ht="17" customHeight="1" s="72">
      <c r="A96" s="75" t="inlineStr">
        <is>
          <t>PL-HIST-0095</t>
        </is>
      </c>
      <c r="B96" s="75" t="inlineStr">
        <is>
          <t>1925–1930</t>
        </is>
      </c>
      <c r="C96" s="75" t="inlineStr">
        <is>
          <t>диапазон</t>
        </is>
      </c>
      <c r="D96" s="75" t="inlineStr">
        <is>
          <t>Германия</t>
        </is>
      </c>
      <c r="E96" s="75" t="inlineStr">
        <is>
          <t>Вецлар</t>
        </is>
      </c>
      <c r="F96" s="75" t="inlineStr">
        <is>
          <t>Ernst Leitz Werke / пользователи Leica</t>
        </is>
      </c>
      <c r="G96" s="75" t="inlineStr">
        <is>
          <t>За 1925–1930 годы Leica I выпускается десятками тысяч экземпляров в разных вариантах и закрепляет 35-мм компактную камеру как рабочий фотографический инструмент.</t>
        </is>
      </c>
      <c r="H96" s="75" t="inlineStr">
        <is>
          <t>Негатив-позитив</t>
        </is>
      </c>
      <c r="I96" s="75" t="inlineStr">
        <is>
          <t>Leica I mass adoption</t>
        </is>
      </c>
      <c r="J96" s="75" t="inlineStr">
        <is>
          <t>35 мм перестаёт быть нишевым экспериментом и становится устойчивой практикой съёмки.</t>
        </is>
      </c>
      <c r="K96" s="75" t="inlineStr">
        <is>
          <t>Leica I launch</t>
        </is>
      </c>
      <c r="L96" s="75" t="inlineStr">
        <is>
          <t>Global 35 mm compact camera standard</t>
        </is>
      </c>
      <c r="M96" s="75" t="inlineStr">
        <is>
          <t>Распространение / коммерциализация</t>
        </is>
      </c>
      <c r="N96" s="75" t="n">
        <v>5</v>
      </c>
      <c r="O96" s="75" t="inlineStr">
        <is>
          <t>PL-010</t>
        </is>
      </c>
      <c r="P96" s="75" t="inlineStr">
        <is>
          <t>SRC-062</t>
        </is>
      </c>
      <c r="Q96" s="75" t="inlineStr">
        <is>
          <t>Leica Camera — The History of the Leica I</t>
        </is>
      </c>
      <c r="R96" s="75" t="inlineStr">
        <is>
          <t>https://leica-camera.com/en-int/photography/100-years/the-history-of-the-leica-I</t>
        </is>
      </c>
      <c r="S96" s="75" t="n">
        <v>5</v>
      </c>
      <c r="T96" s="75" t="inlineStr">
        <is>
          <t>Не перегружать цифрами, но показать масштаб: камера стала не редкостью, а узнаваемым инструментом.</t>
        </is>
      </c>
      <c r="U96" s="75" t="inlineStr">
        <is>
          <t>Ряд Leica I на производственной полке, рядом отметка 1925–1930.</t>
        </is>
      </c>
      <c r="V96" s="75" t="inlineStr">
        <is>
          <t>#PL010 #LeicaI #mass-production #35mm-standard</t>
        </is>
      </c>
      <c r="W96" s="75" t="n"/>
      <c r="X96" s="75" t="inlineStr">
        <is>
          <t>50.5619, 8.5044</t>
        </is>
      </c>
      <c r="Y96" s="75" t="inlineStr">
        <is>
          <t>Leica I / массовое принятие</t>
        </is>
      </c>
      <c r="Z96" s="75" t="inlineStr">
        <is>
          <t>Распространение / коммерциализация</t>
        </is>
      </c>
      <c r="AA96" s="75" t="n"/>
    </row>
    <row r="97" ht="17" customHeight="1" s="72">
      <c r="A97" s="75" t="inlineStr">
        <is>
          <t>PL-HIST-0096</t>
        </is>
      </c>
      <c r="B97" s="75" t="inlineStr">
        <is>
          <t>1920-е–1930-е</t>
        </is>
      </c>
      <c r="C97" s="75" t="inlineStr">
        <is>
          <t>диапазон</t>
        </is>
      </c>
      <c r="D97" s="75" t="inlineStr">
        <is>
          <t>Европа / США</t>
        </is>
      </c>
      <c r="E97" s="75" t="inlineStr">
        <is>
          <t>распределённый процесс</t>
        </is>
      </c>
      <c r="F97" s="75" t="inlineStr">
        <is>
          <t>Фотографы нового поколения</t>
        </is>
      </c>
      <c r="G97" s="75" t="inlineStr">
        <is>
          <t>Компактная, быстрая и мобильная Leica I помогает сформировать более интимный, спонтанный визуальный язык — основу репортажа и уличной фотографии.</t>
        </is>
      </c>
      <c r="H97" s="75" t="inlineStr">
        <is>
          <t>Оптические инструменты</t>
        </is>
      </c>
      <c r="I97" s="75" t="inlineStr">
        <is>
          <t>Mobile 35 mm visual language</t>
        </is>
      </c>
      <c r="J97" s="75" t="inlineStr">
        <is>
          <t>Фотограф становится менее заметным и быстрее реагирует на жизнь: камера начинает следовать за событием, а не заставлять событие приходить в студию.</t>
        </is>
      </c>
      <c r="K97" s="75" t="inlineStr">
        <is>
          <t>Leica I mass adoption</t>
        </is>
      </c>
      <c r="L97" s="75" t="inlineStr">
        <is>
          <t>Rangefinder and reportage traditions</t>
        </is>
      </c>
      <c r="M97" s="75" t="inlineStr">
        <is>
          <t>Главная линия</t>
        </is>
      </c>
      <c r="N97" s="75" t="n">
        <v>5</v>
      </c>
      <c r="O97" s="75" t="inlineStr">
        <is>
          <t>PL-010</t>
        </is>
      </c>
      <c r="P97" s="75" t="inlineStr">
        <is>
          <t>SRC-062</t>
        </is>
      </c>
      <c r="Q97" s="75" t="inlineStr">
        <is>
          <t>Leica Camera — The History of the Leica I</t>
        </is>
      </c>
      <c r="R97" s="75" t="inlineStr">
        <is>
          <t>https://leica-camera.com/en-int/photography/100-years/the-history-of-the-leica-I</t>
        </is>
      </c>
      <c r="S97" s="75" t="n">
        <v>5</v>
      </c>
      <c r="T97" s="75" t="inlineStr">
        <is>
          <t>Смысл PL-010: Leica изменила не только размер камеры, но и способ видеть — ближе, быстрее, тише.</t>
        </is>
      </c>
      <c r="U97" s="75" t="inlineStr">
        <is>
          <t>Фотограф с маленькой камерой среди городской жизни; люди не позируют, момент происходит сам.</t>
        </is>
      </c>
      <c r="V97" s="75" t="inlineStr">
        <is>
          <t>#PL010 #reportage #street-photography #mobile-camera #visual-language</t>
        </is>
      </c>
      <c r="W97" s="75" t="n"/>
      <c r="X97" s="75" t="n"/>
      <c r="Y97" s="75" t="inlineStr">
        <is>
          <t>Leica I / новая визуальная практика</t>
        </is>
      </c>
      <c r="Z97" s="75" t="inlineStr">
        <is>
          <t>Применение / жанр</t>
        </is>
      </c>
      <c r="AA97" s="75" t="n"/>
    </row>
    <row r="98" ht="17" customHeight="1" s="72">
      <c r="A98" s="75" t="inlineStr">
        <is>
          <t>PL-HIST-0097</t>
        </is>
      </c>
      <c r="B98" s="75" t="inlineStr">
        <is>
          <t>1930</t>
        </is>
      </c>
      <c r="C98" s="75" t="inlineStr">
        <is>
          <t>год</t>
        </is>
      </c>
      <c r="D98" s="75" t="inlineStr">
        <is>
          <t>Германия</t>
        </is>
      </c>
      <c r="E98" s="75" t="inlineStr">
        <is>
          <t>Вецлар</t>
        </is>
      </c>
      <c r="F98" s="75" t="inlineStr">
        <is>
          <t>Ernst Leitz Werke</t>
        </is>
      </c>
      <c r="G98" s="75" t="inlineStr">
        <is>
          <t>Leica I(C) вводит сменные объективы; к концу 1930 года появляется стандартизированный крепёж, позволяющий использовать объективы с разными камерами Leica 1(C).</t>
        </is>
      </c>
      <c r="H98" s="75" t="inlineStr">
        <is>
          <t>Оптические инструменты</t>
        </is>
      </c>
      <c r="I98" s="75" t="inlineStr">
        <is>
          <t>Leica I(C) interchangeable lenses</t>
        </is>
      </c>
      <c r="J98" s="75" t="inlineStr">
        <is>
          <t>Leica превращается из отдельной камеры в систему: корпус, объективы и аксессуары начинают развиваться вместе.</t>
        </is>
      </c>
      <c r="K98" s="75" t="inlineStr">
        <is>
          <t>Leica I fixed-lens camera</t>
        </is>
      </c>
      <c r="L98" s="75" t="inlineStr">
        <is>
          <t>Leica system and rangefinder cameras</t>
        </is>
      </c>
      <c r="M98" s="75" t="inlineStr">
        <is>
          <t>Связь / переход</t>
        </is>
      </c>
      <c r="N98" s="75" t="n">
        <v>4</v>
      </c>
      <c r="O98" s="75" t="inlineStr">
        <is>
          <t>PL-010</t>
        </is>
      </c>
      <c r="P98" s="75" t="inlineStr">
        <is>
          <t>SRC-067</t>
        </is>
      </c>
      <c r="Q98" s="75" t="inlineStr">
        <is>
          <t>Smithsonian NMAH — Leica 1(C)</t>
        </is>
      </c>
      <c r="R98" s="75" t="inlineStr">
        <is>
          <t>https://americanhistory.si.edu/collections/object/nmah_1145349</t>
        </is>
      </c>
      <c r="S98" s="75" t="n">
        <v>5</v>
      </c>
      <c r="T98" s="75" t="inlineStr">
        <is>
          <t>Это не центральный узел PL-010, а мост: после Leica I важной становится идея системы.</t>
        </is>
      </c>
      <c r="U98" s="75" t="inlineStr">
        <is>
          <t>Корпус Leica I(C) и три объектива рядом: 50 мм, широкоугольный и телеобъектив.</t>
        </is>
      </c>
      <c r="V98" s="75" t="inlineStr">
        <is>
          <t>#PL010 #LeicaIC #interchangeable-lenses #Leica-system</t>
        </is>
      </c>
      <c r="W98" s="75" t="inlineStr">
        <is>
          <t>Проверить терминологию крепления: в источниках встречаются screw mount / standardized mount; не называть это байонетом в финальном русском тексте.</t>
        </is>
      </c>
      <c r="X98" s="75" t="inlineStr">
        <is>
          <t>50.5619, 8.5044</t>
        </is>
      </c>
      <c r="Y98" s="75" t="inlineStr">
        <is>
          <t>Leica I / сменные объективы</t>
        </is>
      </c>
      <c r="Z98" s="75" t="inlineStr">
        <is>
          <t>Связь / переход</t>
        </is>
      </c>
      <c r="AA98" s="75" t="n"/>
    </row>
    <row r="99" ht="17" customHeight="1" s="72">
      <c r="A99" s="75" t="inlineStr">
        <is>
          <t>PL-HIST-0098</t>
        </is>
      </c>
      <c r="B99" s="75" t="inlineStr">
        <is>
          <t>1932</t>
        </is>
      </c>
      <c r="C99" s="75" t="inlineStr">
        <is>
          <t>год</t>
        </is>
      </c>
      <c r="D99" s="75" t="inlineStr">
        <is>
          <t>Германия</t>
        </is>
      </c>
      <c r="E99" s="75" t="inlineStr">
        <is>
          <t>Вецлар</t>
        </is>
      </c>
      <c r="F99" s="75" t="inlineStr">
        <is>
          <t>Ernst Leitz Werke</t>
        </is>
      </c>
      <c r="G99" s="75" t="inlineStr">
        <is>
          <t>Leica II становится первой Leica со встроенным дальномером, продолжая линию малой 35-мм камеры в сторону точной быстрой фокусировки.</t>
        </is>
      </c>
      <c r="H99" s="75" t="inlineStr">
        <is>
          <t>Оптические инструменты</t>
        </is>
      </c>
      <c r="I99" s="75" t="inlineStr">
        <is>
          <t>Leica II built-in rangefinder</t>
        </is>
      </c>
      <c r="J99" s="75" t="inlineStr">
        <is>
          <t>Следующий шаг после компактности — скорость и точность наведения: Leica формирует основу дальномерной культуры съёмки.</t>
        </is>
      </c>
      <c r="K99" s="75" t="inlineStr">
        <is>
          <t>Leica I and Leica system</t>
        </is>
      </c>
      <c r="L99" s="75" t="inlineStr">
        <is>
          <t>Future rangefinder photography and Leica M lineage</t>
        </is>
      </c>
      <c r="M99" s="75" t="inlineStr">
        <is>
          <t>Связь / переход</t>
        </is>
      </c>
      <c r="N99" s="75" t="n">
        <v>4</v>
      </c>
      <c r="O99" s="75" t="inlineStr">
        <is>
          <t>PL-010</t>
        </is>
      </c>
      <c r="P99" s="75" t="inlineStr">
        <is>
          <t>SRC-068</t>
        </is>
      </c>
      <c r="Q99" s="75" t="inlineStr">
        <is>
          <t>Leica Timeline — 1932</t>
        </is>
      </c>
      <c r="R99" s="75" t="inlineStr">
        <is>
          <t>https://timeline.leica-camera.com/en-US/years/1932</t>
        </is>
      </c>
      <c r="S99" s="75" t="n">
        <v>5</v>
      </c>
      <c r="T99" s="75" t="inlineStr">
        <is>
          <t>Финальный мост урока: PL-010 завершает Модуль 1, но открывает будущие темы про камеры, дальномер и объективы.</t>
        </is>
      </c>
      <c r="U99" s="75" t="inlineStr">
        <is>
          <t>Leica II рядом с Leica I: появляется дальномер как следующий слой управления камерой.</t>
        </is>
      </c>
      <c r="V99" s="75" t="inlineStr">
        <is>
          <t>#PL010 #LeicaII #rangefinder #future-lessons #Leica-system</t>
        </is>
      </c>
      <c r="W99" s="75" t="n"/>
      <c r="X99" s="75" t="inlineStr">
        <is>
          <t>50.5619, 8.5044</t>
        </is>
      </c>
      <c r="Y99" s="75" t="inlineStr">
        <is>
          <t>Leica I / мост к дальномерной системе</t>
        </is>
      </c>
      <c r="Z99" s="75" t="inlineStr">
        <is>
          <t>Связь / переход</t>
        </is>
      </c>
      <c r="AA99" s="75" t="n"/>
    </row>
    <row r="100" ht="17" customHeight="1" s="72">
      <c r="A100" s="75" t="inlineStr">
        <is>
          <t>PL-HIST-0099</t>
        </is>
      </c>
      <c r="B100" s="75" t="inlineStr">
        <is>
          <t>1889</t>
        </is>
      </c>
      <c r="C100" s="75" t="inlineStr">
        <is>
          <t>год</t>
        </is>
      </c>
      <c r="D100" s="75" t="inlineStr">
        <is>
          <t>США</t>
        </is>
      </c>
      <c r="E100" s="75" t="inlineStr">
        <is>
          <t>Рочестер, Нью-Йорк</t>
        </is>
      </c>
      <c r="F100" s="75" t="inlineStr">
        <is>
          <t>Eastman Dry Plate and Film Company / Kodak</t>
        </is>
      </c>
      <c r="G100" s="75" t="inlineStr">
        <is>
          <t>Kodak Transparent Film появляется как гибкий прозрачный фотоматериал для Kodak camera: светочувствительный слой теперь держится не на стекле, а на тонкой прозрачной основе.</t>
        </is>
      </c>
      <c r="H100" s="75" t="inlineStr">
        <is>
          <t>Негатив-позитив</t>
        </is>
      </c>
      <c r="I100" s="75" t="inlineStr">
        <is>
          <t>Transparent flexible photographic film</t>
        </is>
      </c>
      <c r="J100" s="75" t="inlineStr">
        <is>
          <t>Фотоплёнка становится самостоятельным материалом: гибкая основа + светочувствительная эмульсия заменяют тяжёлую стеклянную пластину.</t>
        </is>
      </c>
      <c r="K100" s="75" t="inlineStr">
        <is>
          <t>Рулонная бумажная плёнка Kodak и сухие пластины</t>
        </is>
      </c>
      <c r="L100" s="75" t="inlineStr">
        <is>
          <t>Понимание структуры плёнки: основа, эмульсия, защитные и служебные слои</t>
        </is>
      </c>
      <c r="M100" s="75" t="inlineStr">
        <is>
          <t>Главная линия</t>
        </is>
      </c>
      <c r="N100" s="75" t="n">
        <v>5</v>
      </c>
      <c r="O100" s="75" t="inlineStr">
        <is>
          <t>PL-011</t>
        </is>
      </c>
      <c r="P100" s="75" t="inlineStr">
        <is>
          <t>SRC-069</t>
        </is>
      </c>
      <c r="Q100" s="75" t="inlineStr">
        <is>
          <t>George Eastman Museum — Early Kodak Film 1888/1889</t>
        </is>
      </c>
      <c r="R100" s="75" t="inlineStr">
        <is>
          <t>https://www.eastman.org/two-rare-rolls-early-kodak-film-acquired-george-eastman-museum</t>
        </is>
      </c>
      <c r="S100" s="75" t="n">
        <v>5</v>
      </c>
      <c r="T100" s="75" t="inlineStr">
        <is>
          <t>Начать PL-011 можно с простой мысли: плёнка — это не «магическая лента», а светочувствительный материал на гибкой основе.</t>
        </is>
      </c>
      <c r="U100" s="75" t="inlineStr">
        <is>
          <t>Схема-слой: прозрачная лента, сверху тонкая эмульсия; рядом стеклянная пластина как прошлый этап.</t>
        </is>
      </c>
      <c r="V100" s="75" t="inlineStr">
        <is>
          <t>#PL011 #film-material #transparent-film #Kodak #Eastman</t>
        </is>
      </c>
      <c r="W100" s="75" t="n"/>
      <c r="X100" s="75" t="inlineStr">
        <is>
          <t>43.1566, -77.6088</t>
        </is>
      </c>
      <c r="Y100" s="75" t="inlineStr">
        <is>
          <t>Плёнка как материал / прозрачная основа</t>
        </is>
      </c>
      <c r="Z100" s="75" t="inlineStr">
        <is>
          <t>Ключевой исторический узел</t>
        </is>
      </c>
      <c r="AA100" s="75" t="inlineStr">
        <is>
          <t>да</t>
        </is>
      </c>
    </row>
    <row r="101" ht="17" customHeight="1" s="72">
      <c r="A101" s="75" t="inlineStr">
        <is>
          <t>PL-HIST-0100</t>
        </is>
      </c>
      <c r="B101" s="75" t="inlineStr">
        <is>
          <t>1890-е</t>
        </is>
      </c>
      <c r="C101" s="75" t="inlineStr">
        <is>
          <t>диапазон</t>
        </is>
      </c>
      <c r="D101" s="75" t="inlineStr">
        <is>
          <t>США / Европа</t>
        </is>
      </c>
      <c r="E101" s="75" t="inlineStr">
        <is>
          <t>распределённый процесс</t>
        </is>
      </c>
      <c r="F101" s="75" t="inlineStr">
        <is>
          <t>Производители фотоплёнки</t>
        </is>
      </c>
      <c r="G101" s="75" t="inlineStr">
        <is>
          <t>Целлюлозно-нитратная основа становится главным ранним гибким носителем для фотоплёнки: она прозрачная, лёгкая и прочная, но химически нестабильная и горючая.</t>
        </is>
      </c>
      <c r="H101" s="75" t="inlineStr">
        <is>
          <t>Негатив-позитив</t>
        </is>
      </c>
      <c r="I101" s="75" t="inlineStr">
        <is>
          <t>Cellulose nitrate film base</t>
        </is>
      </c>
      <c r="J101" s="75" t="inlineStr">
        <is>
          <t>У плёнки появляется практичный гибкий носитель, но вместе с ним — новая проблема хранения и безопасности.</t>
        </is>
      </c>
      <c r="K101" s="75" t="inlineStr">
        <is>
          <t>Kodak Transparent Film 1889</t>
        </is>
      </c>
      <c r="L101" s="75" t="inlineStr">
        <is>
          <t>Safety film and acetate base</t>
        </is>
      </c>
      <c r="M101" s="75" t="inlineStr">
        <is>
          <t>Главная линия / временная доминирующая линия</t>
        </is>
      </c>
      <c r="N101" s="75" t="n">
        <v>4</v>
      </c>
      <c r="O101" s="75" t="inlineStr">
        <is>
          <t>PL-011</t>
        </is>
      </c>
      <c r="P101" s="75" t="inlineStr">
        <is>
          <t>SRC-070</t>
        </is>
      </c>
      <c r="Q101" s="75" t="inlineStr">
        <is>
          <t>National Archives — Film-Based Negatives and Positives</t>
        </is>
      </c>
      <c r="R101" s="75" t="inlineStr">
        <is>
          <t>https://www.archives.gov/preservation/holdings-maintenance/film-based</t>
        </is>
      </c>
      <c r="S101" s="75" t="n">
        <v>5</v>
      </c>
      <c r="T101" s="75" t="inlineStr">
        <is>
          <t>Важно объяснить аккуратно: ранняя плёнка была революционно удобной, но не вечной и не безопасной как современная.</t>
        </is>
      </c>
      <c r="U101" s="75" t="inlineStr">
        <is>
          <t>Разрез плёнки с подписью «nitrate base»: красиво, но рядом знак осторожности / архивное хранение.</t>
        </is>
      </c>
      <c r="V101" s="75" t="inlineStr">
        <is>
          <t>#PL011 #nitrate-film #film-base #preservation</t>
        </is>
      </c>
      <c r="W101" s="75" t="inlineStr">
        <is>
          <t>Не использовать в уроке категоричную дату конца нитрата для всех стран; диапазоны различались по рынкам и типам материала.</t>
        </is>
      </c>
      <c r="X101" s="75" t="n"/>
      <c r="Y101" s="75" t="inlineStr">
        <is>
          <t>Плёнка как материал / нитратная основа</t>
        </is>
      </c>
      <c r="Z101" s="75" t="inlineStr">
        <is>
          <t>Технология / процесс</t>
        </is>
      </c>
      <c r="AA101" s="75" t="n"/>
    </row>
    <row r="102" ht="17" customHeight="1" s="72">
      <c r="A102" s="75" t="inlineStr">
        <is>
          <t>PL-HIST-0101</t>
        </is>
      </c>
      <c r="B102" s="75" t="inlineStr">
        <is>
          <t>1899</t>
        </is>
      </c>
      <c r="C102" s="75" t="inlineStr">
        <is>
          <t>год</t>
        </is>
      </c>
      <c r="D102" s="75" t="inlineStr">
        <is>
          <t>США</t>
        </is>
      </c>
      <c r="E102" s="75" t="inlineStr">
        <is>
          <t>Рочестер, Нью-Йорк</t>
        </is>
      </c>
      <c r="F102" s="75" t="inlineStr">
        <is>
          <t>Eastman Kodak Company</t>
        </is>
      </c>
      <c r="G102" s="75" t="inlineStr">
        <is>
          <t>Kodak развивает непрерывный процесс производства прозрачной плёночной основы: вместо покрытия длинных столов плёночная основа начинает производиться более индустриально.</t>
        </is>
      </c>
      <c r="H102" s="75" t="inlineStr">
        <is>
          <t>Негатив-позитив</t>
        </is>
      </c>
      <c r="I102" s="75" t="inlineStr">
        <is>
          <t>Continuous process for transparent film base</t>
        </is>
      </c>
      <c r="J102" s="75" t="inlineStr">
        <is>
          <t>Плёнка становится не только изобретением, но и промышленным материалом, который можно выпускать стабильно и массово.</t>
        </is>
      </c>
      <c r="K102" s="75" t="inlineStr">
        <is>
          <t>Transparent film and roll film production</t>
        </is>
      </c>
      <c r="L102" s="75" t="inlineStr">
        <is>
          <t>Non-curling film and safer film bases</t>
        </is>
      </c>
      <c r="M102" s="75" t="inlineStr">
        <is>
          <t>Распространение / коммерциализация</t>
        </is>
      </c>
      <c r="N102" s="75" t="n">
        <v>4</v>
      </c>
      <c r="O102" s="75" t="inlineStr">
        <is>
          <t>PL-011</t>
        </is>
      </c>
      <c r="P102" s="75" t="inlineStr">
        <is>
          <t>SRC-071</t>
        </is>
      </c>
      <c r="Q102" s="75" t="inlineStr">
        <is>
          <t>Kodak — Milestones</t>
        </is>
      </c>
      <c r="R102" s="75" t="inlineStr">
        <is>
          <t>https://www.kodak.com/en/company/page/milestones/</t>
        </is>
      </c>
      <c r="S102" s="75" t="n">
        <v>5</v>
      </c>
      <c r="T102" s="75" t="inlineStr">
        <is>
          <t>Для карты это узел производства: материал должен быть не просто чувствительным, а повторяемым, ровным и массовым.</t>
        </is>
      </c>
      <c r="U102" s="75" t="inlineStr">
        <is>
          <t>Фабричная лента прозрачной основы проходит через валки; рядом маленькие слои эмульсии.</t>
        </is>
      </c>
      <c r="V102" s="75" t="inlineStr">
        <is>
          <t>#PL011 #film-base #manufacturing #Kodak</t>
        </is>
      </c>
      <c r="W102" s="75" t="n"/>
      <c r="X102" s="75" t="inlineStr">
        <is>
          <t>43.1566, -77.6088</t>
        </is>
      </c>
      <c r="Y102" s="75" t="inlineStr">
        <is>
          <t>Плёнка как материал / промышленное производство основы</t>
        </is>
      </c>
      <c r="Z102" s="75" t="inlineStr">
        <is>
          <t>Распространение / коммерциализация</t>
        </is>
      </c>
      <c r="AA102" s="75" t="n"/>
    </row>
    <row r="103" ht="17" customHeight="1" s="72">
      <c r="A103" s="75" t="inlineStr">
        <is>
          <t>PL-HIST-0102</t>
        </is>
      </c>
      <c r="B103" s="75" t="inlineStr">
        <is>
          <t>1903</t>
        </is>
      </c>
      <c r="C103" s="75" t="inlineStr">
        <is>
          <t>год</t>
        </is>
      </c>
      <c r="D103" s="75" t="inlineStr">
        <is>
          <t>США</t>
        </is>
      </c>
      <c r="E103" s="75" t="inlineStr">
        <is>
          <t>Рочестер, Нью-Йорк</t>
        </is>
      </c>
      <c r="F103" s="75" t="inlineStr">
        <is>
          <t>Eastman Kodak Company</t>
        </is>
      </c>
      <c r="G103" s="75" t="inlineStr">
        <is>
          <t>Kodak Non-Curling Film вводится как более практичная любительская плёнка, рассчитанная на ровность и удобство использования.</t>
        </is>
      </c>
      <c r="H103" s="75" t="inlineStr">
        <is>
          <t>Негатив-позитив</t>
        </is>
      </c>
      <c r="I103" s="75" t="inlineStr">
        <is>
          <t>Kodak Non-Curling Film</t>
        </is>
      </c>
      <c r="J103" s="75" t="inlineStr">
        <is>
          <t>Плёнка должна не только реагировать на свет, но и физически вести себя предсказуемо: не скручиваться, не мешать съёмке и обработке.</t>
        </is>
      </c>
      <c r="K103" s="75" t="inlineStr">
        <is>
          <t>Ранние рулонные плёнки и прозрачная основа</t>
        </is>
      </c>
      <c r="L103" s="75" t="inlineStr">
        <is>
          <t>Более стабильные плёночные основы и массовая любительская фотография</t>
        </is>
      </c>
      <c r="M103" s="75" t="inlineStr">
        <is>
          <t>Распространение / коммерциализация</t>
        </is>
      </c>
      <c r="N103" s="75" t="n">
        <v>3</v>
      </c>
      <c r="O103" s="75" t="inlineStr">
        <is>
          <t>PL-011</t>
        </is>
      </c>
      <c r="P103" s="75" t="inlineStr">
        <is>
          <t>SRC-071</t>
        </is>
      </c>
      <c r="Q103" s="75" t="inlineStr">
        <is>
          <t>Kodak — Milestones</t>
        </is>
      </c>
      <c r="R103" s="75" t="inlineStr">
        <is>
          <t>https://www.kodak.com/en/company/page/milestones/</t>
        </is>
      </c>
      <c r="S103" s="75" t="n">
        <v>5</v>
      </c>
      <c r="T103" s="75" t="inlineStr">
        <is>
          <t>Хороший пример для новичка: свойства плёнки — это не только химия, но и механика материала.</t>
        </is>
      </c>
      <c r="U103" s="75" t="inlineStr">
        <is>
          <t>Рулон плёнки пытается свернуться; рядом более ровная лента с подписью «non-curling».</t>
        </is>
      </c>
      <c r="V103" s="75" t="inlineStr">
        <is>
          <t>#PL011 #non-curling-film #film-base #Kodak</t>
        </is>
      </c>
      <c r="W103" s="75" t="inlineStr">
        <is>
          <t>Проверить, насколько подробно раскрывать этот узел в полном уроке: можно оставить как дополнительный факт.</t>
        </is>
      </c>
      <c r="X103" s="75" t="inlineStr">
        <is>
          <t>43.1566, -77.6088</t>
        </is>
      </c>
      <c r="Y103" s="75" t="inlineStr">
        <is>
          <t>Плёнка как материал / механическая стабильность</t>
        </is>
      </c>
      <c r="Z103" s="75" t="inlineStr">
        <is>
          <t>Технология / процесс</t>
        </is>
      </c>
      <c r="AA103" s="75" t="n"/>
    </row>
    <row r="104" ht="17" customHeight="1" s="72">
      <c r="A104" s="75" t="inlineStr">
        <is>
          <t>PL-HIST-0103</t>
        </is>
      </c>
      <c r="B104" s="75" t="inlineStr">
        <is>
          <t>1908</t>
        </is>
      </c>
      <c r="C104" s="75" t="inlineStr">
        <is>
          <t>год</t>
        </is>
      </c>
      <c r="D104" s="75" t="inlineStr">
        <is>
          <t>США</t>
        </is>
      </c>
      <c r="E104" s="75" t="inlineStr">
        <is>
          <t>Рочестер, Нью-Йорк</t>
        </is>
      </c>
      <c r="F104" s="75" t="inlineStr">
        <is>
          <t>Eastman Kodak Company</t>
        </is>
      </c>
      <c r="G104" s="75" t="inlineStr">
        <is>
          <t>Kodak производит первую коммерчески практичную safety film на целлюлозно-ацетатной основе вместо легко воспламеняемого нитрата.</t>
        </is>
      </c>
      <c r="H104" s="75" t="inlineStr">
        <is>
          <t>Негатив-позитив</t>
        </is>
      </c>
      <c r="I104" s="75" t="inlineStr">
        <is>
          <t>Cellulose acetate safety film</t>
        </is>
      </c>
      <c r="J104" s="75" t="inlineStr">
        <is>
          <t>У материала появляется важное качество безопасности: плёнка должна хранить изображение, но не превращаться в опасный объект.</t>
        </is>
      </c>
      <c r="K104" s="75" t="inlineStr">
        <is>
          <t>Nitrate film base</t>
        </is>
      </c>
      <c r="L104" s="75" t="inlineStr">
        <is>
          <t>Acetate safety film gradually replaces nitrate</t>
        </is>
      </c>
      <c r="M104" s="75" t="inlineStr">
        <is>
          <t>Главная линия</t>
        </is>
      </c>
      <c r="N104" s="75" t="n">
        <v>5</v>
      </c>
      <c r="O104" s="75" t="inlineStr">
        <is>
          <t>PL-011</t>
        </is>
      </c>
      <c r="P104" s="75" t="inlineStr">
        <is>
          <t>SRC-071</t>
        </is>
      </c>
      <c r="Q104" s="75" t="inlineStr">
        <is>
          <t>Kodak — Milestones</t>
        </is>
      </c>
      <c r="R104" s="75" t="inlineStr">
        <is>
          <t>https://www.kodak.com/en/company/page/milestones/</t>
        </is>
      </c>
      <c r="S104" s="75" t="n">
        <v>5</v>
      </c>
      <c r="T104" s="75" t="inlineStr">
        <is>
          <t>Это один из самых понятных мостов к хранению плёнки: основа влияет не только на съёмку, но и на жизнь архива.</t>
        </is>
      </c>
      <c r="U104" s="75" t="inlineStr">
        <is>
          <t>Две ленты: nitrate с красным предупреждением и safety film с более спокойной маркировкой.</t>
        </is>
      </c>
      <c r="V104" s="75" t="inlineStr">
        <is>
          <t>#PL011 #safety-film #cellulose-acetate #Kodak #film-base</t>
        </is>
      </c>
      <c r="W104" s="75" t="n"/>
      <c r="X104" s="75" t="inlineStr">
        <is>
          <t>43.1566, -77.6088</t>
        </is>
      </c>
      <c r="Y104" s="75" t="inlineStr">
        <is>
          <t>Плёнка как материал / safety film</t>
        </is>
      </c>
      <c r="Z104" s="75" t="inlineStr">
        <is>
          <t>Технология / процесс</t>
        </is>
      </c>
      <c r="AA104" s="75" t="n"/>
    </row>
    <row r="105" ht="17" customHeight="1" s="72">
      <c r="A105" s="75" t="inlineStr">
        <is>
          <t>PL-HIST-0104</t>
        </is>
      </c>
      <c r="B105" s="75" t="inlineStr">
        <is>
          <t>1920-е</t>
        </is>
      </c>
      <c r="C105" s="75" t="inlineStr">
        <is>
          <t>диапазон</t>
        </is>
      </c>
      <c r="D105" s="75" t="inlineStr">
        <is>
          <t>США / Европа</t>
        </is>
      </c>
      <c r="E105" s="75" t="inlineStr">
        <is>
          <t>распределённый процесс</t>
        </is>
      </c>
      <c r="F105" s="75" t="inlineStr">
        <is>
          <t>Архивы и производители фотоматериалов</t>
        </is>
      </c>
      <c r="G105" s="75" t="inlineStr">
        <is>
          <t>Целлюлозно-ацетатная «safety» плёнка постепенно заменяет нитратную основу в фотонегативах и становится доминирующей до распространения polyester-base материалов.</t>
        </is>
      </c>
      <c r="H105" s="75" t="inlineStr">
        <is>
          <t>Негатив-позитив</t>
        </is>
      </c>
      <c r="I105" s="75" t="inlineStr">
        <is>
          <t>Cellulose acetate safety film</t>
        </is>
      </c>
      <c r="J105" s="75" t="inlineStr">
        <is>
          <t>История плёнки — это не только качество изображения, но и долговечность носителя: разные основы по-разному стареют и требуют разного хранения.</t>
        </is>
      </c>
      <c r="K105" s="75" t="inlineStr">
        <is>
          <t>Cellulose nitrate film base</t>
        </is>
      </c>
      <c r="L105" s="75" t="inlineStr">
        <is>
          <t>Polyester base and modern archival practice</t>
        </is>
      </c>
      <c r="M105" s="75" t="inlineStr">
        <is>
          <t>Главная линия / временная доминирующая линия</t>
        </is>
      </c>
      <c r="N105" s="75" t="n">
        <v>4</v>
      </c>
      <c r="O105" s="75" t="inlineStr">
        <is>
          <t>PL-011</t>
        </is>
      </c>
      <c r="P105" s="75" t="inlineStr">
        <is>
          <t>SRC-070</t>
        </is>
      </c>
      <c r="Q105" s="75" t="inlineStr">
        <is>
          <t>National Archives — Film-Based Negatives and Positives</t>
        </is>
      </c>
      <c r="R105" s="75" t="inlineStr">
        <is>
          <t>https://www.archives.gov/preservation/holdings-maintenance/film-based</t>
        </is>
      </c>
      <c r="S105" s="75" t="n">
        <v>5</v>
      </c>
      <c r="T105" s="75" t="inlineStr">
        <is>
          <t>В уроке можно показать три слова: nitrate, acetate, polyester. Это помогает понять, почему плёнку хранят по правилам.</t>
        </is>
      </c>
      <c r="U105" s="75" t="inlineStr">
        <is>
          <t>Три коротких образца плёночной основы: nitrate / acetate / polyester, как музейная таблица.</t>
        </is>
      </c>
      <c r="V105" s="75" t="inlineStr">
        <is>
          <t>#PL011 #acetate-film #safety-film #film-base #preservation</t>
        </is>
      </c>
      <c r="W105" s="75" t="inlineStr">
        <is>
          <t>Уточнить на карте: это распределённый процесс, точку не ставить.</t>
        </is>
      </c>
      <c r="X105" s="75" t="n"/>
      <c r="Y105" s="75" t="inlineStr">
        <is>
          <t>Плёнка как материал / ацетатная основа и хранение</t>
        </is>
      </c>
      <c r="Z105" s="75" t="inlineStr">
        <is>
          <t>Связь / переход</t>
        </is>
      </c>
      <c r="AA105" s="75" t="n"/>
    </row>
    <row r="106" ht="17" customHeight="1" s="72">
      <c r="A106" s="75" t="inlineStr">
        <is>
          <t>PL-HIST-0105</t>
        </is>
      </c>
      <c r="B106" s="75" t="inlineStr">
        <is>
          <t>базовое понятие</t>
        </is>
      </c>
      <c r="C106" s="75" t="inlineStr">
        <is>
          <t>примерно</t>
        </is>
      </c>
      <c r="D106" s="75" t="inlineStr">
        <is>
          <t>глобально</t>
        </is>
      </c>
      <c r="E106" s="75" t="inlineStr">
        <is>
          <t>без единой точки</t>
        </is>
      </c>
      <c r="F106" s="75" t="inlineStr">
        <is>
          <t>Производители фотоплёнки</t>
        </is>
      </c>
      <c r="G106" s="75" t="inlineStr">
        <is>
          <t>Фотоплёнка в базовом виде — это прозрачная основа, покрытая светочувствительным слоем: желатиновой эмульсией с кристаллами галогенидов серебра и дополнительными служебными слоями.</t>
        </is>
      </c>
      <c r="H106" s="75" t="inlineStr">
        <is>
          <t>Фотохимия</t>
        </is>
      </c>
      <c r="I106" s="75" t="inlineStr">
        <is>
          <t>Film base + silver-halide gelatin emulsion</t>
        </is>
      </c>
      <c r="J106" s="75" t="inlineStr">
        <is>
          <t>Плёнка перестаёт быть абстрактной «катушкой»: её можно понять как слоистую систему, где каждый слой выполняет свою задачу.</t>
        </is>
      </c>
      <c r="K106" s="75" t="inlineStr">
        <is>
          <t>Гибкая прозрачная основа и сухая желатиновая эмульсия</t>
        </is>
      </c>
      <c r="L106" s="75" t="inlineStr">
        <is>
          <t>PL-012: эмульсия как главный светочувствительный слой</t>
        </is>
      </c>
      <c r="M106" s="75" t="inlineStr">
        <is>
          <t>Главная линия</t>
        </is>
      </c>
      <c r="N106" s="75" t="n">
        <v>5</v>
      </c>
      <c r="O106" s="75" t="inlineStr">
        <is>
          <t>PL-011</t>
        </is>
      </c>
      <c r="P106" s="75" t="inlineStr">
        <is>
          <t>SRC-072</t>
        </is>
      </c>
      <c r="Q106" s="75" t="inlineStr">
        <is>
          <t>Kodak — Glossary of Motion Picture Terms</t>
        </is>
      </c>
      <c r="R106" s="75" t="inlineStr">
        <is>
          <t>https://www.kodak.com/en/motion/page/glossary-of-motion-picture-terms/</t>
        </is>
      </c>
      <c r="S106" s="75" t="n">
        <v>5</v>
      </c>
      <c r="T106" s="75" t="inlineStr">
        <is>
          <t>Это главный учебный узел PL-011: основа держит форму, эмульсия ловит свет, остальные слои помогают плёнке работать.</t>
        </is>
      </c>
      <c r="U106" s="75" t="inlineStr">
        <is>
          <t>Крупная чистая схема разреза плёнки: base / emulsion / backing / protective layer.</t>
        </is>
      </c>
      <c r="V106" s="75" t="inlineStr">
        <is>
          <t>#PL011 #film-structure #emulsion #silver-halide #gelatin</t>
        </is>
      </c>
      <c r="W106" s="75" t="n"/>
      <c r="X106" s="75" t="n"/>
      <c r="Y106" s="75" t="inlineStr">
        <is>
          <t>Плёнка как материал / структура слоя</t>
        </is>
      </c>
      <c r="Z106" s="75" t="inlineStr">
        <is>
          <t>Терминология / язык</t>
        </is>
      </c>
      <c r="AA106" s="75" t="n"/>
    </row>
    <row r="107" ht="17" customHeight="1" s="72">
      <c r="A107" s="75" t="inlineStr">
        <is>
          <t>PL-HIST-0106</t>
        </is>
      </c>
      <c r="B107" s="75" t="inlineStr">
        <is>
          <t>базовое понятие</t>
        </is>
      </c>
      <c r="C107" s="75" t="inlineStr">
        <is>
          <t>примерно</t>
        </is>
      </c>
      <c r="D107" s="75" t="inlineStr">
        <is>
          <t>глобально</t>
        </is>
      </c>
      <c r="E107" s="75" t="inlineStr">
        <is>
          <t>без единой точки</t>
        </is>
      </c>
      <c r="F107" s="75" t="inlineStr">
        <is>
          <t>Химики фотоматериалов</t>
        </is>
      </c>
      <c r="G107" s="75" t="inlineStr">
        <is>
          <t>Светочувствительность плёнки создают кристаллы галогенидов серебра, взвешенные в желатине: при экспонировании в них возникает скрытое изображение.</t>
        </is>
      </c>
      <c r="H107" s="75" t="inlineStr">
        <is>
          <t>Фотохимия</t>
        </is>
      </c>
      <c r="I107" s="75" t="inlineStr">
        <is>
          <t>Silver halide crystals in gelatin</t>
        </is>
      </c>
      <c r="J107" s="75" t="inlineStr">
        <is>
          <t>Фотография на плёнку начинается не с видимой картинки, а с микроскопического химического изменения, которое ещё нужно проявить.</t>
        </is>
      </c>
      <c r="K107" s="75" t="inlineStr">
        <is>
          <t>Gelatin dry plates and flexible film base</t>
        </is>
      </c>
      <c r="L107" s="75" t="inlineStr">
        <is>
          <t>Developer makes the latent image visible</t>
        </is>
      </c>
      <c r="M107" s="75" t="inlineStr">
        <is>
          <t>Главная линия</t>
        </is>
      </c>
      <c r="N107" s="75" t="n">
        <v>5</v>
      </c>
      <c r="O107" s="75" t="inlineStr">
        <is>
          <t>PL-011</t>
        </is>
      </c>
      <c r="P107" s="75" t="inlineStr">
        <is>
          <t>SRC-073</t>
        </is>
      </c>
      <c r="Q107" s="75" t="inlineStr">
        <is>
          <t>Kodak — Essential Reference Guide for Filmmakers</t>
        </is>
      </c>
      <c r="R107" s="75" t="inlineStr">
        <is>
          <t>https://www.kodak.com/content/products-brochures/Film/kodak-essential-reference-guide-for-filmmakers.pdf</t>
        </is>
      </c>
      <c r="S107" s="75" t="n">
        <v>5</v>
      </c>
      <c r="T107" s="75" t="inlineStr">
        <is>
          <t>Формула для объяснения: свет оставляет не готовую фотографию, а след в кристаллах серебра.</t>
        </is>
      </c>
      <c r="U107" s="75" t="inlineStr">
        <is>
          <t>Макро-схема: луч света попадает в кристалл серебряной соли внутри желатина.</t>
        </is>
      </c>
      <c r="V107" s="75" t="inlineStr">
        <is>
          <t>#PL011 #silver-halide #gelatin #latent-image #photochemistry</t>
        </is>
      </c>
      <c r="W107" s="75" t="n"/>
      <c r="X107" s="75" t="n"/>
      <c r="Y107" s="75" t="inlineStr">
        <is>
          <t>Плёнка как материал / серебряные соли и желатин</t>
        </is>
      </c>
      <c r="Z107" s="75" t="inlineStr">
        <is>
          <t>Фундаментальная предпосылка</t>
        </is>
      </c>
      <c r="AA107" s="75" t="n"/>
    </row>
    <row r="108" ht="17" customHeight="1" s="72">
      <c r="A108" s="75" t="inlineStr">
        <is>
          <t>PL-HIST-0107</t>
        </is>
      </c>
      <c r="B108" s="75" t="inlineStr">
        <is>
          <t>базовое понятие</t>
        </is>
      </c>
      <c r="C108" s="75" t="inlineStr">
        <is>
          <t>примерно</t>
        </is>
      </c>
      <c r="D108" s="75" t="inlineStr">
        <is>
          <t>глобально</t>
        </is>
      </c>
      <c r="E108" s="75" t="inlineStr">
        <is>
          <t>без единой точки</t>
        </is>
      </c>
      <c r="F108" s="75" t="inlineStr">
        <is>
          <t>Фотолаборатории</t>
        </is>
      </c>
      <c r="G108" s="75" t="inlineStr">
        <is>
          <t>После экспозиции изображение на плёнке скрытое: проявитель усиливает его до видимого серебряного изображения, а фиксаж удаляет оставшиеся неэкспонированные галогениды серебра.</t>
        </is>
      </c>
      <c r="H108" s="75" t="inlineStr">
        <is>
          <t>Фотохимия</t>
        </is>
      </c>
      <c r="I108" s="75" t="inlineStr">
        <is>
          <t>Latent image, developer and fixer</t>
        </is>
      </c>
      <c r="J108" s="75" t="inlineStr">
        <is>
          <t>Плёнка — это материал, который требует процесса: камера только записывает скрытый след, а фотография появляется в проявке.</t>
        </is>
      </c>
      <c r="K108" s="75" t="inlineStr">
        <is>
          <t>Latent image in silver halide grains</t>
        </is>
      </c>
      <c r="L108" s="75" t="inlineStr">
        <is>
          <t>PL-013 and PL-014: negative and positive</t>
        </is>
      </c>
      <c r="M108" s="75" t="inlineStr">
        <is>
          <t>Главная линия</t>
        </is>
      </c>
      <c r="N108" s="75" t="n">
        <v>5</v>
      </c>
      <c r="O108" s="75" t="inlineStr">
        <is>
          <t>PL-011</t>
        </is>
      </c>
      <c r="P108" s="75" t="inlineStr">
        <is>
          <t>SRC-073</t>
        </is>
      </c>
      <c r="Q108" s="75" t="inlineStr">
        <is>
          <t>Kodak — Essential Reference Guide for Filmmakers</t>
        </is>
      </c>
      <c r="R108" s="75" t="inlineStr">
        <is>
          <t>https://www.kodak.com/content/products-brochures/Film/kodak-essential-reference-guide-for-filmmakers.pdf</t>
        </is>
      </c>
      <c r="S108" s="75" t="n">
        <v>5</v>
      </c>
      <c r="T108" s="75" t="inlineStr">
        <is>
          <t>Здесь важно связать PL-011 с будущими уроками: без проявки плёнка ещё не стала изображением.</t>
        </is>
      </c>
      <c r="U108" s="75" t="inlineStr">
        <is>
          <t>Три состояния одной полоски: экспонирована / проявлена / зафиксирована.</t>
        </is>
      </c>
      <c r="V108" s="75" t="inlineStr">
        <is>
          <t>#PL011 #latent-image #developer #fixer #processing</t>
        </is>
      </c>
      <c r="W108" s="75" t="n"/>
      <c r="X108" s="75" t="n"/>
      <c r="Y108" s="75" t="inlineStr">
        <is>
          <t>Плёнка как материал / скрытое изображение и обработка</t>
        </is>
      </c>
      <c r="Z108" s="75" t="inlineStr">
        <is>
          <t>Связь / переход</t>
        </is>
      </c>
      <c r="AA108" s="75" t="n"/>
    </row>
    <row r="109" ht="17" customHeight="1" s="72">
      <c r="A109" s="75" t="inlineStr">
        <is>
          <t>PL-HIST-0108</t>
        </is>
      </c>
      <c r="B109" s="75" t="inlineStr">
        <is>
          <t>базовое понятие</t>
        </is>
      </c>
      <c r="C109" s="75" t="inlineStr">
        <is>
          <t>примерно</t>
        </is>
      </c>
      <c r="D109" s="75" t="inlineStr">
        <is>
          <t>глобально</t>
        </is>
      </c>
      <c r="E109" s="75" t="inlineStr">
        <is>
          <t>без единой точки</t>
        </is>
      </c>
      <c r="F109" s="75" t="inlineStr">
        <is>
          <t>Производители фотоплёнки</t>
        </is>
      </c>
      <c r="G109" s="75" t="inlineStr">
        <is>
          <t>Размер и распределение кристаллов в эмульсии связаны с чувствительностью, контрастом, разрешением и зерном плёнки.</t>
        </is>
      </c>
      <c r="H109" s="75" t="inlineStr">
        <is>
          <t>Фотохимия</t>
        </is>
      </c>
      <c r="I109" s="75" t="inlineStr">
        <is>
          <t>Film sensitivity, grain and resolution</t>
        </is>
      </c>
      <c r="J109" s="75" t="inlineStr">
        <is>
          <t>То, что фотограф называет ISO, зерном и характером плёнки, начинается внутри материала — в устройстве эмульсии.</t>
        </is>
      </c>
      <c r="K109" s="75" t="inlineStr">
        <is>
          <t>Silver halide crystals in gelatin</t>
        </is>
      </c>
      <c r="L109" s="75" t="inlineStr">
        <is>
          <t>PL-018: ISO плёнки; PL-019: зерно</t>
        </is>
      </c>
      <c r="M109" s="75" t="inlineStr">
        <is>
          <t>Главная линия</t>
        </is>
      </c>
      <c r="N109" s="75" t="n">
        <v>4</v>
      </c>
      <c r="O109" s="75" t="inlineStr">
        <is>
          <t>PL-011</t>
        </is>
      </c>
      <c r="P109" s="75" t="inlineStr">
        <is>
          <t>SRC-074</t>
        </is>
      </c>
      <c r="Q109" s="75" t="inlineStr">
        <is>
          <t>Kodak — Basic Sensitometry and Characteristics of Film</t>
        </is>
      </c>
      <c r="R109" s="75" t="inlineStr">
        <is>
          <t>https://www.kodak.com/uploadedfiles/motion/US_plugins_acrobat_en_motion_newsletters_filmEss_06_Characteristics_of_Film.pdf</t>
        </is>
      </c>
      <c r="S109" s="75" t="n">
        <v>5</v>
      </c>
      <c r="T109" s="75" t="inlineStr">
        <is>
          <t>Этот узел — мост к будущим темам: ISO и зерно не являются просто цифрой на коробке.</t>
        </is>
      </c>
      <c r="U109" s="75" t="inlineStr">
        <is>
          <t>Под микроскопом: разные размеры кристаллов → разные свойства плёнки.</t>
        </is>
      </c>
      <c r="V109" s="75" t="inlineStr">
        <is>
          <t>#PL011 #film-speed #grain #resolution #sensitometry</t>
        </is>
      </c>
      <c r="W109" s="75" t="n"/>
      <c r="X109" s="75" t="n"/>
      <c r="Y109" s="75" t="inlineStr">
        <is>
          <t>Плёнка как материал / чувствительность и зерно</t>
        </is>
      </c>
      <c r="Z109" s="75" t="inlineStr">
        <is>
          <t>Связь / переход</t>
        </is>
      </c>
      <c r="AA109" s="75" t="n"/>
    </row>
    <row r="110" ht="17" customHeight="1" s="72">
      <c r="A110" t="inlineStr">
        <is>
          <t>PL-HIST-0109</t>
        </is>
      </c>
      <c r="B110" t="inlineStr">
        <is>
          <t>базовое понятие</t>
        </is>
      </c>
      <c r="C110" t="inlineStr">
        <is>
          <t>примерно</t>
        </is>
      </c>
      <c r="D110" t="inlineStr">
        <is>
          <t>глобально</t>
        </is>
      </c>
      <c r="E110" t="inlineStr">
        <is>
          <t>без единой точки</t>
        </is>
      </c>
      <c r="F110" t="inlineStr">
        <is>
          <t>Производители фотоплёнки</t>
        </is>
      </c>
      <c r="G110" t="inlineStr">
        <is>
          <t>Служебные слои плёнки, например защитный supercoat и antihalation backing, защищают эмульсию и уменьшают паразитное отражение света внутри материала.</t>
        </is>
      </c>
      <c r="H110" t="inlineStr">
        <is>
          <t>Негатив-позитив</t>
        </is>
      </c>
      <c r="I110" t="inlineStr">
        <is>
          <t>Protective layer and antihalation backing</t>
        </is>
      </c>
      <c r="J110" t="inlineStr">
        <is>
          <t>Плёнка — это не один слой. Даже невидимые служебные покрытия влияют на резкость, световые ореолы, транспортировку и обработку.</t>
        </is>
      </c>
      <c r="K110" t="inlineStr">
        <is>
          <t>Base + emulsion concept</t>
        </is>
      </c>
      <c r="L110" t="inlineStr">
        <is>
          <t>Color film multilayer structure and modern film stocks</t>
        </is>
      </c>
      <c r="M110" t="inlineStr">
        <is>
          <t>Главная линия</t>
        </is>
      </c>
      <c r="N110" t="n">
        <v>4</v>
      </c>
      <c r="O110" t="inlineStr">
        <is>
          <t>PL-011</t>
        </is>
      </c>
      <c r="P110" t="inlineStr">
        <is>
          <t>SRC-075</t>
        </is>
      </c>
      <c r="Q110" t="inlineStr">
        <is>
          <t>Kodak — How Film Makes an Image / Film Structure</t>
        </is>
      </c>
      <c r="R110" t="inlineStr">
        <is>
          <t>https://125px.com/docs/motionpicture/kodak_guides/US_plugins_acrobat_en_motion_newsletters_filmEss_04_How-film-makes-image.pdf</t>
        </is>
      </c>
      <c r="S110" t="n">
        <v>4</v>
      </c>
      <c r="T110" t="inlineStr">
        <is>
          <t>Хороший визуальный финал PL-011: плёнка — это инженерная многослойная система, а не просто полоска пластика.</t>
        </is>
      </c>
      <c r="U110" t="inlineStr">
        <is>
          <t>Разрез плёнки с тонкими подписьми: supercoat, emulsion, base, antihalation layer.</t>
        </is>
      </c>
      <c r="V110" t="inlineStr">
        <is>
          <t>#PL011 #film-layers #antihalation #supercoat #film-structure</t>
        </is>
      </c>
      <c r="W110" t="inlineStr">
        <is>
          <t>Проверить оригинальный источник PDF: файл выглядит как копия Kodak guide на стороннем домене; по возможности заменить на официальный источник Kodak.</t>
        </is>
      </c>
      <c r="Y110" t="inlineStr">
        <is>
          <t>Плёнка как материал / защитные и служебные слои</t>
        </is>
      </c>
      <c r="Z110" t="inlineStr">
        <is>
          <t>Технология / процесс</t>
        </is>
      </c>
    </row>
    <row r="111" ht="17" customHeight="1" s="72">
      <c r="A111" s="75" t="inlineStr">
        <is>
          <t>PL-HIST-0110</t>
        </is>
      </c>
      <c r="B111" s="75" t="inlineStr">
        <is>
          <t>1871</t>
        </is>
      </c>
      <c r="C111" s="75" t="inlineStr">
        <is>
          <t>год</t>
        </is>
      </c>
      <c r="D111" s="75" t="inlineStr">
        <is>
          <t>Великобритания</t>
        </is>
      </c>
      <c r="E111" s="75" t="inlineStr">
        <is>
          <t>Лондон (публикация)</t>
        </is>
      </c>
      <c r="F111" s="75" t="inlineStr">
        <is>
          <t>Ричард Лич Мэддокс</t>
        </is>
      </c>
      <c r="G111" s="75" t="inlineStr">
        <is>
          <t>Публикует работу о желатино-бромидной эмульсии: светочувствительные серебряные соли удерживаются в желатине и могут быть нанесены на основу.</t>
        </is>
      </c>
      <c r="H111" s="75" t="inlineStr">
        <is>
          <t>Фотохимия</t>
        </is>
      </c>
      <c r="I111" s="75" t="inlineStr">
        <is>
          <t>Gelatino-bromide silver emulsion</t>
        </is>
      </c>
      <c r="J111" s="75" t="inlineStr">
        <is>
          <t>Эмульсия становится главным рабочим слоем фотографии: именно в ней свет оставляет скрытый след, который затем проявляется химически.</t>
        </is>
      </c>
      <c r="K111" s="75" t="inlineStr">
        <is>
          <t>Сухие пластины и плёнка как готовый светочувствительный материал</t>
        </is>
      </c>
      <c r="L111" s="75" t="inlineStr">
        <is>
          <t>Понимание кристаллов галогенидов серебра, скрытого изображения, проявления и фиксации</t>
        </is>
      </c>
      <c r="M111" s="75" t="inlineStr">
        <is>
          <t>Главная линия</t>
        </is>
      </c>
      <c r="N111" s="75" t="n">
        <v>5</v>
      </c>
      <c r="O111" s="75" t="inlineStr">
        <is>
          <t>PL-012</t>
        </is>
      </c>
      <c r="P111" s="75" t="inlineStr">
        <is>
          <t>SRC-083</t>
        </is>
      </c>
      <c r="Q111" s="75" t="inlineStr">
        <is>
          <t>Conservation Wiki — Gelatin Dry-plate Negative</t>
        </is>
      </c>
      <c r="R111" s="75" t="inlineStr">
        <is>
          <t>https://conservation-wiki.com/wiki/Gelatin_Dry-plate_Negative</t>
        </is>
      </c>
      <c r="S111" s="75" t="n">
        <v>4</v>
      </c>
      <c r="T111" s="75" t="inlineStr">
        <is>
          <t>Флагман PL-012: не плёнка как катушка, а эмульсия как место, где свет превращается в будущую фотографию.</t>
        </is>
      </c>
      <c r="U111" s="75" t="inlineStr">
        <is>
          <t>На карте: Лондон как точка перехода от сухой пластины к пониманию эмульсии; визуально — увеличенный слой с кристаллами серебра в желатине.</t>
        </is>
      </c>
      <c r="V111" s="75" t="inlineStr">
        <is>
          <t>#PL012 #emulsion #gelatin #silver-halide #Maddox</t>
        </is>
      </c>
      <c r="W111" s="75" t="inlineStr">
        <is>
          <t>Уточнить первичный источник статьи Мэддокса 1871 в British Journal of Photography.</t>
        </is>
      </c>
      <c r="X111" s="75" t="inlineStr">
        <is>
          <t>51.5074, -0.1278</t>
        </is>
      </c>
      <c r="Y111" s="75" t="inlineStr">
        <is>
          <t>Эмульсия / желатино-бромидный слой</t>
        </is>
      </c>
      <c r="Z111" s="75" t="inlineStr">
        <is>
          <t>Ключевой исторический узел</t>
        </is>
      </c>
      <c r="AA111" s="75" t="inlineStr">
        <is>
          <t>да</t>
        </is>
      </c>
    </row>
    <row r="112" ht="17" customHeight="1" s="72">
      <c r="A112" s="75" t="inlineStr">
        <is>
          <t>PL-HIST-0111</t>
        </is>
      </c>
      <c r="B112" s="75" t="inlineStr">
        <is>
          <t>XIX–XX век</t>
        </is>
      </c>
      <c r="C112" s="75" t="inlineStr">
        <is>
          <t>диапазон</t>
        </is>
      </c>
      <c r="D112" s="75" t="inlineStr">
        <is>
          <t>Глобально</t>
        </is>
      </c>
      <c r="E112" s="75" t="inlineStr">
        <is>
          <t>распределённый технический принцип</t>
        </is>
      </c>
      <c r="F112" s="75" t="inlineStr">
        <is>
          <t>Производители фотоматериалов</t>
        </is>
      </c>
      <c r="G112" s="75" t="inlineStr">
        <is>
          <t>Фотографическая эмульсия понимается как покрытие из желатина и серебряных солей на основе плёнки, бумаги или стекла.</t>
        </is>
      </c>
      <c r="H112" s="75" t="inlineStr">
        <is>
          <t>Фотохимия</t>
        </is>
      </c>
      <c r="I112" s="75" t="inlineStr">
        <is>
          <t>Photographic emulsion</t>
        </is>
      </c>
      <c r="J112" s="75" t="inlineStr">
        <is>
          <t>Появляется ясная схема материала: есть основа, есть эмульсия/связующий слой и есть вещество, которое после обработки станет изображением.</t>
        </is>
      </c>
      <c r="K112" s="75" t="inlineStr">
        <is>
          <t>Плёнка как многослойный светочувствительный материал</t>
        </is>
      </c>
      <c r="L112" s="75" t="inlineStr">
        <is>
          <t>Скрытое изображение и проявление металлического серебра</t>
        </is>
      </c>
      <c r="M112" s="75" t="inlineStr">
        <is>
          <t>Главная линия</t>
        </is>
      </c>
      <c r="N112" s="75" t="n">
        <v>5</v>
      </c>
      <c r="O112" s="75" t="inlineStr">
        <is>
          <t>PL-012</t>
        </is>
      </c>
      <c r="P112" s="75" t="inlineStr">
        <is>
          <t>SRC-076</t>
        </is>
      </c>
      <c r="Q112" s="75" t="inlineStr">
        <is>
          <t>Library of Congress — Appendix G Glossary</t>
        </is>
      </c>
      <c r="R112" s="75" t="inlineStr">
        <is>
          <t>https://www.loc.gov/catdir/cpso/app-glos.html</t>
        </is>
      </c>
      <c r="S112" s="75" t="n">
        <v>5</v>
      </c>
      <c r="T112" s="75" t="inlineStr">
        <is>
          <t>Для новичка: эмульсия — это не «молочко» и не абстракция, а конкретный слой, где живёт будущий кадр.</t>
        </is>
      </c>
      <c r="U112" s="75" t="inlineStr">
        <is>
          <t>Поперечный разрез плёнки: основа + эмульсия + кристаллы.</t>
        </is>
      </c>
      <c r="V112" s="75" t="inlineStr">
        <is>
          <t>#PL012 #emulsion #gelatin #silver-salts #film-layer</t>
        </is>
      </c>
      <c r="W112" s="75" t="n"/>
      <c r="X112" s="75" t="n"/>
      <c r="Y112" s="75" t="inlineStr">
        <is>
          <t>Эмульсия / определение</t>
        </is>
      </c>
      <c r="Z112" s="75" t="inlineStr">
        <is>
          <t>Технология / процесс</t>
        </is>
      </c>
      <c r="AA112" s="75" t="inlineStr">
        <is>
          <t>нет</t>
        </is>
      </c>
    </row>
    <row r="113" ht="17" customHeight="1" s="72">
      <c r="A113" s="75" t="inlineStr">
        <is>
          <t>PL-HIST-0112</t>
        </is>
      </c>
      <c r="B113" s="75" t="inlineStr">
        <is>
          <t>XIX–XX век</t>
        </is>
      </c>
      <c r="C113" s="75" t="inlineStr">
        <is>
          <t>диапазон</t>
        </is>
      </c>
      <c r="D113" s="75" t="inlineStr">
        <is>
          <t>Глобально</t>
        </is>
      </c>
      <c r="E113" s="75" t="inlineStr">
        <is>
          <t>распределённый технический принцип</t>
        </is>
      </c>
      <c r="F113" s="75" t="inlineStr">
        <is>
          <t>Архивисты и производители фотоматериалов</t>
        </is>
      </c>
      <c r="G113" s="75" t="inlineStr">
        <is>
          <t>Фотографический объект можно описать как систему слоёв: поддержка, связующий/эмульсионный слой и финальный материал изображения.</t>
        </is>
      </c>
      <c r="H113" s="75" t="inlineStr">
        <is>
          <t>Фотохимия</t>
        </is>
      </c>
      <c r="I113" s="75" t="inlineStr">
        <is>
          <t>Support + binder/emulsion + final image material</t>
        </is>
      </c>
      <c r="J113" s="75" t="inlineStr">
        <is>
          <t>Фотография перестаёт быть только «снимком»: её можно читать как физический объект со слоями, каждый из которых влияет на вид и сохранность.</t>
        </is>
      </c>
      <c r="K113" s="75" t="inlineStr">
        <is>
          <t>Плёнка как основа и эмульсия как светочувствительный слой</t>
        </is>
      </c>
      <c r="L113" s="75" t="inlineStr">
        <is>
          <t>Понимание хранения, проявления и разрушения фотографического изображения</t>
        </is>
      </c>
      <c r="M113" s="75" t="inlineStr">
        <is>
          <t>Главная линия</t>
        </is>
      </c>
      <c r="N113" s="75" t="n">
        <v>4</v>
      </c>
      <c r="O113" s="75" t="inlineStr">
        <is>
          <t>PL-012</t>
        </is>
      </c>
      <c r="P113" s="75" t="inlineStr">
        <is>
          <t>SRC-077</t>
        </is>
      </c>
      <c r="Q113" s="75" t="inlineStr">
        <is>
          <t>Library of Congress — Care, Handling, and Storage of Photographs</t>
        </is>
      </c>
      <c r="R113" s="75" t="inlineStr">
        <is>
          <t>https://www.loc.gov/preservation/care/photolea.html</t>
        </is>
      </c>
      <c r="S113" s="75" t="n">
        <v>5</v>
      </c>
      <c r="T113" s="75" t="inlineStr">
        <is>
          <t>Это хорошо объясняет, почему плёнка, бумага и стеклянная пластина могут быть разными основами, но логика эмульсии остаётся общей.</t>
        </is>
      </c>
      <c r="U113" s="75" t="inlineStr">
        <is>
          <t>Схема трёх слоёв: support / binder / image material.</t>
        </is>
      </c>
      <c r="V113" s="75" t="inlineStr">
        <is>
          <t>#PL012 #support #binder #image-material #conservation</t>
        </is>
      </c>
      <c r="W113" s="75" t="n"/>
      <c r="X113" s="75" t="n"/>
      <c r="Y113" s="75" t="inlineStr">
        <is>
          <t>Эмульсия / слои фотографического объекта</t>
        </is>
      </c>
      <c r="Z113" s="75" t="inlineStr">
        <is>
          <t>Фундаментальная предпосылка</t>
        </is>
      </c>
      <c r="AA113" s="75" t="inlineStr">
        <is>
          <t>нет</t>
        </is>
      </c>
    </row>
    <row r="114" ht="17" customHeight="1" s="72">
      <c r="A114" s="75" t="inlineStr">
        <is>
          <t>PL-HIST-0113</t>
        </is>
      </c>
      <c r="B114" s="75" t="inlineStr">
        <is>
          <t>технический принцип</t>
        </is>
      </c>
      <c r="C114" s="75" t="inlineStr">
        <is>
          <t>примерно</t>
        </is>
      </c>
      <c r="D114" s="75" t="inlineStr">
        <is>
          <t>Глобально</t>
        </is>
      </c>
      <c r="E114" s="75" t="inlineStr">
        <is>
          <t>распределённый технический принцип</t>
        </is>
      </c>
      <c r="F114" s="75" t="inlineStr">
        <is>
          <t>Фотохимики серебряно-желатинового процесса</t>
        </is>
      </c>
      <c r="G114" s="75" t="inlineStr">
        <is>
          <t>Кристаллы галогенидов серебра в желатине реагируют на свет и формируют невидимое скрытое изображение.</t>
        </is>
      </c>
      <c r="H114" s="75" t="inlineStr">
        <is>
          <t>Фотохимия</t>
        </is>
      </c>
      <c r="I114" s="75" t="inlineStr">
        <is>
          <t>Silver halide crystals / latent image</t>
        </is>
      </c>
      <c r="J114" s="75" t="inlineStr">
        <is>
          <t>Кадр появляется не сразу: свет создаёт в эмульсии невидимый след, который нужно проявить.</t>
        </is>
      </c>
      <c r="K114" s="75" t="inlineStr">
        <is>
          <t>Эмульсия как слой желатина и серебряных солей</t>
        </is>
      </c>
      <c r="L114" s="75" t="inlineStr">
        <is>
          <t>Проявитель превращает скрытый след в видимое металлическое серебро</t>
        </is>
      </c>
      <c r="M114" s="75" t="inlineStr">
        <is>
          <t>Главная линия</t>
        </is>
      </c>
      <c r="N114" s="75" t="n">
        <v>5</v>
      </c>
      <c r="O114" s="75" t="inlineStr">
        <is>
          <t>PL-012</t>
        </is>
      </c>
      <c r="P114" s="75" t="inlineStr">
        <is>
          <t>SRC-073</t>
        </is>
      </c>
      <c r="Q114" s="75" t="inlineStr">
        <is>
          <t>Kodak — Essential Reference Guide for Filmmakers</t>
        </is>
      </c>
      <c r="R114" s="75" t="inlineStr">
        <is>
          <t>https://www.kodak.com/content/products-brochures/Film/kodak-essential-reference-guide-for-filmmakers.pdf</t>
        </is>
      </c>
      <c r="S114" s="75" t="n">
        <v>5</v>
      </c>
      <c r="T114" s="75" t="inlineStr">
        <is>
          <t>Главная фраза урока: фотография на плёнке сначала становится невидимой.</t>
        </is>
      </c>
      <c r="U114" s="75" t="inlineStr">
        <is>
          <t>Микроскопический визуал: кристалл галогенида серебра ловит фотон и хранит скрытый след.</t>
        </is>
      </c>
      <c r="V114" s="75" t="inlineStr">
        <is>
          <t>#PL012 #silver-halide #latent-image #photochemistry</t>
        </is>
      </c>
      <c r="W114" s="75" t="n"/>
      <c r="X114" s="75" t="n"/>
      <c r="Y114" s="75" t="inlineStr">
        <is>
          <t>Эмульсия / скрытое изображение</t>
        </is>
      </c>
      <c r="Z114" s="75" t="inlineStr">
        <is>
          <t>Технология / процесс</t>
        </is>
      </c>
      <c r="AA114" s="75" t="inlineStr">
        <is>
          <t>нет</t>
        </is>
      </c>
    </row>
    <row r="115" ht="17" customHeight="1" s="72">
      <c r="A115" s="75" t="inlineStr">
        <is>
          <t>PL-HIST-0114</t>
        </is>
      </c>
      <c r="B115" s="75" t="inlineStr">
        <is>
          <t>технический принцип</t>
        </is>
      </c>
      <c r="C115" s="75" t="inlineStr">
        <is>
          <t>примерно</t>
        </is>
      </c>
      <c r="D115" s="75" t="inlineStr">
        <is>
          <t>Глобально</t>
        </is>
      </c>
      <c r="E115" s="75" t="inlineStr">
        <is>
          <t>тёмная комната / лаборатория</t>
        </is>
      </c>
      <c r="F115" s="75" t="inlineStr">
        <is>
          <t>Фотографы и лаборатории</t>
        </is>
      </c>
      <c r="G115" s="75" t="inlineStr">
        <is>
          <t>Проявитель восстанавливает экспонированные галогениды серебра до металлического серебра, делая скрытое изображение видимым.</t>
        </is>
      </c>
      <c r="H115" s="75" t="inlineStr">
        <is>
          <t>Фотохимия</t>
        </is>
      </c>
      <c r="I115" s="75" t="inlineStr">
        <is>
          <t>Chemical development / metallic silver</t>
        </is>
      </c>
      <c r="J115" s="75" t="inlineStr">
        <is>
          <t>Проявление — это усиление невидимого следа: слабое действие света превращается в видимый тональный рисунок.</t>
        </is>
      </c>
      <c r="K115" s="75" t="inlineStr">
        <is>
          <t>Скрытое изображение в кристаллах серебряных солей</t>
        </is>
      </c>
      <c r="L115" s="75" t="inlineStr">
        <is>
          <t>Остановка, фиксация и промывка делают изображение устойчивым</t>
        </is>
      </c>
      <c r="M115" s="75" t="inlineStr">
        <is>
          <t>Главная линия</t>
        </is>
      </c>
      <c r="N115" s="75" t="n">
        <v>5</v>
      </c>
      <c r="O115" s="75" t="inlineStr">
        <is>
          <t>PL-012</t>
        </is>
      </c>
      <c r="P115" s="75" t="inlineStr">
        <is>
          <t>SRC-073</t>
        </is>
      </c>
      <c r="Q115" s="75" t="inlineStr">
        <is>
          <t>Kodak — Essential Reference Guide for Filmmakers</t>
        </is>
      </c>
      <c r="R115" s="75" t="inlineStr">
        <is>
          <t>https://www.kodak.com/content/products-brochures/Film/kodak-essential-reference-guide-for-filmmakers.pdf</t>
        </is>
      </c>
      <c r="S115" s="75" t="n">
        <v>5</v>
      </c>
      <c r="T115" s="75" t="inlineStr">
        <is>
          <t>Очень важное объяснение: плёнка не «показывает» изображение сама — его раскрывает химия.</t>
        </is>
      </c>
      <c r="U115" s="75" t="inlineStr">
        <is>
          <t>Тёмная кювета: невидимое изображение постепенно появляется в проявителе.</t>
        </is>
      </c>
      <c r="V115" s="75" t="inlineStr">
        <is>
          <t>#PL012 #developer #metallic-silver #darkroom</t>
        </is>
      </c>
      <c r="W115" s="75" t="n"/>
      <c r="X115" s="75" t="n"/>
      <c r="Y115" s="75" t="inlineStr">
        <is>
          <t>Эмульсия / проявление</t>
        </is>
      </c>
      <c r="Z115" s="75" t="inlineStr">
        <is>
          <t>Технология / процесс</t>
        </is>
      </c>
      <c r="AA115" s="75" t="inlineStr">
        <is>
          <t>нет</t>
        </is>
      </c>
    </row>
    <row r="116" ht="17" customHeight="1" s="72">
      <c r="A116" s="75" t="inlineStr">
        <is>
          <t>PL-HIST-0115</t>
        </is>
      </c>
      <c r="B116" s="75" t="inlineStr">
        <is>
          <t>технический принцип</t>
        </is>
      </c>
      <c r="C116" s="75" t="inlineStr">
        <is>
          <t>примерно</t>
        </is>
      </c>
      <c r="D116" s="75" t="inlineStr">
        <is>
          <t>Глобально</t>
        </is>
      </c>
      <c r="E116" s="75" t="inlineStr">
        <is>
          <t>тёмная комната / лаборатория</t>
        </is>
      </c>
      <c r="F116" s="75" t="inlineStr">
        <is>
          <t>Фотографы и лаборатории</t>
        </is>
      </c>
      <c r="G116" s="75" t="inlineStr">
        <is>
          <t>Фиксаж удаляет неэкспонированные и непроявленные галогениды серебра, чтобы изображение больше не продолжало темнеть на свету.</t>
        </is>
      </c>
      <c r="H116" s="75" t="inlineStr">
        <is>
          <t>Фиксаж / терминология</t>
        </is>
      </c>
      <c r="I116" s="75" t="inlineStr">
        <is>
          <t>Fixing / removing unexposed silver halides</t>
        </is>
      </c>
      <c r="J116" s="75" t="inlineStr">
        <is>
          <t>Фотография становится устойчивой не только благодаря проявлению, но и благодаря удалению лишней светочувствительной химии.</t>
        </is>
      </c>
      <c r="K116" s="75" t="inlineStr">
        <is>
          <t>Проявление делает скрытое изображение видимым</t>
        </is>
      </c>
      <c r="L116" s="75" t="inlineStr">
        <is>
          <t>Промывка, сушка и долговременная сохранность серебряного изображения</t>
        </is>
      </c>
      <c r="M116" s="75" t="inlineStr">
        <is>
          <t>Главная линия</t>
        </is>
      </c>
      <c r="N116" s="75" t="n">
        <v>5</v>
      </c>
      <c r="O116" s="75" t="inlineStr">
        <is>
          <t>PL-012</t>
        </is>
      </c>
      <c r="P116" s="75" t="inlineStr">
        <is>
          <t>SRC-079</t>
        </is>
      </c>
      <c r="Q116" s="75" t="inlineStr">
        <is>
          <t>HNOC — Gelatin Silver Developing-Out Paper Process</t>
        </is>
      </c>
      <c r="R116" s="75" t="inlineStr">
        <is>
          <t>https://hnoc.org/virtual-exhibitions/from_daguerreotype_to_digital/gelatin-silver-developing-out-paper-process</t>
        </is>
      </c>
      <c r="S116" s="75" t="n">
        <v>5</v>
      </c>
      <c r="T116" s="75" t="inlineStr">
        <is>
          <t>Формула для урока: проявитель показывает изображение, фиксаж останавливает материал.</t>
        </is>
      </c>
      <c r="U116" s="75" t="inlineStr">
        <is>
          <t>Иконка замка на эмульсионном слое после фиксации.</t>
        </is>
      </c>
      <c r="V116" s="75" t="inlineStr">
        <is>
          <t>#PL012 #fixer #hypo #silver-halide #permanence</t>
        </is>
      </c>
      <c r="W116" s="75" t="n"/>
      <c r="X116" s="75" t="n"/>
      <c r="Y116" s="75" t="inlineStr">
        <is>
          <t>Эмульсия / фиксация</t>
        </is>
      </c>
      <c r="Z116" s="75" t="inlineStr">
        <is>
          <t>Технология / процесс</t>
        </is>
      </c>
      <c r="AA116" s="75" t="inlineStr">
        <is>
          <t>нет</t>
        </is>
      </c>
    </row>
    <row r="117" ht="17" customHeight="1" s="72">
      <c r="A117" s="75" t="inlineStr">
        <is>
          <t>PL-HIST-0116</t>
        </is>
      </c>
      <c r="B117" s="75" t="inlineStr">
        <is>
          <t>1878</t>
        </is>
      </c>
      <c r="C117" s="75" t="inlineStr">
        <is>
          <t>год</t>
        </is>
      </c>
      <c r="D117" s="75" t="inlineStr">
        <is>
          <t>Великобритания</t>
        </is>
      </c>
      <c r="E117" s="75" t="inlineStr">
        <is>
          <t>Лондон</t>
        </is>
      </c>
      <c r="F117" s="75" t="inlineStr">
        <is>
          <t>Чарльз Харпер Беннетт</t>
        </is>
      </c>
      <c r="G117" s="75" t="inlineStr">
        <is>
          <t>Улучшает желатиновую эмульсию длительным нагреванием/созреванием, что резко повышает её светочувствительность.</t>
        </is>
      </c>
      <c r="H117" s="75" t="inlineStr">
        <is>
          <t>Фотохимия</t>
        </is>
      </c>
      <c r="I117" s="75" t="inlineStr">
        <is>
          <t>Emulsion ripening / increased sensitivity</t>
        </is>
      </c>
      <c r="J117" s="75" t="inlineStr">
        <is>
          <t>Скорость материала начинает зависеть не только от камеры и света, но и от внутренней структуры эмульсии.</t>
        </is>
      </c>
      <c r="K117" s="75" t="inlineStr">
        <is>
          <t>Желатино-бромидная эмульсия Мэддокса 1871</t>
        </is>
      </c>
      <c r="L117" s="75" t="inlineStr">
        <is>
          <t>Более быстрые сухие пластины, моментальная съёмка и дальнейшее развитие чувствительных плёнок</t>
        </is>
      </c>
      <c r="M117" s="75" t="inlineStr">
        <is>
          <t>Главная линия</t>
        </is>
      </c>
      <c r="N117" s="75" t="n">
        <v>4</v>
      </c>
      <c r="O117" s="75" t="inlineStr">
        <is>
          <t>PL-012</t>
        </is>
      </c>
      <c r="P117" s="75" t="inlineStr">
        <is>
          <t>SRC-083</t>
        </is>
      </c>
      <c r="Q117" s="75" t="inlineStr">
        <is>
          <t>Conservation Wiki — Gelatin Dry-plate Negative</t>
        </is>
      </c>
      <c r="R117" s="75" t="inlineStr">
        <is>
          <t>https://conservation-wiki.com/wiki/Gelatin_Dry-plate_Negative</t>
        </is>
      </c>
      <c r="S117" s="75" t="n">
        <v>4</v>
      </c>
      <c r="T117" s="75" t="inlineStr">
        <is>
          <t>В PL-006 Беннетт был про мобильность; в PL-012 он важен как пример того, что свойства кадра задаются самой эмульсией.</t>
        </is>
      </c>
      <c r="U117" s="75" t="inlineStr">
        <is>
          <t>Кристаллы эмульсии как «зёрна», которые после созревания становятся чувствительнее.</t>
        </is>
      </c>
      <c r="V117" s="75" t="inlineStr">
        <is>
          <t>#PL012 #Bennett #emulsion-ripening #sensitivity</t>
        </is>
      </c>
      <c r="W117" s="75" t="inlineStr">
        <is>
          <t>По возможности заменить на музейный/первичный источник по Bennett 1878.</t>
        </is>
      </c>
      <c r="X117" s="75" t="inlineStr">
        <is>
          <t>51.5074, -0.1278</t>
        </is>
      </c>
      <c r="Y117" s="75" t="inlineStr">
        <is>
          <t>Эмульсия / повышение чувствительности</t>
        </is>
      </c>
      <c r="Z117" s="75" t="inlineStr">
        <is>
          <t>Технология / процесс</t>
        </is>
      </c>
      <c r="AA117" s="75" t="inlineStr">
        <is>
          <t>нет</t>
        </is>
      </c>
    </row>
    <row r="118" ht="17" customHeight="1" s="72">
      <c r="A118" s="75" t="inlineStr">
        <is>
          <t>PL-HIST-0117</t>
        </is>
      </c>
      <c r="B118" s="75" t="inlineStr">
        <is>
          <t>1880-е–1890-е</t>
        </is>
      </c>
      <c r="C118" s="75" t="inlineStr">
        <is>
          <t>диапазон</t>
        </is>
      </c>
      <c r="D118" s="75" t="inlineStr">
        <is>
          <t>Европа / США</t>
        </is>
      </c>
      <c r="E118" s="75" t="inlineStr">
        <is>
          <t>производственные центры</t>
        </is>
      </c>
      <c r="F118" s="75" t="inlineStr">
        <is>
          <t>Производители фотопластин, плёнки и фотобумаги</t>
        </is>
      </c>
      <c r="G118" s="75" t="inlineStr">
        <is>
          <t>Стандартизированное нанесение светочувствительной эмульсии на стекло, плёнку и бумагу делает фотоматериал более предсказуемым и массовым.</t>
        </is>
      </c>
      <c r="H118" s="75" t="inlineStr">
        <is>
          <t>Негатив-позитив</t>
        </is>
      </c>
      <c r="I118" s="75" t="inlineStr">
        <is>
          <t>Factory-coated silver gelatin materials</t>
        </is>
      </c>
      <c r="J118" s="75" t="inlineStr">
        <is>
          <t>Фотограф всё меньше зависит от самостоятельного приготовления слоя: качество изображения всё сильнее переносится на фабричную эмульсию.</t>
        </is>
      </c>
      <c r="K118" s="75" t="inlineStr">
        <is>
          <t>Сухие пластины и рулонная плёнка</t>
        </is>
      </c>
      <c r="L118" s="75" t="inlineStr">
        <is>
          <t>Массовая плёнка, фотобумага, любительская и профессиональная лаборатория XX века</t>
        </is>
      </c>
      <c r="M118" s="75" t="inlineStr">
        <is>
          <t>Распространение / коммерциализация</t>
        </is>
      </c>
      <c r="N118" s="75" t="n">
        <v>4</v>
      </c>
      <c r="O118" s="75" t="inlineStr">
        <is>
          <t>PL-012</t>
        </is>
      </c>
      <c r="P118" s="75" t="inlineStr">
        <is>
          <t>SRC-078</t>
        </is>
      </c>
      <c r="Q118" s="75" t="inlineStr">
        <is>
          <t>National Gallery of Art — Stieglitz's Practices and Processes</t>
        </is>
      </c>
      <c r="R118" s="75" t="inlineStr">
        <is>
          <t>https://www.nga.gov/research/publications/alfred-stieglitz-key-set/stieglitzs-practices-and-processes</t>
        </is>
      </c>
      <c r="S118" s="75" t="n">
        <v>4</v>
      </c>
      <c r="T118" s="75" t="inlineStr">
        <is>
          <t>Это мост от химии к индустрии: эмульсия становится производственным стандартом.</t>
        </is>
      </c>
      <c r="U118" s="75" t="inlineStr">
        <is>
          <t>Фабричная линия покрытия: равномерная полоса эмульсии на основе.</t>
        </is>
      </c>
      <c r="V118" s="75" t="inlineStr">
        <is>
          <t>#PL012 #factory-coating #silver-gelatin #photographic-material</t>
        </is>
      </c>
      <c r="W118" s="75" t="inlineStr">
        <is>
          <t>Распределённый процесс: не ставить координату без конкретного завода.</t>
        </is>
      </c>
      <c r="X118" s="75" t="n"/>
      <c r="Y118" s="75" t="inlineStr">
        <is>
          <t>Эмульсия / фабричное нанесение</t>
        </is>
      </c>
      <c r="Z118" s="75" t="inlineStr">
        <is>
          <t>Распространение / коммерциализация</t>
        </is>
      </c>
      <c r="AA118" s="75" t="inlineStr">
        <is>
          <t>нет</t>
        </is>
      </c>
    </row>
    <row r="119" ht="17" customHeight="1" s="72">
      <c r="A119" s="75" t="inlineStr">
        <is>
          <t>PL-HIST-0118</t>
        </is>
      </c>
      <c r="B119" s="75" t="inlineStr">
        <is>
          <t>1895</t>
        </is>
      </c>
      <c r="C119" s="75" t="inlineStr">
        <is>
          <t>год</t>
        </is>
      </c>
      <c r="D119" s="75" t="inlineStr">
        <is>
          <t>США</t>
        </is>
      </c>
      <c r="E119" s="75" t="inlineStr">
        <is>
          <t>Новый Орлеан (источник HNOC; процесс глобальный)</t>
        </is>
      </c>
      <c r="F119" s="75" t="inlineStr">
        <is>
          <t>Производители gelatin silver DOP papers</t>
        </is>
      </c>
      <c r="G119" s="75" t="inlineStr">
        <is>
          <t>Желатино-серебряные developing-out papers становятся удобным и стабильным процессом печати, доминирующим в XX веке.</t>
        </is>
      </c>
      <c r="H119" s="75" t="inlineStr">
        <is>
          <t>Печать / тиражирование</t>
        </is>
      </c>
      <c r="I119" s="75" t="inlineStr">
        <is>
          <t>Gelatin silver developing-out paper</t>
        </is>
      </c>
      <c r="J119" s="75" t="inlineStr">
        <is>
          <t>Та же логика эмульсии работает не только в негативе, но и в бумажной печати: скрытое изображение проявляется химически.</t>
        </is>
      </c>
      <c r="K119" s="75" t="inlineStr">
        <is>
          <t>Желатино-серебряные эмульсии на стекле и плёнке</t>
        </is>
      </c>
      <c r="L119" s="75" t="inlineStr">
        <is>
          <t>Чёрно-белая фотопечать XX века и лабораторная культура</t>
        </is>
      </c>
      <c r="M119" s="75" t="inlineStr">
        <is>
          <t>Главная линия / временная доминирующая линия</t>
        </is>
      </c>
      <c r="N119" s="75" t="n">
        <v>4</v>
      </c>
      <c r="O119" s="75" t="inlineStr">
        <is>
          <t>PL-012</t>
        </is>
      </c>
      <c r="P119" s="75" t="inlineStr">
        <is>
          <t>SRC-079</t>
        </is>
      </c>
      <c r="Q119" s="75" t="inlineStr">
        <is>
          <t>HNOC — Gelatin Silver Developing-Out Paper Process</t>
        </is>
      </c>
      <c r="R119" s="75" t="inlineStr">
        <is>
          <t>https://hnoc.org/virtual-exhibitions/from_daguerreotype_to_digital/gelatin-silver-developing-out-paper-process</t>
        </is>
      </c>
      <c r="S119" s="75" t="n">
        <v>5</v>
      </c>
      <c r="T119" s="75" t="inlineStr">
        <is>
          <t>Важно: эмульсия — это не только плёнка, но и фотобумага. Негатив и отпечаток связаны одной химической логикой.</t>
        </is>
      </c>
      <c r="U119" s="75" t="inlineStr">
        <is>
          <t>Негатив в увеличителе проецирует свет на фотобумагу с эмульсией.</t>
        </is>
      </c>
      <c r="V119" s="75" t="inlineStr">
        <is>
          <t>#PL012 #gelatin-silver #DOP #photographic-paper #print</t>
        </is>
      </c>
      <c r="W119" s="75" t="inlineStr">
        <is>
          <t>Дата относится к распространению процесса; не привязывать событие к одному городу.</t>
        </is>
      </c>
      <c r="X119" s="75" t="n"/>
      <c r="Y119" s="75" t="inlineStr">
        <is>
          <t>Эмульсия / фотобумага и developing-out print</t>
        </is>
      </c>
      <c r="Z119" s="75" t="inlineStr">
        <is>
          <t>Тиражирование / публикация</t>
        </is>
      </c>
      <c r="AA119" s="75" t="inlineStr">
        <is>
          <t>нет</t>
        </is>
      </c>
    </row>
    <row r="120" ht="17" customHeight="1" s="72">
      <c r="A120" s="75" t="inlineStr">
        <is>
          <t>PL-HIST-0119</t>
        </is>
      </c>
      <c r="B120" s="75" t="inlineStr">
        <is>
          <t>1906</t>
        </is>
      </c>
      <c r="C120" s="75" t="inlineStr">
        <is>
          <t>год</t>
        </is>
      </c>
      <c r="D120" s="75" t="inlineStr">
        <is>
          <t>Великобритания</t>
        </is>
      </c>
      <c r="E120" s="75" t="inlineStr">
        <is>
          <t>Кройдон / Лондон</t>
        </is>
      </c>
      <c r="F120" s="75" t="inlineStr">
        <is>
          <t>Wratten &amp; Wainwright / C. E. Kenneth Mees</t>
        </is>
      </c>
      <c r="G120" s="75" t="inlineStr">
        <is>
          <t>Коммерческие панхроматические пластины расширяют спектральную чувствительность эмульсии: материал начинает воспринимать весь видимый спектр.</t>
        </is>
      </c>
      <c r="H120" s="75" t="inlineStr">
        <is>
          <t>Цвет</t>
        </is>
      </c>
      <c r="I120" s="75" t="inlineStr">
        <is>
          <t>Panchromatic emulsion / sensitizing dyes</t>
        </is>
      </c>
      <c r="J120" s="75" t="inlineStr">
        <is>
          <t>Эмульсия начинает «видеть» цвета иначе: чёрно-белый снимок получает более естественное распределение тонов.</t>
        </is>
      </c>
      <c r="K120" s="75" t="inlineStr">
        <is>
          <t>Ранние эмульсии были сильнее чувствительны к синему и хуже передавали красный</t>
        </is>
      </c>
      <c r="L120" s="75" t="inlineStr">
        <is>
          <t>Панхроматическая плёнка, корректная тональная передача и путь к цветным процессам</t>
        </is>
      </c>
      <c r="M120" s="75" t="inlineStr">
        <is>
          <t>Главная линия</t>
        </is>
      </c>
      <c r="N120" s="75" t="n">
        <v>5</v>
      </c>
      <c r="O120" s="75" t="inlineStr">
        <is>
          <t>PL-012</t>
        </is>
      </c>
      <c r="P120" s="75" t="inlineStr">
        <is>
          <t>SRC-081</t>
        </is>
      </c>
      <c r="Q120" s="75" t="inlineStr">
        <is>
          <t>Science Museum Journal — Kenneth Mees, Eastman Kodak and the challenges of research</t>
        </is>
      </c>
      <c r="R120" s="75" t="inlineStr">
        <is>
          <t>https://journal.sciencemuseum.ac.uk/article/kenneth-mees-eastman-kodak/</t>
        </is>
      </c>
      <c r="S120" s="75" t="n">
        <v>4</v>
      </c>
      <c r="T120" s="75" t="inlineStr">
        <is>
          <t>Это сильный смысловой узел: эмульсия не просто чувствительная, у неё есть собственное «зрение».</t>
        </is>
      </c>
      <c r="U120" s="75" t="inlineStr">
        <is>
          <t>Спектр света входит в эмульсию; разные цвета превращаются в разные серые тона.</t>
        </is>
      </c>
      <c r="V120" s="75" t="inlineStr">
        <is>
          <t>#PL012 #panchromatic #Wratten #Mees #spectral-sensitivity</t>
        </is>
      </c>
      <c r="W120" s="75" t="inlineStr">
        <is>
          <t>Уточнить первичный источник по дате коммерческого выпуска первых панхроматических пластин.</t>
        </is>
      </c>
      <c r="X120" s="75" t="inlineStr">
        <is>
          <t>51.3762, -0.0982</t>
        </is>
      </c>
      <c r="Y120" s="75" t="inlineStr">
        <is>
          <t>Эмульсия / панхроматическая чувствительность</t>
        </is>
      </c>
      <c r="Z120" s="75" t="inlineStr">
        <is>
          <t>Технология / процесс</t>
        </is>
      </c>
      <c r="AA120" s="75" t="inlineStr">
        <is>
          <t>нет</t>
        </is>
      </c>
    </row>
    <row r="121" ht="17" customHeight="1" s="72">
      <c r="A121" s="75" t="inlineStr">
        <is>
          <t>PL-HIST-0120</t>
        </is>
      </c>
      <c r="B121" s="75" t="inlineStr">
        <is>
          <t>XX век</t>
        </is>
      </c>
      <c r="C121" s="75" t="inlineStr">
        <is>
          <t>диапазон</t>
        </is>
      </c>
      <c r="D121" s="75" t="inlineStr">
        <is>
          <t>Глобально</t>
        </is>
      </c>
      <c r="E121" s="75" t="inlineStr">
        <is>
          <t>производители плёнки и фотоматериалов</t>
        </is>
      </c>
      <c r="F121" s="75" t="inlineStr">
        <is>
          <t>Kodak и другие производители плёнки</t>
        </is>
      </c>
      <c r="G121" s="75" t="inlineStr">
        <is>
          <t>Размер, распределение и чувствительность кристаллов в эмульсии становятся основой таких свойств, как светочувствительность, зерно, контраст и тональная передача.</t>
        </is>
      </c>
      <c r="H121" s="75" t="inlineStr">
        <is>
          <t>Фотохимия</t>
        </is>
      </c>
      <c r="I121" s="75" t="inlineStr">
        <is>
          <t>Emulsion speed / grain / sensitometry</t>
        </is>
      </c>
      <c r="J121" s="75" t="inlineStr">
        <is>
          <t>Фотографические характеристики перестают быть загадкой: ISO, зерно и контраст можно объяснять через устройство эмульсии.</t>
        </is>
      </c>
      <c r="K121" s="75" t="inlineStr">
        <is>
          <t>Панхроматическая чувствительность и фабричное производство эмульсий</t>
        </is>
      </c>
      <c r="L121" s="75" t="inlineStr">
        <is>
          <t>Следующие уроки о ISO, зерне, широте и типах плёнки</t>
        </is>
      </c>
      <c r="M121" s="75" t="inlineStr">
        <is>
          <t>Главная линия</t>
        </is>
      </c>
      <c r="N121" s="75" t="n">
        <v>5</v>
      </c>
      <c r="O121" s="75" t="inlineStr">
        <is>
          <t>PL-012</t>
        </is>
      </c>
      <c r="P121" s="75" t="inlineStr">
        <is>
          <t>SRC-074</t>
        </is>
      </c>
      <c r="Q121" s="75" t="inlineStr">
        <is>
          <t>Kodak — Basic Sensitometry and Characteristics of Film</t>
        </is>
      </c>
      <c r="R121" s="75" t="inlineStr">
        <is>
          <t>https://www.kodak.com/uploadedfiles/motion/US_plugins_acrobat_en_motion_newsletters_filmEss_06_Characteristics_of_Film.pdf</t>
        </is>
      </c>
      <c r="S121" s="75" t="n">
        <v>5</v>
      </c>
      <c r="T121" s="75" t="inlineStr">
        <is>
          <t>Финальный мост PL-012: теперь можно объяснять, почему одна плёнка мелкозернистая, другая быстрая, третья контрастная.</t>
        </is>
      </c>
      <c r="U121" s="75" t="inlineStr">
        <is>
          <t>Микро-зёрна эмульсии разного размера → шкала ISO / зерно / контраст.</t>
        </is>
      </c>
      <c r="V121" s="75" t="inlineStr">
        <is>
          <t>#PL012 #film-speed #grain #sensitometry #ISO</t>
        </is>
      </c>
      <c r="W121" s="75" t="n"/>
      <c r="X121" s="75" t="n"/>
      <c r="Y121" s="75" t="inlineStr">
        <is>
          <t>Эмульсия / чувствительность и зерно</t>
        </is>
      </c>
      <c r="Z121" s="75" t="inlineStr">
        <is>
          <t>Связь / переход</t>
        </is>
      </c>
      <c r="AA121" s="75" t="inlineStr">
        <is>
          <t>нет</t>
        </is>
      </c>
    </row>
    <row r="122" ht="17" customHeight="1" s="72">
      <c r="A122" s="75" t="inlineStr">
        <is>
          <t>PL-HIST-0121</t>
        </is>
      </c>
      <c r="B122" s="75" t="inlineStr">
        <is>
          <t>базовое понятие</t>
        </is>
      </c>
      <c r="C122" s="75" t="inlineStr">
        <is>
          <t>примерно</t>
        </is>
      </c>
      <c r="D122" s="75" t="inlineStr">
        <is>
          <t>глобально</t>
        </is>
      </c>
      <c r="E122" s="75" t="inlineStr">
        <is>
          <t>без единой точки</t>
        </is>
      </c>
      <c r="F122" s="75" t="inlineStr">
        <is>
          <t>Ранние исследователи фотографии</t>
        </is>
      </c>
      <c r="G122" s="75" t="inlineStr">
        <is>
          <t>Негатив — не готовое изображение, а инверсия тонов: то, что было светлым, становится тёмным, и наоборот. Смысл не в самом эффекте, а в том, что с одной такой инвертированной матрицы можно печатать позитив снова и снова.</t>
        </is>
      </c>
      <c r="H122" s="75" t="inlineStr">
        <is>
          <t>Негатив-позитив</t>
        </is>
      </c>
      <c r="I122" s="75" t="inlineStr">
        <is>
          <t>Tonal inversion / reproducible matrix concept</t>
        </is>
      </c>
      <c r="J122" s="75" t="inlineStr">
        <is>
          <t>Фотография перестаёт мыслиться как единичный уникальный объект (как дагеротип) и начинает мыслиться как двухшаговый процесс: сначала матрица, потом тираж.</t>
        </is>
      </c>
      <c r="K122" s="75" t="inlineStr">
        <is>
          <t>Знание о светочувствительности серебряных солей (опыты Веджвуда и Дэви) и потребность превратить случайный отпечаток в управляемый тираж</t>
        </is>
      </c>
      <c r="L122" s="75" t="inlineStr">
        <is>
          <t>Публичная гонка систем в январе 1839 года</t>
        </is>
      </c>
      <c r="M122" s="75" t="inlineStr">
        <is>
          <t>Главная линия</t>
        </is>
      </c>
      <c r="N122" s="75" t="n">
        <v>4</v>
      </c>
      <c r="O122" s="75" t="inlineStr">
        <is>
          <t>PL-013</t>
        </is>
      </c>
      <c r="P122" s="75" t="inlineStr">
        <is>
          <t>SRC-088</t>
        </is>
      </c>
      <c r="Q122" s="75" t="inlineStr">
        <is>
          <t>V&amp;A — A to Z of photographic processes</t>
        </is>
      </c>
      <c r="R122" s="75" t="inlineStr">
        <is>
          <t>https://www.vam.ac.uk/articles/photographic-processes</t>
        </is>
      </c>
      <c r="S122" s="75" t="n">
        <v>5</v>
      </c>
      <c r="T122" s="75" t="inlineStr">
        <is>
          <t>Стоит явно проговорить на уроке: «негатив» — не брак и не промежуточный мусор, а рабочий инструмент тиража.</t>
        </is>
      </c>
      <c r="U122" s="75" t="inlineStr">
        <is>
          <t>Один инвертированный по тону кадр в центре, от него — стрелки к нескольким одинаковым позитивным отпечаткам.</t>
        </is>
      </c>
      <c r="V122" s="75" t="inlineStr">
        <is>
          <t>#PL013 #negative-positive #concept #tonal-inversion</t>
        </is>
      </c>
      <c r="W122" s="75" t="n"/>
      <c r="X122" s="75" t="n"/>
      <c r="Y122" s="75" t="inlineStr">
        <is>
          <t>Негатив-позитив / базовое понятие</t>
        </is>
      </c>
      <c r="Z122" s="75" t="inlineStr">
        <is>
          <t>Фундаментальная предпосылка</t>
        </is>
      </c>
      <c r="AA122" s="75" t="n"/>
    </row>
    <row r="123" ht="17" customHeight="1" s="72">
      <c r="A123" s="75" t="inlineStr">
        <is>
          <t>PL-HIST-0122</t>
        </is>
      </c>
      <c r="B123" s="75" t="inlineStr">
        <is>
          <t>январь 1839</t>
        </is>
      </c>
      <c r="C123" s="75" t="inlineStr">
        <is>
          <t>месяц</t>
        </is>
      </c>
      <c r="D123" s="75" t="inlineStr">
        <is>
          <t>Великобритания / Франция</t>
        </is>
      </c>
      <c r="E123" s="75" t="inlineStr">
        <is>
          <t>Лондон (Royal Institution) / Париж</t>
        </is>
      </c>
      <c r="F123" s="75" t="inlineStr">
        <is>
          <t>Уильям Генри Фокс Тальбот / Луи Дагер</t>
        </is>
      </c>
      <c r="G123" s="75" t="inlineStr">
        <is>
          <t>Узнав об анонсе дагеротипии Дагера в Париже, Тальбот спешно организует показ своих «фотогенных рисунков» в Royal Institution в Лондоне 25 января — как конкурирующую, воспроизводимую альтернативу уникальному изображению Дагера.</t>
        </is>
      </c>
      <c r="H123" s="75" t="inlineStr">
        <is>
          <t>Негатив-позитив</t>
        </is>
      </c>
      <c r="I123" s="75" t="inlineStr">
        <is>
          <t>Photogenic drawing vs daguerreotype priority race</t>
        </is>
      </c>
      <c r="J123" s="75" t="inlineStr">
        <is>
          <t>Миру почти одновременно предъявлены две принципиально разные системы: один снимок навсегда (дагеротип) или матрица для многих отпечатков (система Тальбота).</t>
        </is>
      </c>
      <c r="K123" s="75" t="inlineStr">
        <is>
          <t>Инверсия тонов как принцип и более ранние опыты Тальбота с фотогенными рисунками (с 1834 года)</t>
        </is>
      </c>
      <c r="L123" s="75" t="inlineStr">
        <is>
          <t>Патентные ограничения в Британии и дальнейшее развитие негативно-позитивного процесса</t>
        </is>
      </c>
      <c r="M123" s="75" t="inlineStr">
        <is>
          <t>Главная линия</t>
        </is>
      </c>
      <c r="N123" s="75" t="n">
        <v>5</v>
      </c>
      <c r="O123" s="75" t="inlineStr">
        <is>
          <t>PL-013</t>
        </is>
      </c>
      <c r="P123" s="75" t="inlineStr">
        <is>
          <t>SRC-094</t>
        </is>
      </c>
      <c r="Q123" s="75" t="inlineStr">
        <is>
          <t>The Met — William Henry Fox Talbot and the Invention of Photography</t>
        </is>
      </c>
      <c r="R123" s="75" t="inlineStr">
        <is>
          <t>https://www.metmuseum.org/essays/william-henry-fox-talbot-1800-1877-and-the-invention-of-photography</t>
        </is>
      </c>
      <c r="S123" s="75" t="n">
        <v>5</v>
      </c>
      <c r="T123" s="75" t="inlineStr">
        <is>
          <t>Это флагман PL-013: не «кто раньше изобрёл», а то, что уже в январе 1839 года мир увидел две разные логики фотографии — и мы до сих пор пользуемся системой Тальбота, а не Дагера.</t>
        </is>
      </c>
      <c r="U123" s="75" t="inlineStr">
        <is>
          <t>Лондон и Париж на карте, между ними — две расходящиеся стрелки: «один снимок навсегда» и «один негатив → много отпечатков».</t>
        </is>
      </c>
      <c r="V123" s="75" t="inlineStr">
        <is>
          <t>#PL013 #1839 #Talbot #Daguerre #priority-race #flagship</t>
        </is>
      </c>
      <c r="W123" s="75" t="n"/>
      <c r="X123" s="75" t="inlineStr">
        <is>
          <t>51.5074, -0.1278</t>
        </is>
      </c>
      <c r="Y123" s="75" t="inlineStr">
        <is>
          <t>Негатив-позитив / гонка систем 1839</t>
        </is>
      </c>
      <c r="Z123" s="75" t="inlineStr">
        <is>
          <t>Ключевой исторический узел</t>
        </is>
      </c>
      <c r="AA123" s="75" t="inlineStr">
        <is>
          <t>да</t>
        </is>
      </c>
    </row>
    <row r="124" ht="17" customHeight="1" s="72">
      <c r="A124" s="75" t="inlineStr">
        <is>
          <t>PL-HIST-0123</t>
        </is>
      </c>
      <c r="B124" s="75" t="inlineStr">
        <is>
          <t>1841–1852</t>
        </is>
      </c>
      <c r="C124" s="75" t="inlineStr">
        <is>
          <t>диапазон</t>
        </is>
      </c>
      <c r="D124" s="75" t="inlineStr">
        <is>
          <t>Великобритания</t>
        </is>
      </c>
      <c r="E124" s="75" t="inlineStr">
        <is>
          <t>по всей Британии</t>
        </is>
      </c>
      <c r="F124" s="75" t="inlineStr">
        <is>
          <t>Уильям Генри Фокс Тальбот</t>
        </is>
      </c>
      <c r="G124" s="75" t="inlineStr">
        <is>
          <t>Тальбот защищает калотип патентом и требует от профессиональных фотографов лицензионный взнос (до £300 в год) — в отличие от дагеротипа, объявленного во Франции свободным «даром миру».</t>
        </is>
      </c>
      <c r="H124" s="75" t="inlineStr">
        <is>
          <t>Негатив-позитив</t>
        </is>
      </c>
      <c r="I124" s="75" t="inlineStr">
        <is>
          <t>Calotype patent licensing</t>
        </is>
      </c>
      <c r="J124" s="75" t="inlineStr">
        <is>
          <t>Более гибкая по своей природе система (негатив-позитив) первое время распространяется в Британии медленнее, чем менее гибкий, но бесплатный дагеротип — техническое превосходство не гарантирует немедленного успеха на рынке.</t>
        </is>
      </c>
      <c r="K124" s="75" t="inlineStr">
        <is>
          <t>Публичный показ системы Тальбота в январе 1839 года</t>
        </is>
      </c>
      <c r="L124" s="75" t="inlineStr">
        <is>
          <t>Химия соляной бумажной печати как рабочий процесс негативно-позитивной системы</t>
        </is>
      </c>
      <c r="M124" s="75" t="inlineStr">
        <is>
          <t>Побочная линия / торможение</t>
        </is>
      </c>
      <c r="N124" s="75" t="n">
        <v>3</v>
      </c>
      <c r="O124" s="75" t="inlineStr">
        <is>
          <t>PL-013</t>
        </is>
      </c>
      <c r="P124" s="75" t="inlineStr">
        <is>
          <t>SRC-094</t>
        </is>
      </c>
      <c r="Q124" s="75" t="inlineStr">
        <is>
          <t>The Met — William Henry Fox Talbot and the Invention of Photography</t>
        </is>
      </c>
      <c r="R124" s="75" t="inlineStr">
        <is>
          <t>https://www.metmuseum.org/essays/william-henry-fox-talbot-1800-1877-and-the-invention-of-photography</t>
        </is>
      </c>
      <c r="S124" s="75" t="n">
        <v>4</v>
      </c>
      <c r="T124" s="75" t="inlineStr">
        <is>
          <t>Хороший пример для новичка: патент защитил доход Тальбота, но затормозил его же технологию — не единственный раз в истории фотографии, когда так происходит.</t>
        </is>
      </c>
      <c r="U124" s="75" t="inlineStr">
        <is>
          <t>Значок замка/лицензии поверх карты Британии — калотип «закрыт» ценой.</t>
        </is>
      </c>
      <c r="V124" s="75" t="inlineStr">
        <is>
          <t>#PL013 #patent #licensing #Talbot #Britain</t>
        </is>
      </c>
      <c r="W124" s="75" t="inlineStr">
        <is>
          <t>Уточнить точную сумму и годы лицензионных сборов по дополнительному источнику (сейчас указано по вторичным биографическим материалам).</t>
        </is>
      </c>
      <c r="X124" s="75" t="n"/>
      <c r="Y124" s="75" t="inlineStr">
        <is>
          <t>Негатив-позитив / патентные ограничения</t>
        </is>
      </c>
      <c r="Z124" s="75" t="inlineStr">
        <is>
          <t>Распространение / коммерциализация</t>
        </is>
      </c>
      <c r="AA124" s="75" t="n"/>
    </row>
    <row r="125" ht="17" customHeight="1" s="72">
      <c r="A125" s="75" t="inlineStr">
        <is>
          <t>PL-HIST-0124</t>
        </is>
      </c>
      <c r="B125" s="75" t="inlineStr">
        <is>
          <t>1839–1840-е</t>
        </is>
      </c>
      <c r="C125" s="75" t="inlineStr">
        <is>
          <t>диапазон</t>
        </is>
      </c>
      <c r="D125" s="75" t="inlineStr">
        <is>
          <t>глобально</t>
        </is>
      </c>
      <c r="E125" s="75" t="inlineStr">
        <is>
          <t>тёмная комната / лаборатория</t>
        </is>
      </c>
      <c r="F125" s="75" t="inlineStr">
        <is>
          <t>Ранние практики соляной печати</t>
        </is>
      </c>
      <c r="G125" s="75" t="inlineStr">
        <is>
          <t>Соляная бумажная печать работает как «печать на свету» (printing-out): бумага, пропитанная хлоридом серебра, темнеет прямо во время контактного экспонирования под солнцем — негатив просто накладывают на светочувствительную бумагу, без отдельного проявителя.</t>
        </is>
      </c>
      <c r="H125" s="75" t="inlineStr">
        <is>
          <t>Фотохимия</t>
        </is>
      </c>
      <c r="I125" s="75" t="inlineStr">
        <is>
          <t>Salted paper printing-out process</t>
        </is>
      </c>
      <c r="J125" s="75" t="inlineStr">
        <is>
          <t>У негативно-позитивной системы появляется конкретный, воспроизводимый рабочий процесс печати — не только идея «матрицы», а понятная химия, которую можно повторять и масштабировать.</t>
        </is>
      </c>
      <c r="K125" s="75" t="inlineStr">
        <is>
          <t>Патентные ограничения тормозят коммерческое распространение в Британии</t>
        </is>
      </c>
      <c r="L125" s="75" t="inlineStr">
        <is>
          <t>Использование патентной свободы во Франции и промышленная печать Бланкар-Эврара</t>
        </is>
      </c>
      <c r="M125" s="75" t="inlineStr">
        <is>
          <t>Главная линия</t>
        </is>
      </c>
      <c r="N125" s="75" t="n">
        <v>4</v>
      </c>
      <c r="O125" s="75" t="inlineStr">
        <is>
          <t>PL-013</t>
        </is>
      </c>
      <c r="P125" s="75" t="inlineStr">
        <is>
          <t>SRC-095</t>
        </is>
      </c>
      <c r="Q125" s="75" t="inlineStr">
        <is>
          <t>National Gallery of Canada — The Calotype Process</t>
        </is>
      </c>
      <c r="R125" s="75" t="inlineStr">
        <is>
          <t>https://www.gallery.ca/photo-blog/the-calotype-process</t>
        </is>
      </c>
      <c r="S125" s="75" t="n">
        <v>4</v>
      </c>
      <c r="T125" s="75" t="inlineStr">
        <is>
          <t>Можно объяснить просто: это не «проявляем в ванночке», а «кладём на солнце и наблюдаем, как темнеет» — прямая, наглядная химия.</t>
        </is>
      </c>
      <c r="U125" s="75" t="inlineStr">
        <is>
          <t>Схема: негатив + бумага с хлоридом серебра + солнце → постепенно темнеющий позитив.</t>
        </is>
      </c>
      <c r="V125" s="75" t="inlineStr">
        <is>
          <t>#PL013 #salted-paper #printing-out #chemistry</t>
        </is>
      </c>
      <c r="W125" s="75" t="n"/>
      <c r="X125" s="75" t="n"/>
      <c r="Y125" s="75" t="inlineStr">
        <is>
          <t>Негатив-позитив / химия печати</t>
        </is>
      </c>
      <c r="Z125" s="75" t="inlineStr">
        <is>
          <t>Технология / процесс</t>
        </is>
      </c>
      <c r="AA125" s="75" t="n"/>
    </row>
    <row r="126" ht="17" customHeight="1" s="72">
      <c r="A126" s="75" t="inlineStr">
        <is>
          <t>PL-HIST-0125</t>
        </is>
      </c>
      <c r="B126" s="75" t="inlineStr">
        <is>
          <t>1843</t>
        </is>
      </c>
      <c r="C126" s="75" t="inlineStr">
        <is>
          <t>год</t>
        </is>
      </c>
      <c r="D126" s="75" t="inlineStr">
        <is>
          <t>Франция</t>
        </is>
      </c>
      <c r="E126" s="75" t="inlineStr">
        <is>
          <t>Париж</t>
        </is>
      </c>
      <c r="F126" s="75" t="inlineStr">
        <is>
          <t>Уильям Генри Фокс Тальбот</t>
        </is>
      </c>
      <c r="G126" s="75" t="inlineStr">
        <is>
          <t>Тальбот приезжает в Париж, пытаясь оформить французские права на калотип, но патент во Франции не закрепляется — в отличие от Британии, там процесс можно использовать и улучшать без лицензионных сборов.</t>
        </is>
      </c>
      <c r="H126" s="75" t="inlineStr">
        <is>
          <t>Негатив-позитив</t>
        </is>
      </c>
      <c r="I126" s="75" t="inlineStr">
        <is>
          <t>Calotype patent gap in France</t>
        </is>
      </c>
      <c r="J126" s="75" t="inlineStr">
        <is>
          <t>Именно отсутствие патентного барьера во Франции откроет дорогу французским мастерам печати — усовершенствовать и промышленно масштабировать негативно-позитивный процесс возьмутся уже не в Британии.</t>
        </is>
      </c>
      <c r="K126" s="75" t="inlineStr">
        <is>
          <t>Химия соляной бумажной печати как рабочий процесс</t>
        </is>
      </c>
      <c r="L126" s="75" t="inlineStr">
        <is>
          <t>Альбуминовая печать и типография Бланкар-Эврара во Франции</t>
        </is>
      </c>
      <c r="M126" s="75" t="inlineStr">
        <is>
          <t>Связь / переход</t>
        </is>
      </c>
      <c r="N126" s="75" t="n">
        <v>4</v>
      </c>
      <c r="O126" s="75" t="inlineStr">
        <is>
          <t>PL-013</t>
        </is>
      </c>
      <c r="P126" s="75" t="inlineStr">
        <is>
          <t>SRC-094</t>
        </is>
      </c>
      <c r="Q126" s="75" t="inlineStr">
        <is>
          <t>The Met — William Henry Fox Talbot and the Invention of Photography</t>
        </is>
      </c>
      <c r="R126" s="75" t="inlineStr">
        <is>
          <t>https://www.metmuseum.org/essays/william-henry-fox-talbot-1800-1877-and-the-invention-of-photography</t>
        </is>
      </c>
      <c r="S126" s="75" t="n">
        <v>4</v>
      </c>
      <c r="T126" s="75" t="inlineStr">
        <is>
          <t>Мостик к следующему узлу (Бланкар-Эврар): негатив-позитив расцветает именно там, где патент не мешает.</t>
        </is>
      </c>
      <c r="U126" s="75" t="inlineStr">
        <is>
          <t>Карта: Британия заштрихована (лицензия), Франция — открыта.</t>
        </is>
      </c>
      <c r="V126" s="75" t="inlineStr">
        <is>
          <t>#PL013 #Talbot #Paris #patent-gap #bridge</t>
        </is>
      </c>
      <c r="W126" s="75" t="inlineStr">
        <is>
          <t>Проверить точную дату/детали переговоров Тальбота в Париже 1843 года по более специализированному источнику.</t>
        </is>
      </c>
      <c r="X126" s="75" t="inlineStr">
        <is>
          <t>48.8566, 2.3522</t>
        </is>
      </c>
      <c r="Y126" s="75" t="inlineStr">
        <is>
          <t>Негатив-позитив / переход к Франции</t>
        </is>
      </c>
      <c r="Z126" s="75" t="inlineStr">
        <is>
          <t>Связь / переход</t>
        </is>
      </c>
      <c r="AA126" s="75" t="n"/>
    </row>
    <row r="127" ht="17" customHeight="1" s="72">
      <c r="A127" s="75" t="inlineStr">
        <is>
          <t>PL-HIST-0126</t>
        </is>
      </c>
      <c r="B127" s="75" t="inlineStr">
        <is>
          <t>1850</t>
        </is>
      </c>
      <c r="C127" s="75" t="inlineStr">
        <is>
          <t>год</t>
        </is>
      </c>
      <c r="D127" s="75" t="inlineStr">
        <is>
          <t>Франция</t>
        </is>
      </c>
      <c r="E127" s="75" t="inlineStr">
        <is>
          <t>Лилль</t>
        </is>
      </c>
      <c r="F127" s="75" t="inlineStr">
        <is>
          <t>Луи-Дезире Бланкар-Эврар</t>
        </is>
      </c>
      <c r="G127" s="75" t="inlineStr">
        <is>
          <t>Альбуминовая печать становится важным способом получать детальные позитивные изображения с негативов.</t>
        </is>
      </c>
      <c r="H127" s="75" t="inlineStr">
        <is>
          <t>Печать / тиражирование</t>
        </is>
      </c>
      <c r="I127" s="75" t="inlineStr">
        <is>
          <t>Albumen print from negative</t>
        </is>
      </c>
      <c r="J127" s="75" t="inlineStr">
        <is>
          <t>Позитивный отпечаток получает более гладкую поверхность, детальность и богатый тон; негативно-позитивная система становится визуально привлекательнее.</t>
        </is>
      </c>
      <c r="K127" s="75" t="inlineStr">
        <is>
          <t>Солёная бумажная печать с бумажных негативов</t>
        </is>
      </c>
      <c r="L127" s="75" t="inlineStr">
        <is>
          <t>Связка мокрого коллодионного стеклянного негатива и альбуминовой печати</t>
        </is>
      </c>
      <c r="M127" s="75" t="inlineStr">
        <is>
          <t>Главная линия / временная доминирующая линия</t>
        </is>
      </c>
      <c r="N127" s="75" t="n">
        <v>4</v>
      </c>
      <c r="O127" s="75" t="inlineStr">
        <is>
          <t>PL-013</t>
        </is>
      </c>
      <c r="P127" s="75" t="inlineStr">
        <is>
          <t>SRC-089</t>
        </is>
      </c>
      <c r="Q127" s="75" t="inlineStr">
        <is>
          <t>Royal Collection Trust — Albumen print</t>
        </is>
      </c>
      <c r="R127" s="75" t="inlineStr">
        <is>
          <t>https://albert.rct.uk/explore/themes/photographic-technologies/albumen-print</t>
        </is>
      </c>
      <c r="S127" s="75" t="n">
        <v>5</v>
      </c>
      <c r="T127" s="75" t="inlineStr">
        <is>
          <t>В уроке: позитив — это не просто «обратный негатив», а отдельный материальный объект с бумагой, поверхностью и тоном.</t>
        </is>
      </c>
      <c r="U127" s="75" t="inlineStr">
        <is>
          <t>Стеклянный/бумажный негатив прижат к альбуминовой бумаге под светом.</t>
        </is>
      </c>
      <c r="V127" s="75" t="inlineStr">
        <is>
          <t>#PL013 #albumen #positive-print #negative-positive</t>
        </is>
      </c>
      <c r="W127" s="75" t="n"/>
      <c r="X127" s="75" t="inlineStr">
        <is>
          <t>50.6292, 3.0573</t>
        </is>
      </c>
      <c r="Y127" s="75" t="inlineStr">
        <is>
          <t>Негатив-позитив / позитивная печать</t>
        </is>
      </c>
      <c r="Z127" s="75" t="inlineStr">
        <is>
          <t>Тиражирование / публикация</t>
        </is>
      </c>
      <c r="AA127" s="75" t="n"/>
    </row>
    <row r="128" ht="17" customHeight="1" s="72">
      <c r="A128" s="75" t="inlineStr">
        <is>
          <t>PL-HIST-0127</t>
        </is>
      </c>
      <c r="B128" s="75" t="inlineStr">
        <is>
          <t>1851</t>
        </is>
      </c>
      <c r="C128" s="75" t="inlineStr">
        <is>
          <t>год</t>
        </is>
      </c>
      <c r="D128" s="75" t="inlineStr">
        <is>
          <t>Великобритания</t>
        </is>
      </c>
      <c r="E128" s="75" t="inlineStr">
        <is>
          <t>Лондон</t>
        </is>
      </c>
      <c r="F128" s="75" t="inlineStr">
        <is>
          <t>Фредерик Скотт Арчер</t>
        </is>
      </c>
      <c r="G128" s="75" t="inlineStr">
        <is>
          <t>Мокрый коллодионный стеклянный негатив соединяет высокую резкость стекла с возможностью печатать позитивы.</t>
        </is>
      </c>
      <c r="H128" s="75" t="inlineStr">
        <is>
          <t>Негатив-позитив</t>
        </is>
      </c>
      <c r="I128" s="75" t="inlineStr">
        <is>
          <t>Wet collodion glass negative</t>
        </is>
      </c>
      <c r="J128" s="75" t="inlineStr">
        <is>
          <t>Негативно-позитивная логика получает более резкую матрицу: позитивные отпечатки становятся детальнее и убедительнее.</t>
        </is>
      </c>
      <c r="K128" s="75" t="inlineStr">
        <is>
          <t>Калотип и бумажный негатив</t>
        </is>
      </c>
      <c r="L128" s="75" t="inlineStr">
        <is>
          <t>Альбуминовая печать со стеклянных негативов, массовая портретная и документальная фотография</t>
        </is>
      </c>
      <c r="M128" s="75" t="inlineStr">
        <is>
          <t>Главная линия</t>
        </is>
      </c>
      <c r="N128" s="75" t="n">
        <v>5</v>
      </c>
      <c r="O128" s="75" t="inlineStr">
        <is>
          <t>PL-013</t>
        </is>
      </c>
      <c r="P128" s="75" t="inlineStr">
        <is>
          <t>SRC-088</t>
        </is>
      </c>
      <c r="Q128" s="75" t="inlineStr">
        <is>
          <t>V&amp;A — A to Z of photographic processes</t>
        </is>
      </c>
      <c r="R128" s="75" t="inlineStr">
        <is>
          <t>https://www.vam.ac.uk/articles/photographic-processes</t>
        </is>
      </c>
      <c r="S128" s="75" t="n">
        <v>5</v>
      </c>
      <c r="T128" s="75" t="inlineStr">
        <is>
          <t>Показать отличие: у калотипа негатив бумажный и мягкий, у коллодия — стеклянный и резкий.</t>
        </is>
      </c>
      <c r="U128" s="75" t="inlineStr">
        <is>
          <t>Бумажный негатив превращается в прозрачную стеклянную пластину с резкими деталями.</t>
        </is>
      </c>
      <c r="V128" s="75" t="inlineStr">
        <is>
          <t>#PL013 #wet-collodion #glass-negative #positive-print</t>
        </is>
      </c>
      <c r="W128" s="75" t="n"/>
      <c r="X128" s="75" t="inlineStr">
        <is>
          <t>51.5074, -0.1278</t>
        </is>
      </c>
      <c r="Y128" s="75" t="inlineStr">
        <is>
          <t>Негатив-позитив / стеклянный негатив</t>
        </is>
      </c>
      <c r="Z128" s="75" t="inlineStr">
        <is>
          <t>Технология / процесс</t>
        </is>
      </c>
      <c r="AA128" s="75" t="n"/>
    </row>
    <row r="129" ht="17" customHeight="1" s="72">
      <c r="A129" s="75" t="inlineStr">
        <is>
          <t>PL-HIST-0128</t>
        </is>
      </c>
      <c r="B129" s="75" t="inlineStr">
        <is>
          <t>1854</t>
        </is>
      </c>
      <c r="C129" s="75" t="inlineStr">
        <is>
          <t>год</t>
        </is>
      </c>
      <c r="D129" s="75" t="inlineStr">
        <is>
          <t>Франция</t>
        </is>
      </c>
      <c r="E129" s="75" t="inlineStr">
        <is>
          <t>Париж</t>
        </is>
      </c>
      <c r="F129" s="75" t="inlineStr">
        <is>
          <t>Андре-Адольф-Эжен Дисдери</t>
        </is>
      </c>
      <c r="G129" s="75" t="inlineStr">
        <is>
          <t>Дисдери патентует carte-de-visite: несколько экспозиций на одной стеклянной пластине позволяют дешево печатать множество маленьких портретов.</t>
        </is>
      </c>
      <c r="H129" s="75" t="inlineStr">
        <is>
          <t>Печать / тиражирование</t>
        </is>
      </c>
      <c r="I129" s="75" t="inlineStr">
        <is>
          <t>Carte-de-visite / multiple images on one glass negative</t>
        </is>
      </c>
      <c r="J129" s="75" t="inlineStr">
        <is>
          <t>Негатив становится производственной матрицей: один лист может давать серию позитивных карточек для обмена и альбомов.</t>
        </is>
      </c>
      <c r="K129" s="75" t="inlineStr">
        <is>
          <t>Стеклянный негатив и альбуминовая печать</t>
        </is>
      </c>
      <c r="L129" s="75" t="inlineStr">
        <is>
          <t>Массовая портретная культура и семейные фотоальбомы XIX века</t>
        </is>
      </c>
      <c r="M129" s="75" t="inlineStr">
        <is>
          <t>Распространение / коммерциализация</t>
        </is>
      </c>
      <c r="N129" s="75" t="n">
        <v>4</v>
      </c>
      <c r="O129" s="75" t="inlineStr">
        <is>
          <t>PL-013</t>
        </is>
      </c>
      <c r="P129" s="75" t="inlineStr">
        <is>
          <t>SRC-090</t>
        </is>
      </c>
      <c r="Q129" s="75" t="inlineStr">
        <is>
          <t>The Met — The Industrialization of French Photography after 1860</t>
        </is>
      </c>
      <c r="R129" s="75" t="inlineStr">
        <is>
          <t>https://www.metmuseum.org/essays/the-industrialization-of-french-photography-after-1860</t>
        </is>
      </c>
      <c r="S129" s="75" t="n">
        <v>5</v>
      </c>
      <c r="T129" s="75" t="inlineStr">
        <is>
          <t>Для зрителя: негативно-позитивный процесс — это не только химия, но и экономика фотографии.</t>
        </is>
      </c>
      <c r="U129" s="75" t="inlineStr">
        <is>
          <t>Одна стеклянная пластина разделяется на восемь маленьких позитивных карточек.</t>
        </is>
      </c>
      <c r="V129" s="75" t="inlineStr">
        <is>
          <t>#PL013 #carte-de-visite #Disderi #mass-printing</t>
        </is>
      </c>
      <c r="W129" s="75" t="n"/>
      <c r="X129" s="75" t="inlineStr">
        <is>
          <t>48.8566, 2.3522</t>
        </is>
      </c>
      <c r="Y129" s="75" t="inlineStr">
        <is>
          <t>Негатив-позитив / массовый портрет</t>
        </is>
      </c>
      <c r="Z129" s="75" t="inlineStr">
        <is>
          <t>Распространение / коммерциализация</t>
        </is>
      </c>
      <c r="AA129" s="75" t="n"/>
    </row>
    <row r="130" ht="17" customHeight="1" s="72">
      <c r="A130" s="75" t="inlineStr">
        <is>
          <t>PL-HIST-0129</t>
        </is>
      </c>
      <c r="B130" s="75" t="inlineStr">
        <is>
          <t>1889</t>
        </is>
      </c>
      <c r="C130" s="75" t="inlineStr">
        <is>
          <t>год</t>
        </is>
      </c>
      <c r="D130" s="75" t="inlineStr">
        <is>
          <t>США</t>
        </is>
      </c>
      <c r="E130" s="75" t="inlineStr">
        <is>
          <t>Рочестер, Нью-Йорк</t>
        </is>
      </c>
      <c r="F130" s="75" t="inlineStr">
        <is>
          <t>Eastman Kodak</t>
        </is>
      </c>
      <c r="G130" s="75" t="inlineStr">
        <is>
          <t>Kodak выпускает коммерческую прозрачную рулонную плёнку: гибкий носитель становится новой формой негативной матрицы.</t>
        </is>
      </c>
      <c r="H130" s="75" t="inlineStr">
        <is>
          <t>Негатив-позитив</t>
        </is>
      </c>
      <c r="I130" s="75" t="inlineStr">
        <is>
          <t>Transparent roll film negative</t>
        </is>
      </c>
      <c r="J130" s="75" t="inlineStr">
        <is>
          <t>Негативно-позитивная логика переходит со стекла на гибкую плёнку и становится удобнее для массовой камеры.</t>
        </is>
      </c>
      <c r="K130" s="75" t="inlineStr">
        <is>
          <t>Сухие пластины и рулонная бумажная плёнка</t>
        </is>
      </c>
      <c r="L130" s="75" t="inlineStr">
        <is>
          <t>35 мм, фотолаборатории, массовая печать и цветная негативная плёнка</t>
        </is>
      </c>
      <c r="M130" s="75" t="inlineStr">
        <is>
          <t>Главная линия</t>
        </is>
      </c>
      <c r="N130" s="75" t="n">
        <v>5</v>
      </c>
      <c r="O130" s="75" t="inlineStr">
        <is>
          <t>PL-013</t>
        </is>
      </c>
      <c r="P130" s="75" t="inlineStr">
        <is>
          <t>SRC-031</t>
        </is>
      </c>
      <c r="Q130" s="75" t="inlineStr">
        <is>
          <t>Kodak — History</t>
        </is>
      </c>
      <c r="R130" s="75" t="inlineStr">
        <is>
          <t>https://www.kodak.com/en/company/page/history/</t>
        </is>
      </c>
      <c r="S130" s="75" t="n">
        <v>5</v>
      </c>
      <c r="T130" s="75" t="inlineStr">
        <is>
          <t>Связать с предыдущими уроками: плёнка стала не концом негативной логики, а её более удобной формой.</t>
        </is>
      </c>
      <c r="U130" s="75" t="inlineStr">
        <is>
          <t>Стеклянная пластина плавно превращается в прозрачную гибкую ленту с негативными кадрами.</t>
        </is>
      </c>
      <c r="V130" s="75" t="inlineStr">
        <is>
          <t>#PL013 #Kodak #transparent-film #film-negative</t>
        </is>
      </c>
      <c r="W130" s="75" t="n"/>
      <c r="X130" s="75" t="inlineStr">
        <is>
          <t>43.1566, -77.6088</t>
        </is>
      </c>
      <c r="Y130" s="75" t="inlineStr">
        <is>
          <t>Негатив-позитив / плёночный негатив</t>
        </is>
      </c>
      <c r="Z130" s="75" t="inlineStr">
        <is>
          <t>Связь / переход</t>
        </is>
      </c>
      <c r="AA130" s="75" t="n"/>
    </row>
    <row r="131" ht="17" customHeight="1" s="72">
      <c r="A131" s="75" t="inlineStr">
        <is>
          <t>PL-HIST-0130</t>
        </is>
      </c>
      <c r="B131" s="75" t="inlineStr">
        <is>
          <t>1890-е – XX век</t>
        </is>
      </c>
      <c r="C131" s="75" t="inlineStr">
        <is>
          <t>диапазон</t>
        </is>
      </c>
      <c r="D131" s="75" t="inlineStr">
        <is>
          <t>Европа / США</t>
        </is>
      </c>
      <c r="E131" s="75" t="inlineStr">
        <is>
          <t>лаборатории и фотопечать</t>
        </is>
      </c>
      <c r="F131" s="75" t="inlineStr">
        <is>
          <t>Фотолаборатории и фотографы</t>
        </is>
      </c>
      <c r="G131" s="75" t="inlineStr">
        <is>
          <t>Желатино-серебряная фотобумага и лабораторная печать закрепляют привычную связку: негатив проецируется или контактно печатается на бумагу, где появляется позитив.</t>
        </is>
      </c>
      <c r="H131" s="75" t="inlineStr">
        <is>
          <t>Печать / тиражирование</t>
        </is>
      </c>
      <c r="I131" s="75" t="inlineStr">
        <is>
          <t>Gelatin silver print from negative</t>
        </is>
      </c>
      <c r="J131" s="75" t="inlineStr">
        <is>
          <t>Позитивный отпечаток становится интерпретацией негатива: можно менять размер, контраст, кадрирование и тональность.</t>
        </is>
      </c>
      <c r="K131" s="75" t="inlineStr">
        <is>
          <t>Альбуминовая и контактная печать XIX века</t>
        </is>
      </c>
      <c r="L131" s="75" t="inlineStr">
        <is>
          <t>Чёрно-белая лабораторная культура XX века и авторская печать</t>
        </is>
      </c>
      <c r="M131" s="75" t="inlineStr">
        <is>
          <t>Главная линия / временная доминирующая линия</t>
        </is>
      </c>
      <c r="N131" s="75" t="n">
        <v>4</v>
      </c>
      <c r="O131" s="75" t="inlineStr">
        <is>
          <t>PL-013</t>
        </is>
      </c>
      <c r="P131" s="75" t="inlineStr">
        <is>
          <t>SRC-080</t>
        </is>
      </c>
      <c r="Q131" s="75" t="inlineStr">
        <is>
          <t>MoMA — Gelatin silver print (developing-out paper)</t>
        </is>
      </c>
      <c r="R131" s="75" t="inlineStr">
        <is>
          <t>https://www.moma.org/collection/terms/gelatin-silver-print-developing-out-paper</t>
        </is>
      </c>
      <c r="S131" s="75" t="n">
        <v>5</v>
      </c>
      <c r="T131" s="75" t="inlineStr">
        <is>
          <t>В уроке это мост к практике: негатив хранит информацию, а позитивная печать — это уже выбор автора.</t>
        </is>
      </c>
      <c r="U131" s="75" t="inlineStr">
        <is>
          <t>Увеличитель освещает негатив, на бумаге снизу появляется позитивный отпечаток.</t>
        </is>
      </c>
      <c r="V131" s="75" t="inlineStr">
        <is>
          <t>#PL013 #gelatin-silver #darkroom #positive-print</t>
        </is>
      </c>
      <c r="W131" s="75" t="inlineStr">
        <is>
          <t>Датировка обобщённая; не привязывать к одному городу или году.</t>
        </is>
      </c>
      <c r="X131" s="75" t="n"/>
      <c r="Y131" s="75" t="inlineStr">
        <is>
          <t>Негатив-позитив / позитив на бумаге</t>
        </is>
      </c>
      <c r="Z131" s="75" t="inlineStr">
        <is>
          <t>Тиражирование / публикация</t>
        </is>
      </c>
      <c r="AA131" s="75" t="n"/>
    </row>
    <row r="132" ht="17" customHeight="1" s="72">
      <c r="A132" s="75" t="inlineStr">
        <is>
          <t>PL-HIST-0131</t>
        </is>
      </c>
      <c r="B132" s="75" t="inlineStr">
        <is>
          <t>1935</t>
        </is>
      </c>
      <c r="C132" s="75" t="inlineStr">
        <is>
          <t>год</t>
        </is>
      </c>
      <c r="D132" s="75" t="inlineStr">
        <is>
          <t>США</t>
        </is>
      </c>
      <c r="E132" s="75" t="inlineStr">
        <is>
          <t>Рочестер, Нью-Йорк</t>
        </is>
      </c>
      <c r="F132" s="75" t="inlineStr">
        <is>
          <t>Eastman Kodak / Leopold Mannes / Leopold Godowsky Jr.</t>
        </is>
      </c>
      <c r="G132" s="75" t="inlineStr">
        <is>
          <t>Kodachrome показывает важное исключение: обращаемая плёнка даёт позитивную прозрачность, а не негатив для печати.</t>
        </is>
      </c>
      <c r="H132" s="75" t="inlineStr">
        <is>
          <t>Цвет</t>
        </is>
      </c>
      <c r="I132" s="75" t="inlineStr">
        <is>
          <t>Color reversal transparency / Kodachrome</t>
        </is>
      </c>
      <c r="J132" s="75" t="inlineStr">
        <is>
          <t>Появляется другой путь: не вся плёнка обязана быть негативной; слайдовая/обращаемая плёнка сразу даёт позитивное изображение для просмотра и проекции.</t>
        </is>
      </c>
      <c r="K132" s="75" t="inlineStr">
        <is>
          <t>Негативно-позитивная печатная логика</t>
        </is>
      </c>
      <c r="L132" s="75" t="inlineStr">
        <is>
          <t>Слайдовая фотография, цветная прозрачность и будущие уроки о цветной плёнке</t>
        </is>
      </c>
      <c r="M132" s="75" t="inlineStr">
        <is>
          <t>Исторически важная ограниченная ветка</t>
        </is>
      </c>
      <c r="N132" s="75" t="n">
        <v>3</v>
      </c>
      <c r="O132" s="75" t="inlineStr">
        <is>
          <t>PL-013</t>
        </is>
      </c>
      <c r="P132" s="75" t="inlineStr">
        <is>
          <t>SRC-093</t>
        </is>
      </c>
      <c r="Q132" s="75" t="inlineStr">
        <is>
          <t>National Science and Media Museum — A short history of colour photography</t>
        </is>
      </c>
      <c r="R132" s="75" t="inlineStr">
        <is>
          <t>https://www.scienceandmediamuseum.org.uk/objects-and-stories/history-colour-photography</t>
        </is>
      </c>
      <c r="S132" s="75" t="n">
        <v>5</v>
      </c>
      <c r="T132" s="75" t="inlineStr">
        <is>
          <t>В PL-013 это нужно как честная оговорка: негатив/позитив — базовая логика массовой печати, но есть и прямой позитивный путь.</t>
        </is>
      </c>
      <c r="U132" s="75" t="inlineStr">
        <is>
          <t>Рядом две ветки: негатив → бумажный позитив и reversal → прозрачный позитив-слайд.</t>
        </is>
      </c>
      <c r="V132" s="75" t="inlineStr">
        <is>
          <t>#PL013 #Kodachrome #reversal #positive #slide</t>
        </is>
      </c>
      <c r="W132" s="75" t="inlineStr">
        <is>
          <t>Не углубляться в цветную химию до будущего урока о цвете.</t>
        </is>
      </c>
      <c r="X132" s="75" t="inlineStr">
        <is>
          <t>43.1566, -77.6088</t>
        </is>
      </c>
      <c r="Y132" s="75" t="inlineStr">
        <is>
          <t>Негатив-позитив / позитивная прозрачность</t>
        </is>
      </c>
      <c r="Z132" s="75" t="inlineStr">
        <is>
          <t>Связь / переход</t>
        </is>
      </c>
      <c r="AA132" s="75" t="n"/>
    </row>
    <row r="133" ht="17" customHeight="1" s="72">
      <c r="A133" s="75" t="inlineStr">
        <is>
          <t>PL-HIST-0132</t>
        </is>
      </c>
      <c r="B133" s="75" t="inlineStr">
        <is>
          <t>1839</t>
        </is>
      </c>
      <c r="C133" s="75" t="inlineStr">
        <is>
          <t>год</t>
        </is>
      </c>
      <c r="D133" s="75" t="inlineStr">
        <is>
          <t>Франция</t>
        </is>
      </c>
      <c r="E133" s="75" t="inlineStr">
        <is>
          <t>Париж</t>
        </is>
      </c>
      <c r="F133" s="75" t="inlineStr">
        <is>
          <t>Ипполит Байяр</t>
        </is>
      </c>
      <c r="G133" s="75" t="inlineStr">
        <is>
          <t>Разрабатывает прямой позитивный процесс на бумаге: изображение получается сразу читаемым, без отдельного негатива.</t>
        </is>
      </c>
      <c r="H133" s="75" t="inlineStr">
        <is>
          <t>Уникальный позитив</t>
        </is>
      </c>
      <c r="I133" s="75" t="inlineStr">
        <is>
          <t>Direct positive paper process</t>
        </is>
      </c>
      <c r="J133" s="75" t="inlineStr">
        <is>
          <t>Позитив может появляться напрямую, но такой снимок остаётся уникальным и не даёт тиража как негативная матрица.</t>
        </is>
      </c>
      <c r="K133" s="75" t="inlineStr">
        <is>
          <t>Светочувствительная бумага и ранние эксперименты 1830-х</t>
        </is>
      </c>
      <c r="L133" s="75" t="inlineStr">
        <is>
          <t>Соляная печать и негативно-позитивная система Тальбота</t>
        </is>
      </c>
      <c r="M133" s="75" t="inlineStr">
        <is>
          <t>Исторически важная ограниченная ветка</t>
        </is>
      </c>
      <c r="N133" s="75" t="n">
        <v>4</v>
      </c>
      <c r="O133" s="75" t="inlineStr">
        <is>
          <t>PL-014</t>
        </is>
      </c>
      <c r="P133" s="75" t="inlineStr">
        <is>
          <t>SRC-096</t>
        </is>
      </c>
      <c r="Q133" s="75" t="inlineStr">
        <is>
          <t>Getty — Hippolyte Bayard: A Persistent Pioneer</t>
        </is>
      </c>
      <c r="R133" s="75" t="inlineStr">
        <is>
          <t>https://www.getty.edu/art/exhibitions/bayard/</t>
        </is>
      </c>
      <c r="S133" s="75" t="n">
        <v>5</v>
      </c>
      <c r="T133" s="75" t="inlineStr">
        <is>
          <t>В PL-014 важно сразу развести два пути: прямой позитив даёт готовую картинку, но негативно-позитивная система даёт тираж.</t>
        </is>
      </c>
      <c r="U133" s="75" t="inlineStr">
        <is>
          <t>Две развилки: бумага с прямым позитивом и рядом негатив, из которого печатаются копии.</t>
        </is>
      </c>
      <c r="V133" s="75" t="inlineStr">
        <is>
          <t>#PL014 #positive #Bayard #direct-positive</t>
        </is>
      </c>
      <c r="W133" s="75" t="n"/>
      <c r="X133" s="75" t="inlineStr">
        <is>
          <t>48.8566, 2.3522</t>
        </is>
      </c>
      <c r="Y133" s="75" t="inlineStr">
        <is>
          <t>Позитив / прямой позитив</t>
        </is>
      </c>
      <c r="Z133" s="75" t="inlineStr">
        <is>
          <t>Технология / процесс</t>
        </is>
      </c>
      <c r="AA133" s="75" t="n"/>
    </row>
    <row r="134" ht="17" customHeight="1" s="72">
      <c r="A134" s="75" t="inlineStr">
        <is>
          <t>PL-HIST-0133</t>
        </is>
      </c>
      <c r="B134" s="75" t="inlineStr">
        <is>
          <t>1839–1841</t>
        </is>
      </c>
      <c r="C134" s="75" t="inlineStr">
        <is>
          <t>диапазон</t>
        </is>
      </c>
      <c r="D134" s="75" t="inlineStr">
        <is>
          <t>Великобритания</t>
        </is>
      </c>
      <c r="E134" s="75" t="inlineStr">
        <is>
          <t>Лэкок-Эбби / Лондон</t>
        </is>
      </c>
      <c r="F134" s="75" t="inlineStr">
        <is>
          <t>Уильям Генри Фокс Тальбот</t>
        </is>
      </c>
      <c r="G134" s="75" t="inlineStr">
        <is>
          <t>Соляная бумажная печать становится первым практически важным способом получать позитивный бумажный отпечаток с негатива.</t>
        </is>
      </c>
      <c r="H134" s="75" t="inlineStr">
        <is>
          <t>Печать / тиражирование</t>
        </is>
      </c>
      <c r="I134" s="75" t="inlineStr">
        <is>
          <t>Salted paper positive print</t>
        </is>
      </c>
      <c r="J134" s="75" t="inlineStr">
        <is>
          <t>Позитив становится читаемым финальным изображением: негатив хранит информацию, а отпечаток показывает её нормальными тонами.</t>
        </is>
      </c>
      <c r="K134" s="75" t="inlineStr">
        <is>
          <t>Фотогенные рисунки и бумажные негативы Тальбота</t>
        </is>
      </c>
      <c r="L134" s="75" t="inlineStr">
        <is>
          <t>Золотое тонирование и угольная печать как ответ на проблему выцветания позитива</t>
        </is>
      </c>
      <c r="M134" s="75" t="inlineStr">
        <is>
          <t>Главная линия</t>
        </is>
      </c>
      <c r="N134" s="75" t="n">
        <v>5</v>
      </c>
      <c r="O134" s="75" t="inlineStr">
        <is>
          <t>PL-014</t>
        </is>
      </c>
      <c r="P134" s="75" t="inlineStr">
        <is>
          <t>SRC-097</t>
        </is>
      </c>
      <c r="Q134" s="75" t="inlineStr">
        <is>
          <t>Harvard — Salt Prints at Harvard</t>
        </is>
      </c>
      <c r="R134" s="75" t="inlineStr">
        <is>
          <t>https://saltprintsatharvard.hsites.harvard.edu/</t>
        </is>
      </c>
      <c r="S134" s="75" t="n">
        <v>5</v>
      </c>
      <c r="T134" s="75" t="inlineStr">
        <is>
          <t>Флагманская мысль урока: позитив — это не просто «красивый вариант», а финальная читаемая форма фотографии.</t>
        </is>
      </c>
      <c r="U134" s="75" t="inlineStr">
        <is>
          <t>Контактная печать: негатив лежит на светочувствительной бумаге, под ним рождается позитив.</t>
        </is>
      </c>
      <c r="V134" s="75" t="inlineStr">
        <is>
          <t>#PL014 #salt-print #positive-print #Talbot</t>
        </is>
      </c>
      <c r="W134" s="75" t="n"/>
      <c r="X134" s="75" t="inlineStr">
        <is>
          <t>51.4140, -2.1210</t>
        </is>
      </c>
      <c r="Y134" s="75" t="inlineStr">
        <is>
          <t>Позитив / соляная печать</t>
        </is>
      </c>
      <c r="Z134" s="75" t="inlineStr">
        <is>
          <t>Ключевой исторический узел</t>
        </is>
      </c>
      <c r="AA134" s="75" t="inlineStr">
        <is>
          <t>да</t>
        </is>
      </c>
    </row>
    <row r="135" ht="17" customHeight="1" s="72">
      <c r="A135" s="75" t="inlineStr">
        <is>
          <t>PL-HIST-0134</t>
        </is>
      </c>
      <c r="B135" s="75" t="inlineStr">
        <is>
          <t>1840 / 1847</t>
        </is>
      </c>
      <c r="C135" s="75" t="inlineStr">
        <is>
          <t>диапазон</t>
        </is>
      </c>
      <c r="D135" s="75" t="inlineStr">
        <is>
          <t>Франция / Великобритания</t>
        </is>
      </c>
      <c r="E135" s="75" t="inlineStr">
        <is>
          <t>Париж / Лондон</t>
        </is>
      </c>
      <c r="F135" s="75" t="inlineStr">
        <is>
          <t>Ипполит Физо</t>
        </is>
      </c>
      <c r="G135" s="75" t="inlineStr">
        <is>
          <t>Физо предлагает золотое тонирование (gold toning) для повышения стойкости и глубины тона дагеротипов (1840); к 1847 году тот же приём переносят на соляные бумажные позитивы.</t>
        </is>
      </c>
      <c r="H135" s="75" t="inlineStr">
        <is>
          <t>Печать / тиражирование</t>
        </is>
      </c>
      <c r="I135" s="75" t="inlineStr">
        <is>
          <t>Gold toning of positive prints</t>
        </is>
      </c>
      <c r="J135" s="75" t="inlineStr">
        <is>
          <t>Позитив — это не только изображение, но и материал, который может выцвести. Тонирование золотом делает серебряное изображение химически устойчивее и меняет его цвет с рыжеватого на холодный пурпурно-коричневый.</t>
        </is>
      </c>
      <c r="K135" s="75" t="inlineStr">
        <is>
          <t>Соляная бумажная печать как первый практический позитив</t>
        </is>
      </c>
      <c r="L135" s="75" t="inlineStr">
        <is>
          <t>Поиск ещё более стойкого позитива приводит к угольной печати</t>
        </is>
      </c>
      <c r="M135" s="75" t="inlineStr">
        <is>
          <t>Главная линия</t>
        </is>
      </c>
      <c r="N135" s="75" t="n">
        <v>3</v>
      </c>
      <c r="O135" s="75" t="inlineStr">
        <is>
          <t>PL-014</t>
        </is>
      </c>
      <c r="P135" s="75" t="inlineStr">
        <is>
          <t>SRC-105</t>
        </is>
      </c>
      <c r="Q135" s="75" t="inlineStr">
        <is>
          <t>The Art of the Photogravure — Hippolyte Fizeau (gold toning)</t>
        </is>
      </c>
      <c r="R135" s="75" t="inlineStr">
        <is>
          <t>https://photogravure.com/key-figure/hippolyte-fizeau/</t>
        </is>
      </c>
      <c r="S135" s="75" t="n">
        <v>4</v>
      </c>
      <c r="T135" s="75" t="inlineStr">
        <is>
          <t>Хороший бытовой пример: ранние позитивы буквально выцветали, и с этого момента фотографы начинают бороться за долговечность отпечатка, а не только за резкость.</t>
        </is>
      </c>
      <c r="U135" s="75" t="inlineStr">
        <is>
          <t>Один и тот же позитив до и после тонирования — сравнение оттенка и стойкости.</t>
        </is>
      </c>
      <c r="V135" s="75" t="inlineStr">
        <is>
          <t>#PL014 #gold-toning #Fizeau #permanence #positive</t>
        </is>
      </c>
      <c r="W135" s="75" t="n"/>
      <c r="X135" s="75" t="n"/>
      <c r="Y135" s="75" t="inlineStr">
        <is>
          <t>Позитив / стойкость и тонирование</t>
        </is>
      </c>
      <c r="Z135" s="75" t="inlineStr">
        <is>
          <t>Технология / процесс</t>
        </is>
      </c>
      <c r="AA135" s="75" t="n"/>
    </row>
    <row r="136" ht="17" customHeight="1" s="72">
      <c r="A136" s="75" t="inlineStr">
        <is>
          <t>PL-HIST-0135</t>
        </is>
      </c>
      <c r="B136" s="75" t="inlineStr">
        <is>
          <t>1855</t>
        </is>
      </c>
      <c r="C136" s="75" t="inlineStr">
        <is>
          <t>год</t>
        </is>
      </c>
      <c r="D136" s="75" t="inlineStr">
        <is>
          <t>Франция</t>
        </is>
      </c>
      <c r="E136" s="75" t="inlineStr">
        <is>
          <t>Париж</t>
        </is>
      </c>
      <c r="F136" s="75" t="inlineStr">
        <is>
          <t>Альфонс Пуатвен</t>
        </is>
      </c>
      <c r="G136" s="75" t="inlineStr">
        <is>
          <t>Пуатвен изобретает угольную печать (carbon print): изображение формируется не серебром, а стойким пигментом в желатине с бихроматом, что решает главную проблему ранних позитивов — выцветание.</t>
        </is>
      </c>
      <c r="H136" s="75" t="inlineStr">
        <is>
          <t>Печать / тиражирование</t>
        </is>
      </c>
      <c r="I136" s="75" t="inlineStr">
        <is>
          <t>Carbon (pigment) printing</t>
        </is>
      </c>
      <c r="J136" s="75" t="inlineStr">
        <is>
          <t>Появляется совершенно другой путь получения позитива: не серебряное изображение, которое может потускнеть, а пигмент, устойчивый к свету почти неограниченно долго.</t>
        </is>
      </c>
      <c r="K136" s="75" t="inlineStr">
        <is>
          <t>Золотое тонирование замедляет, но не решает проблему выцветания серебряных позитивов</t>
        </is>
      </c>
      <c r="L136" s="75" t="inlineStr">
        <is>
          <t>Желатино-серебряная printing-out бумага и другие поздние позитивные процессы XIX века</t>
        </is>
      </c>
      <c r="M136" s="75" t="inlineStr">
        <is>
          <t>Побочная линия / альтернативный процесс</t>
        </is>
      </c>
      <c r="N136" s="75" t="n">
        <v>4</v>
      </c>
      <c r="O136" s="75" t="inlineStr">
        <is>
          <t>PL-014</t>
        </is>
      </c>
      <c r="P136" s="75" t="inlineStr">
        <is>
          <t>SRC-106</t>
        </is>
      </c>
      <c r="Q136" s="75" t="inlineStr">
        <is>
          <t>Royal Collection Trust — Carbon print</t>
        </is>
      </c>
      <c r="R136" s="75" t="inlineStr">
        <is>
          <t>https://www.rct.uk/group/381/content/explore/themes/photographic-technologies/carbon-print</t>
        </is>
      </c>
      <c r="S136" s="75" t="n">
        <v>5</v>
      </c>
      <c r="T136" s="75" t="inlineStr">
        <is>
          <t>Важная развилка для новичка: «позитив» — это не обязательно серебро на бумаге, а любой стойкий материал, способный удержать изображение.</t>
        </is>
      </c>
      <c r="U136" s="75" t="inlineStr">
        <is>
          <t>Слой пигмента в желатине, застывающий на свету, пока непроявленная часть смывается тёплой водой.</t>
        </is>
      </c>
      <c r="V136" s="75" t="inlineStr">
        <is>
          <t>#PL014 #carbon-print #Poitevin #pigment #permanence</t>
        </is>
      </c>
      <c r="W136" s="75" t="n"/>
      <c r="X136" s="75" t="inlineStr">
        <is>
          <t>48.8566, 2.3522</t>
        </is>
      </c>
      <c r="Y136" s="75" t="inlineStr">
        <is>
          <t>Позитив / угольная печать</t>
        </is>
      </c>
      <c r="Z136" s="75" t="inlineStr">
        <is>
          <t>Технология / процесс</t>
        </is>
      </c>
      <c r="AA136" s="75" t="n"/>
    </row>
    <row r="137" ht="17" customHeight="1" s="72">
      <c r="A137" s="75" t="inlineStr">
        <is>
          <t>PL-HIST-0136</t>
        </is>
      </c>
      <c r="B137" s="75" t="inlineStr">
        <is>
          <t>1860–1940</t>
        </is>
      </c>
      <c r="C137" s="75" t="inlineStr">
        <is>
          <t>диапазон</t>
        </is>
      </c>
      <c r="D137" s="75" t="inlineStr">
        <is>
          <t>Европа / США</t>
        </is>
      </c>
      <c r="E137" s="75" t="inlineStr">
        <is>
          <t>распределённый процесс</t>
        </is>
      </c>
      <c r="F137" s="75" t="inlineStr">
        <is>
          <t>Производители фотобумаги и фотографы</t>
        </is>
      </c>
      <c r="G137" s="75" t="inlineStr">
        <is>
          <t>Gelatin silver printing-out paper сохраняет логику контактного позитива: изображение проявляется главным образом светом, без отдельного химического проявления.</t>
        </is>
      </c>
      <c r="H137" s="75" t="inlineStr">
        <is>
          <t>Печать / тиражирование</t>
        </is>
      </c>
      <c r="I137" s="75" t="inlineStr">
        <is>
          <t>Gelatin silver printing-out paper / POP</t>
        </is>
      </c>
      <c r="J137" s="75" t="inlineStr">
        <is>
          <t>Позитив остаётся связанным с размером негатива: бумага и негатив прижимаются друг к другу, а солнечный/UV-свет выводит видимое изображение.</t>
        </is>
      </c>
      <c r="K137" s="75" t="inlineStr">
        <is>
          <t>Альбуминовая и соляная контактная печать</t>
        </is>
      </c>
      <c r="L137" s="75" t="inlineStr">
        <is>
          <t>Developing-out paper, увеличитель и тёмная комната XX века</t>
        </is>
      </c>
      <c r="M137" s="75" t="inlineStr">
        <is>
          <t>Временная доминирующая линия</t>
        </is>
      </c>
      <c r="N137" s="75" t="n">
        <v>4</v>
      </c>
      <c r="O137" s="75" t="inlineStr">
        <is>
          <t>PL-014</t>
        </is>
      </c>
      <c r="P137" s="75" t="inlineStr">
        <is>
          <t>SRC-099</t>
        </is>
      </c>
      <c r="Q137" s="75" t="inlineStr">
        <is>
          <t>MoMA — Gelatin silver printing-out-paper print (POP)</t>
        </is>
      </c>
      <c r="R137" s="75" t="inlineStr">
        <is>
          <t>https://www.moma.org/collection/terms/gelatin-silver-printing-out-paper-print-pop</t>
        </is>
      </c>
      <c r="S137" s="75" t="n">
        <v>5</v>
      </c>
      <c r="T137" s="75" t="inlineStr">
        <is>
          <t>В уроке можно объяснить разницу: одни позитивы «выводятся» светом, другие проявляются химически.</t>
        </is>
      </c>
      <c r="U137" s="75" t="inlineStr">
        <is>
          <t>Солнце/UV-свет печатает позитив через негатив, как контактную копию.</t>
        </is>
      </c>
      <c r="V137" s="75" t="inlineStr">
        <is>
          <t>#PL014 #POP #printing-out-paper #positive</t>
        </is>
      </c>
      <c r="W137" s="75" t="inlineStr">
        <is>
          <t>Диапазон 1860–1940 обобщён; не привязывать к одному городу.</t>
        </is>
      </c>
      <c r="X137" s="75" t="n"/>
      <c r="Y137" s="75" t="inlineStr">
        <is>
          <t>Позитив / printing-out paper</t>
        </is>
      </c>
      <c r="Z137" s="75" t="inlineStr">
        <is>
          <t>Технология / процесс</t>
        </is>
      </c>
      <c r="AA137" s="75" t="n"/>
    </row>
    <row r="138" ht="17" customHeight="1" s="72">
      <c r="A138" s="75" t="inlineStr">
        <is>
          <t>PL-HIST-0137</t>
        </is>
      </c>
      <c r="B138" s="75" t="inlineStr">
        <is>
          <t>1873 / к 1895</t>
        </is>
      </c>
      <c r="C138" s="75" t="inlineStr">
        <is>
          <t>спорно/уточнить</t>
        </is>
      </c>
      <c r="D138" s="75" t="inlineStr">
        <is>
          <t>Великобритания</t>
        </is>
      </c>
      <c r="E138" s="75" t="inlineStr">
        <is>
          <t>Лондон / Великобритания</t>
        </is>
      </c>
      <c r="F138" s="75" t="inlineStr">
        <is>
          <t>Питер Модсли и производители фотобумаги</t>
        </is>
      </c>
      <c r="G138" s="75" t="inlineStr">
        <is>
          <t>Желатино-серебряная developing-out paper меняет позитивную печать: изображение появляется после химического проявления в тёмной комнате.</t>
        </is>
      </c>
      <c r="H138" s="75" t="inlineStr">
        <is>
          <t>Печать / тиражирование</t>
        </is>
      </c>
      <c r="I138" s="75" t="inlineStr">
        <is>
          <t>Gelatin silver developing-out paper / DOP</t>
        </is>
      </c>
      <c r="J138" s="75" t="inlineStr">
        <is>
          <t>Позитив становится более быстрым, управляемым и пригодным для увеличения: фотограф может влиять на размер, контраст и тональность отпечатка.</t>
        </is>
      </c>
      <c r="K138" s="75" t="inlineStr">
        <is>
          <t>Printing-out paper и контактная печать XIX века</t>
        </is>
      </c>
      <c r="L138" s="75" t="inlineStr">
        <is>
          <t>Тёмная комната, увеличитель и авторская чёрно-белая печать XX века</t>
        </is>
      </c>
      <c r="M138" s="75" t="inlineStr">
        <is>
          <t>Главная линия / временная доминирующая линия</t>
        </is>
      </c>
      <c r="N138" s="75" t="n">
        <v>5</v>
      </c>
      <c r="O138" s="75" t="inlineStr">
        <is>
          <t>PL-014</t>
        </is>
      </c>
      <c r="P138" s="75" t="inlineStr">
        <is>
          <t>SRC-100</t>
        </is>
      </c>
      <c r="Q138" s="75" t="inlineStr">
        <is>
          <t>HNOC — Gelatin Silver Developing-Out Paper Process</t>
        </is>
      </c>
      <c r="R138" s="75" t="inlineStr">
        <is>
          <t>https://hnoc.org/virtual-exhibitions/from_daguerreotype_to_digital/gelatin-silver-developing-out-paper-process</t>
        </is>
      </c>
      <c r="S138" s="75" t="n">
        <v>5</v>
      </c>
      <c r="T138" s="75" t="inlineStr">
        <is>
          <t>Это мост к практической фотографии: позитив можно не просто получить, а печатать как авторское решение.</t>
        </is>
      </c>
      <c r="U138" s="75" t="inlineStr">
        <is>
          <t>Красный свет тёмной комнаты, увеличитель, лист фотобумаги в ванночке проявителя.</t>
        </is>
      </c>
      <c r="V138" s="75" t="inlineStr">
        <is>
          <t>#PL014 #DOP #gelatin-silver #darkroom-print</t>
        </is>
      </c>
      <c r="W138" s="75" t="inlineStr">
        <is>
          <t>Уточнить персональную и географическую привязку Peter Mawdsley при углублении.</t>
        </is>
      </c>
      <c r="X138" s="75" t="inlineStr">
        <is>
          <t>51.5074, -0.1278</t>
        </is>
      </c>
      <c r="Y138" s="75" t="inlineStr">
        <is>
          <t>Позитив / developing-out paper</t>
        </is>
      </c>
      <c r="Z138" s="75" t="inlineStr">
        <is>
          <t>Технология / процесс</t>
        </is>
      </c>
      <c r="AA138" s="75" t="n"/>
    </row>
    <row r="139" ht="17" customHeight="1" s="72">
      <c r="A139" s="75" t="inlineStr">
        <is>
          <t>PL-HIST-0138</t>
        </is>
      </c>
      <c r="B139" s="75" t="inlineStr">
        <is>
          <t>1873 / 1880</t>
        </is>
      </c>
      <c r="C139" s="75" t="inlineStr">
        <is>
          <t>диапазон</t>
        </is>
      </c>
      <c r="D139" s="75" t="inlineStr">
        <is>
          <t>Великобритания</t>
        </is>
      </c>
      <c r="E139" s="75" t="inlineStr">
        <is>
          <t>Лондон</t>
        </is>
      </c>
      <c r="F139" s="75" t="inlineStr">
        <is>
          <t>Уильям Уиллис</t>
        </is>
      </c>
      <c r="G139" s="75" t="inlineStr">
        <is>
          <t>Уиллис патентует платинотипию (1873), а к 1880 году выпускает первую коммерческую сенсибилизированную платиновую бумагу — позитив с исключительно широким тональным диапазоном и матовой поверхностью.</t>
        </is>
      </c>
      <c r="H139" s="75" t="inlineStr">
        <is>
          <t>Печать / тиражирование</t>
        </is>
      </c>
      <c r="I139" s="75" t="inlineStr">
        <is>
          <t>Platinum print (platinotype)</t>
        </is>
      </c>
      <c r="J139" s="75" t="inlineStr">
        <is>
          <t>У фотографа впервые появляется позитивный процесс, ценимый именно за художественное качество тона, а не только за скорость или дешевизну — платиновый отпечаток практически не выцветает.</t>
        </is>
      </c>
      <c r="K139" s="75" t="inlineStr">
        <is>
          <t>Желатино-серебряная printing-out и developing-out бумага</t>
        </is>
      </c>
      <c r="L139" s="75" t="inlineStr">
        <is>
          <t>Autochrome и первые цветные позитивы-прозрачности</t>
        </is>
      </c>
      <c r="M139" s="75" t="inlineStr">
        <is>
          <t>Побочная линия / альтернативный процесс</t>
        </is>
      </c>
      <c r="N139" s="75" t="n">
        <v>3</v>
      </c>
      <c r="O139" s="75" t="inlineStr">
        <is>
          <t>PL-014</t>
        </is>
      </c>
      <c r="P139" s="75" t="inlineStr">
        <is>
          <t>SRC-107</t>
        </is>
      </c>
      <c r="Q139" s="75" t="inlineStr">
        <is>
          <t>Historic New Orleans Collection — Platinum Process</t>
        </is>
      </c>
      <c r="R139" s="75" t="inlineStr">
        <is>
          <t>https://hnoc.org/virtual-exhibitions/from_daguerreotype_to_digital/platinum-process</t>
        </is>
      </c>
      <c r="S139" s="75" t="n">
        <v>4</v>
      </c>
      <c r="T139" s="75" t="inlineStr">
        <is>
          <t>Хорошо связать с современностью: платиновую печать до сих пор используют художники именно за долговечность и особый матовый тон.</t>
        </is>
      </c>
      <c r="U139" s="75" t="inlineStr">
        <is>
          <t>Сравнение поверхности: блестящий серебряный отпечаток рядом с матовым платиновым.</t>
        </is>
      </c>
      <c r="V139" s="75" t="inlineStr">
        <is>
          <t>#PL014 #platinotype #WillisPlatinum #tonal-range #positive</t>
        </is>
      </c>
      <c r="W139" s="75" t="n"/>
      <c r="X139" s="75" t="inlineStr">
        <is>
          <t>51.5074, -0.1278</t>
        </is>
      </c>
      <c r="Y139" s="75" t="inlineStr">
        <is>
          <t>Позитив / платиновая печать</t>
        </is>
      </c>
      <c r="Z139" s="75" t="inlineStr">
        <is>
          <t>Технология / процесс</t>
        </is>
      </c>
      <c r="AA139" s="75" t="n"/>
    </row>
    <row r="140" ht="17" customHeight="1" s="72">
      <c r="A140" s="75" t="inlineStr">
        <is>
          <t>PL-HIST-0139</t>
        </is>
      </c>
      <c r="B140" s="75" t="inlineStr">
        <is>
          <t>1907</t>
        </is>
      </c>
      <c r="C140" s="75" t="inlineStr">
        <is>
          <t>год</t>
        </is>
      </c>
      <c r="D140" s="75" t="inlineStr">
        <is>
          <t>Франция</t>
        </is>
      </c>
      <c r="E140" s="75" t="inlineStr">
        <is>
          <t>Лион / Париж</t>
        </is>
      </c>
      <c r="F140" s="75" t="inlineStr">
        <is>
          <t>Братья Люмьер</t>
        </is>
      </c>
      <c r="G140" s="75" t="inlineStr">
        <is>
          <t>Autochrome Lumière даёт цветной позитив-прозрачность: изображение смотрят на просвет или проецируют.</t>
        </is>
      </c>
      <c r="H140" s="75" t="inlineStr">
        <is>
          <t>Цвет</t>
        </is>
      </c>
      <c r="I140" s="75" t="inlineStr">
        <is>
          <t>Autochrome positive transparency</t>
        </is>
      </c>
      <c r="J140" s="75" t="inlineStr">
        <is>
          <t>Позитив может быть не только бумажным отпечатком, но и прозрачностью для света, проекции и просмотра цвета.</t>
        </is>
      </c>
      <c r="K140" s="75" t="inlineStr">
        <is>
          <t>Чёрно-белые позитивные отпечатки и ранние цветовые опыты</t>
        </is>
      </c>
      <c r="L140" s="75" t="inlineStr">
        <is>
          <t>Dye Transfer и другие способы получить цветной позитив на бумаге</t>
        </is>
      </c>
      <c r="M140" s="75" t="inlineStr">
        <is>
          <t>Исторически важная ограниченная ветка</t>
        </is>
      </c>
      <c r="N140" s="75" t="n">
        <v>4</v>
      </c>
      <c r="O140" s="75" t="inlineStr">
        <is>
          <t>PL-014</t>
        </is>
      </c>
      <c r="P140" s="75" t="inlineStr">
        <is>
          <t>SRC-104</t>
        </is>
      </c>
      <c r="Q140" s="75" t="inlineStr">
        <is>
          <t>National Science and Media Museum — Autochromes: the dawn of colour photography</t>
        </is>
      </c>
      <c r="R140" s="75" t="inlineStr">
        <is>
          <t>https://blog.scienceandmediamuseum.org.uk/autochromes-the-dawn-of-colour-photography/</t>
        </is>
      </c>
      <c r="S140" s="75" t="n">
        <v>5</v>
      </c>
      <c r="T140" s="75" t="inlineStr">
        <is>
          <t>В PL-014 это расширяет понятие: позитив — не всегда бумага; иногда это изображение, которое оживает на просвет.</t>
        </is>
      </c>
      <c r="U140" s="75" t="inlineStr">
        <is>
          <t>Стеклянная цветная пластина Autochrome на световом столе.</t>
        </is>
      </c>
      <c r="V140" s="75" t="inlineStr">
        <is>
          <t>#PL014 #autochrome #positive-transparency #colour</t>
        </is>
      </c>
      <c r="W140" s="75" t="n"/>
      <c r="X140" s="75" t="inlineStr">
        <is>
          <t>45.7640, 4.8357</t>
        </is>
      </c>
      <c r="Y140" s="75" t="inlineStr">
        <is>
          <t>Позитив / цветная прозрачность</t>
        </is>
      </c>
      <c r="Z140" s="75" t="inlineStr">
        <is>
          <t>Технология / процесс</t>
        </is>
      </c>
      <c r="AA140" s="75" t="n"/>
    </row>
    <row r="141" ht="17" customHeight="1" s="72">
      <c r="A141" s="75" t="inlineStr">
        <is>
          <t>PL-HIST-0140</t>
        </is>
      </c>
      <c r="B141" s="75" t="inlineStr">
        <is>
          <t>1945 / 1946</t>
        </is>
      </c>
      <c r="C141" s="75" t="inlineStr">
        <is>
          <t>диапазон</t>
        </is>
      </c>
      <c r="D141" s="75" t="inlineStr">
        <is>
          <t>США</t>
        </is>
      </c>
      <c r="E141" s="75" t="inlineStr">
        <is>
          <t>Рочестер, Нью-Йорк</t>
        </is>
      </c>
      <c r="F141" s="75" t="inlineStr">
        <is>
          <t>Eastman Kodak</t>
        </is>
      </c>
      <c r="G141" s="75" t="inlineStr">
        <is>
          <t>Kodak выпускает Dye Transfer — процесс имбибиционной цветной печати: с трёх желатиновых матриц (голубой, пурпурный, жёлтый краситель) последовательно переносят краситель на бумагу, получая бумажный цветной позитив.</t>
        </is>
      </c>
      <c r="H141" s="75" t="inlineStr">
        <is>
          <t>Цвет</t>
        </is>
      </c>
      <c r="I141" s="75" t="inlineStr">
        <is>
          <t>Kodak Dye Transfer (dye imbibition print)</t>
        </is>
      </c>
      <c r="J141" s="75" t="inlineStr">
        <is>
          <t>Позитив в цвете перестаёт быть только прозрачностью для проекции (как Kodachrome) — теперь это ещё и бумажный отпечаток с точным контролем цвета, который фотограф может держать в руках.</t>
        </is>
      </c>
      <c r="K141" s="75" t="inlineStr">
        <is>
          <t>Autochrome и цветные позитивы-прозрачности начала XX века</t>
        </is>
      </c>
      <c r="L141" s="75" t="inlineStr">
        <is>
          <t>Хромогенная цветная печать (C-print) как массовый способ получить цветной позитив</t>
        </is>
      </c>
      <c r="M141" s="75" t="inlineStr">
        <is>
          <t>Побочная линия / студийный процесс</t>
        </is>
      </c>
      <c r="N141" s="75" t="n">
        <v>3</v>
      </c>
      <c r="O141" s="75" t="inlineStr">
        <is>
          <t>PL-014</t>
        </is>
      </c>
      <c r="P141" s="75" t="inlineStr">
        <is>
          <t>SRC-108</t>
        </is>
      </c>
      <c r="Q141" s="75" t="inlineStr">
        <is>
          <t>George Eastman Museum — Dye-transfer printing (images)</t>
        </is>
      </c>
      <c r="R141" s="75" t="inlineStr">
        <is>
          <t>https://www.eastman.org/technicolor/2b-dye-transfer-printing-images</t>
        </is>
      </c>
      <c r="S141" s="75" t="n">
        <v>4</v>
      </c>
      <c r="T141" s="75" t="inlineStr">
        <is>
          <t>Стоит отличать от Kodachrome (уже был в уроке про негатив/позитив): там прозрачность для проекции, здесь — бумажный цветной отпечаток с контролируемым цветом.</t>
        </is>
      </c>
      <c r="U141" s="75" t="inlineStr">
        <is>
          <t>Три желатиновые матрицы (C/M/Y) поочерёдно прижимаются к бумаге, оставляя слой красителя.</t>
        </is>
      </c>
      <c r="V141" s="75" t="inlineStr">
        <is>
          <t>#PL014 #dye-transfer #Kodak #color-print #imbibition</t>
        </is>
      </c>
      <c r="W141" s="75" t="n"/>
      <c r="X141" s="75" t="inlineStr">
        <is>
          <t>43.1566, -77.6088</t>
        </is>
      </c>
      <c r="Y141" s="75" t="inlineStr">
        <is>
          <t>Позитив / цветная печать с матриц</t>
        </is>
      </c>
      <c r="Z141" s="75" t="inlineStr">
        <is>
          <t>Технология / процесс</t>
        </is>
      </c>
      <c r="AA141" s="75" t="n"/>
    </row>
    <row r="142" ht="17" customHeight="1" s="72">
      <c r="A142" s="75" t="inlineStr">
        <is>
          <t>PL-HIST-0141</t>
        </is>
      </c>
      <c r="B142" s="75" t="inlineStr">
        <is>
          <t>1948</t>
        </is>
      </c>
      <c r="C142" s="75" t="inlineStr">
        <is>
          <t>год</t>
        </is>
      </c>
      <c r="D142" s="75" t="inlineStr">
        <is>
          <t>США</t>
        </is>
      </c>
      <c r="E142" s="75" t="inlineStr">
        <is>
          <t>Кембридж, Массачусетс</t>
        </is>
      </c>
      <c r="F142" s="75" t="inlineStr">
        <is>
          <t>Polaroid / Эдвин Лэнд</t>
        </is>
      </c>
      <c r="G142" s="75" t="inlineStr">
        <is>
          <t>Polaroid Land Camera Model 95 запускает массовую идею instant-positive: готовый позитивный отпечаток появляется сразу после съёмки.</t>
        </is>
      </c>
      <c r="H142" s="75" t="inlineStr">
        <is>
          <t>Уникальный позитив</t>
        </is>
      </c>
      <c r="I142" s="75" t="inlineStr">
        <is>
          <t>Instant positive print / Polaroid Model 95</t>
        </is>
      </c>
      <c r="J142" s="75" t="inlineStr">
        <is>
          <t>Позитив перестаёт требовать отдельной лабораторной задержки: фотография превращается в мгновенный объект, который можно сразу показать.</t>
        </is>
      </c>
      <c r="K142" s="75" t="inlineStr">
        <is>
          <t>Печать позитива в лаборатории и сервисная обработка</t>
        </is>
      </c>
      <c r="L142" s="75" t="inlineStr">
        <is>
          <t>Instant photography, SX-70 и современное возвращение мгновенных отпечатков</t>
        </is>
      </c>
      <c r="M142" s="75" t="inlineStr">
        <is>
          <t>Исторически важная ограниченная ветка / художественное возрождение</t>
        </is>
      </c>
      <c r="N142" s="75" t="n">
        <v>5</v>
      </c>
      <c r="O142" s="75" t="inlineStr">
        <is>
          <t>PL-014</t>
        </is>
      </c>
      <c r="P142" s="75" t="inlineStr">
        <is>
          <t>SRC-101</t>
        </is>
      </c>
      <c r="Q142" s="75" t="inlineStr">
        <is>
          <t>Smithsonian — Polaroid Land Camera Model 95</t>
        </is>
      </c>
      <c r="R142" s="75" t="inlineStr">
        <is>
          <t>https://americanhistory.si.edu/collections/object/nmah_1154069</t>
        </is>
      </c>
      <c r="S142" s="75" t="n">
        <v>5</v>
      </c>
      <c r="T142" s="75" t="inlineStr">
        <is>
          <t>Сильный пример: позитив — это момент, когда изображение становится социальным объектом прямо в руках.</t>
        </is>
      </c>
      <c r="U142" s="75" t="inlineStr">
        <is>
          <t>Человек держит только что появившийся Polaroid-отпечаток.</t>
        </is>
      </c>
      <c r="V142" s="75" t="inlineStr">
        <is>
          <t>#PL014 #Polaroid #instant-positive #LandCamera</t>
        </is>
      </c>
      <c r="W142" s="75" t="n"/>
      <c r="X142" s="75" t="inlineStr">
        <is>
          <t>42.3736, -71.1097</t>
        </is>
      </c>
      <c r="Y142" s="75" t="inlineStr">
        <is>
          <t>Позитив / instant print</t>
        </is>
      </c>
      <c r="Z142" s="75" t="inlineStr">
        <is>
          <t>Технология / процесс</t>
        </is>
      </c>
      <c r="AA142" s="75" t="n"/>
    </row>
    <row r="143" ht="17" customHeight="1" s="72">
      <c r="A143" s="75" t="inlineStr">
        <is>
          <t>PL-HIST-0142</t>
        </is>
      </c>
      <c r="B143" s="75" t="inlineStr">
        <is>
          <t>1940-е – XX век</t>
        </is>
      </c>
      <c r="C143" s="75" t="inlineStr">
        <is>
          <t>диапазон</t>
        </is>
      </c>
      <c r="D143" s="75" t="inlineStr">
        <is>
          <t>США / Европа / глобально</t>
        </is>
      </c>
      <c r="E143" s="75" t="inlineStr">
        <is>
          <t>фотолаборатории и архивы</t>
        </is>
      </c>
      <c r="F143" s="75" t="inlineStr">
        <is>
          <t>Фотоиндустрия цветной печати</t>
        </is>
      </c>
      <c r="G143" s="75" t="inlineStr">
        <is>
          <t>Chromogenic print / C-print становится одной из главных форм цветного позитивного отпечатка XX века.</t>
        </is>
      </c>
      <c r="H143" s="75" t="inlineStr">
        <is>
          <t>Печать / тиражирование</t>
        </is>
      </c>
      <c r="I143" s="75" t="inlineStr">
        <is>
          <t>Chromogenic print / C-print</t>
        </is>
      </c>
      <c r="J143" s="75" t="inlineStr">
        <is>
          <t>Цветной позитив на бумаге становится массовой финальной формой изображения: семейные альбомы, лаборатории, выставочные C-prints и цифровая RA-4 печать.</t>
        </is>
      </c>
      <c r="K143" s="75" t="inlineStr">
        <is>
          <t>Kodachrome, Kodacolor и развитие цветной негативной/позитивной системы</t>
        </is>
      </c>
      <c r="L143" s="75" t="inlineStr">
        <is>
          <t>Современная фотопечать, цифровой файл → светочувствительная бумага → позитивный отпечаток</t>
        </is>
      </c>
      <c r="M143" s="75" t="inlineStr">
        <is>
          <t>Главная линия / временная доминирующая линия</t>
        </is>
      </c>
      <c r="N143" s="75" t="n">
        <v>4</v>
      </c>
      <c r="O143" s="75" t="inlineStr">
        <is>
          <t>PL-014</t>
        </is>
      </c>
      <c r="P143" s="75" t="inlineStr">
        <is>
          <t>SRC-102</t>
        </is>
      </c>
      <c r="Q143" s="75" t="inlineStr">
        <is>
          <t>MoMA — Chromogenic print</t>
        </is>
      </c>
      <c r="R143" s="75" t="inlineStr">
        <is>
          <t>https://www.moma.org/collection/terms/chromogenic-print</t>
        </is>
      </c>
      <c r="S143" s="75" t="n">
        <v>5</v>
      </c>
      <c r="T143" s="75" t="inlineStr">
        <is>
          <t>Финальный вывод урока: позитив — это то, как фотография обычно встречается со зрителем: бумага, слайд, instant print или современный цветной отпечаток.</t>
        </is>
      </c>
      <c r="U143" s="75" t="inlineStr">
        <is>
          <t>Стена с цветными позитивными отпечатками: от лабораторных фото до выставочного C-print.</t>
        </is>
      </c>
      <c r="V143" s="75" t="inlineStr">
        <is>
          <t>#PL014 #chromogenic-print #C-print #positive</t>
        </is>
      </c>
      <c r="W143" s="75" t="inlineStr">
        <is>
          <t>Датировка дана как обобщённая; детальную историю цветной негативной плёнки оставить для PL-016.</t>
        </is>
      </c>
      <c r="X143" s="75" t="n"/>
      <c r="Y143" s="75" t="inlineStr">
        <is>
          <t>Позитив / chromogenic print</t>
        </is>
      </c>
      <c r="Z143" s="75" t="inlineStr">
        <is>
          <t>Тиражирование / публикация</t>
        </is>
      </c>
      <c r="AA143" s="75" t="n"/>
    </row>
    <row r="144" ht="17" customHeight="1" s="72">
      <c r="A144" t="inlineStr">
        <is>
          <t>PL-HIST-0143</t>
        </is>
      </c>
      <c r="B144" t="inlineStr">
        <is>
          <t>XIX–XX век</t>
        </is>
      </c>
      <c r="C144" t="inlineStr">
        <is>
          <t>диапазон</t>
        </is>
      </c>
      <c r="D144" t="inlineStr">
        <is>
          <t>глобально</t>
        </is>
      </c>
      <c r="E144" t="inlineStr">
        <is>
          <t>распределённый процесс</t>
        </is>
      </c>
      <c r="F144" t="inlineStr">
        <is>
          <t>Фотографы, производители плёнки и лаборатории</t>
        </is>
      </c>
      <c r="G144" t="inlineStr">
        <is>
          <t>Чёрно-белая плёнка закрепляет классическую серебряно-желатиновую логику: свет меняет кристаллы галогенидов серебра, а после проявления изображение становится серебряным негативом.</t>
        </is>
      </c>
      <c r="H144" t="inlineStr">
        <is>
          <t>Фотохимия</t>
        </is>
      </c>
      <c r="I144" t="inlineStr">
        <is>
          <t>Black-and-white silver halide negative film</t>
        </is>
      </c>
      <c r="J144" t="inlineStr">
        <is>
          <t>Чёрно-белая плёнка показывает фотографию как перевод света в плотность: чем больше света получил участок, тем темнее он становится на негативе.</t>
        </is>
      </c>
      <c r="K144" t="inlineStr">
        <is>
          <t>Общая структура плёнки, эмульсия, негатив и позитив из PL-011–PL-014</t>
        </is>
      </c>
      <c r="L144" t="inlineStr">
        <is>
          <t>Цветная негативная плёнка как следующий тип материала</t>
        </is>
      </c>
      <c r="M144" t="inlineStr">
        <is>
          <t>Главная линия</t>
        </is>
      </c>
      <c r="N144" t="n">
        <v>5</v>
      </c>
      <c r="O144" t="inlineStr">
        <is>
          <t>PL-015</t>
        </is>
      </c>
      <c r="P144" t="inlineStr">
        <is>
          <t>SRC-109</t>
        </is>
      </c>
      <c r="Q144" t="inlineStr">
        <is>
          <t>ILFORD Photo — Silver Halide Prints</t>
        </is>
      </c>
      <c r="R144" t="inlineStr">
        <is>
          <t>https://www.ilfordphoto.com/silver-halide/</t>
        </is>
      </c>
      <c r="S144" t="n">
        <v>5</v>
      </c>
      <c r="T144" t="inlineStr">
        <is>
          <t>Флагманская мысль урока: ч/б плёнка — это не «без цвета», а отдельный способ видеть свет, форму, тон и контраст.</t>
        </is>
      </c>
      <c r="U144" t="inlineStr">
        <is>
          <t>Разрез плёнки: прозрачная основа, тонкий слой эмульсии и зерна серебра, которые после проявления образуют изображение.</t>
        </is>
      </c>
      <c r="V144" t="inlineStr">
        <is>
          <t>#PL015 #black-and-white-film #silver-halide #gelatin #negative</t>
        </is>
      </c>
      <c r="Y144" t="inlineStr">
        <is>
          <t>Чёрно-белая плёнка / серебряно-желатиновая основа</t>
        </is>
      </c>
      <c r="Z144" t="inlineStr">
        <is>
          <t>Ключевой исторический узел</t>
        </is>
      </c>
      <c r="AA144" t="inlineStr">
        <is>
          <t>да</t>
        </is>
      </c>
    </row>
    <row r="145" ht="17" customHeight="1" s="72">
      <c r="A145" t="inlineStr">
        <is>
          <t>PL-HIST-0144</t>
        </is>
      </c>
      <c r="B145" t="inlineStr">
        <is>
          <t>конец XIX – начало XX века</t>
        </is>
      </c>
      <c r="C145" t="inlineStr">
        <is>
          <t>диапазон</t>
        </is>
      </c>
      <c r="D145" t="inlineStr">
        <is>
          <t>глобально</t>
        </is>
      </c>
      <c r="E145" t="inlineStr">
        <is>
          <t>распределённый процесс</t>
        </is>
      </c>
      <c r="F145" t="inlineStr">
        <is>
          <t>Производители сухих пластин и плёнки</t>
        </is>
      </c>
      <c r="G145" t="inlineStr">
        <is>
          <t>Ранние чёрно-белые материалы часто были ортохроматическими: хорошо реагировали на синий и зелёный свет, но плохо передавали красный.</t>
        </is>
      </c>
      <c r="H145" t="inlineStr">
        <is>
          <t>Фотохимия</t>
        </is>
      </c>
      <c r="I145" t="inlineStr">
        <is>
          <t>Orthochromatic black-and-white material</t>
        </is>
      </c>
      <c r="J145" t="inlineStr">
        <is>
          <t>Новичок понимает, что «чёрно-белое» изображение не является простым обесцвечиванием мира: разные эмульсии по-разному переводят цвета в серые тона.</t>
        </is>
      </c>
      <c r="K145" t="inlineStr">
        <is>
          <t>Желатиновые сухие пластины и ранние плёночные эмульсии</t>
        </is>
      </c>
      <c r="L145" t="inlineStr">
        <is>
          <t>Панхроматическая ч/б плёнка как более естественная передача тонов</t>
        </is>
      </c>
      <c r="M145" t="inlineStr">
        <is>
          <t>Исторически важная ограниченная ветка</t>
        </is>
      </c>
      <c r="N145" t="n">
        <v>4</v>
      </c>
      <c r="O145" t="inlineStr">
        <is>
          <t>PL-015</t>
        </is>
      </c>
      <c r="P145" t="inlineStr">
        <is>
          <t>SRC-111</t>
        </is>
      </c>
      <c r="Q145" t="inlineStr">
        <is>
          <t>Kodak — Processing KODAK Motion Picture Films, Module 15</t>
        </is>
      </c>
      <c r="R145" t="inlineStr">
        <is>
          <t>https://www.kodak.com/content/products-brochures/Film/Processing-KODAK-Motion-Picture-Films-Module-15.pdf</t>
        </is>
      </c>
      <c r="S145" t="n">
        <v>5</v>
      </c>
      <c r="T145" t="inlineStr">
        <is>
          <t>Хороший пример для объяснения: красная губная помада или красная ткань на ортохроматическом материале может выйти слишком тёмной.</t>
        </is>
      </c>
      <c r="U145" t="inlineStr">
        <is>
          <t>Две серые шкалы рядом: один и тот же цветной объект на ортохроматической и панхроматической плёнке.</t>
        </is>
      </c>
      <c r="V145" t="inlineStr">
        <is>
          <t>#PL015 #orthochromatic #spectral-sensitivity #bw-film</t>
        </is>
      </c>
      <c r="W145" t="inlineStr">
        <is>
          <t>Не уходить глубоко в цветоделение до уроков о цветной фотографии.</t>
        </is>
      </c>
      <c r="Y145" t="inlineStr">
        <is>
          <t>Чёрно-белая плёнка / спектральная чувствительность</t>
        </is>
      </c>
      <c r="Z145" t="inlineStr">
        <is>
          <t>Технология / процесс</t>
        </is>
      </c>
    </row>
    <row r="146" ht="17" customHeight="1" s="72">
      <c r="A146" t="inlineStr">
        <is>
          <t>PL-HIST-0145</t>
        </is>
      </c>
      <c r="B146" t="inlineStr">
        <is>
          <t>XX век</t>
        </is>
      </c>
      <c r="C146" t="inlineStr">
        <is>
          <t>диапазон</t>
        </is>
      </c>
      <c r="D146" t="inlineStr">
        <is>
          <t>глобально</t>
        </is>
      </c>
      <c r="E146" t="inlineStr">
        <is>
          <t>распределённый процесс</t>
        </is>
      </c>
      <c r="F146" t="inlineStr">
        <is>
          <t>Производители фотоплёнки</t>
        </is>
      </c>
      <c r="G146" t="inlineStr">
        <is>
          <t>Панхроматическая чёрно-белая плёнка становится стандартной логикой: эмульсия чувствительна к видимому спектру и переводит цвета сцены в более естественную шкалу серого.</t>
        </is>
      </c>
      <c r="H146" t="inlineStr">
        <is>
          <t>Фотохимия</t>
        </is>
      </c>
      <c r="I146" t="inlineStr">
        <is>
          <t>Panchromatic black-and-white film</t>
        </is>
      </c>
      <c r="J146" t="inlineStr">
        <is>
          <t>Ч/б фотография начинает точнее передавать относительную яркость разных цветов: не цвет исчезает, а превращается в тон.</t>
        </is>
      </c>
      <c r="K146" t="inlineStr">
        <is>
          <t>Ортохроматические материалы и ограниченная цветочувствительность</t>
        </is>
      </c>
      <c r="L146" t="inlineStr">
        <is>
          <t>Современные ч/б фотоплёнки: FP4, HP5, Tri-X, T-Max, Delta и другие</t>
        </is>
      </c>
      <c r="M146" t="inlineStr">
        <is>
          <t>Главная линия</t>
        </is>
      </c>
      <c r="N146" t="n">
        <v>5</v>
      </c>
      <c r="O146" t="inlineStr">
        <is>
          <t>PL-015</t>
        </is>
      </c>
      <c r="P146" t="inlineStr">
        <is>
          <t>SRC-111</t>
        </is>
      </c>
      <c r="Q146" t="inlineStr">
        <is>
          <t>Kodak — Processing KODAK Motion Picture Films, Module 15</t>
        </is>
      </c>
      <c r="R146" t="inlineStr">
        <is>
          <t>https://www.kodak.com/content/products-brochures/Film/Processing-KODAK-Motion-Picture-Films-Module-15.pdf</t>
        </is>
      </c>
      <c r="S146" t="n">
        <v>5</v>
      </c>
      <c r="T146" t="inlineStr">
        <is>
          <t>Это ключ к визуальному мышлению: фотограф выбирает не просто цвет/без цвета, а способ перевести цветной мир в тональные отношения.</t>
        </is>
      </c>
      <c r="U146" t="inlineStr">
        <is>
          <t>Цветовой круг превращается в серую шкалу: красный, зелёный и синий уходят в разные плотности.</t>
        </is>
      </c>
      <c r="V146" t="inlineStr">
        <is>
          <t>#PL015 #panchromatic #black-and-white #tones</t>
        </is>
      </c>
      <c r="Y146" t="inlineStr">
        <is>
          <t>Чёрно-белая плёнка / панхроматическая чувствительность</t>
        </is>
      </c>
      <c r="Z146" t="inlineStr">
        <is>
          <t>Технология / процесс</t>
        </is>
      </c>
    </row>
    <row r="147" ht="17" customHeight="1" s="72">
      <c r="A147" t="inlineStr">
        <is>
          <t>PL-HIST-0146</t>
        </is>
      </c>
      <c r="B147" t="inlineStr">
        <is>
          <t>XX век</t>
        </is>
      </c>
      <c r="C147" t="inlineStr">
        <is>
          <t>диапазон</t>
        </is>
      </c>
      <c r="D147" t="inlineStr">
        <is>
          <t>глобально</t>
        </is>
      </c>
      <c r="E147" t="inlineStr">
        <is>
          <t>распределённый процесс</t>
        </is>
      </c>
      <c r="F147" t="inlineStr">
        <is>
          <t>Kodak и другие производители плёнки</t>
        </is>
      </c>
      <c r="G147" t="inlineStr">
        <is>
          <t>Типичная чёрно-белая негативная плёнка имеет слоистую структуру: основа, эмульсия с кристаллами серебра и служебные слои вроде антигаляционного покрытия.</t>
        </is>
      </c>
      <c r="H147" t="inlineStr">
        <is>
          <t>Фотохимия</t>
        </is>
      </c>
      <c r="I147" t="inlineStr">
        <is>
          <t>B&amp;W negative film structure / antihalation layer</t>
        </is>
      </c>
      <c r="J147" t="inlineStr">
        <is>
          <t>Плёнка оказывается не одной «чёрной полоской», а инженерным материалом, где каждый слой влияет на резкость, ореолы, плотность и читаемость негатива.</t>
        </is>
      </c>
      <c r="K147" t="inlineStr">
        <is>
          <t>Структура фотоплёнки из PL-011</t>
        </is>
      </c>
      <c r="L147" t="inlineStr">
        <is>
          <t>Зерно, резкость, ореолы и практические различия плёнок в PL-019</t>
        </is>
      </c>
      <c r="M147" t="inlineStr">
        <is>
          <t>Главная линия</t>
        </is>
      </c>
      <c r="N147" t="n">
        <v>4</v>
      </c>
      <c r="O147" t="inlineStr">
        <is>
          <t>PL-015</t>
        </is>
      </c>
      <c r="P147" t="inlineStr">
        <is>
          <t>SRC-111</t>
        </is>
      </c>
      <c r="Q147" t="inlineStr">
        <is>
          <t>Kodak — Processing KODAK Motion Picture Films, Module 15</t>
        </is>
      </c>
      <c r="R147" t="inlineStr">
        <is>
          <t>https://www.kodak.com/content/products-brochures/Film/Processing-KODAK-Motion-Picture-Films-Module-15.pdf</t>
        </is>
      </c>
      <c r="S147" t="n">
        <v>5</v>
      </c>
      <c r="T147" t="inlineStr">
        <is>
          <t>Связать с реальной кассетой: то, что мы заряжаем в камеру, внутри устроено намного сложнее, чем кажется.</t>
        </is>
      </c>
      <c r="U147" t="inlineStr">
        <is>
          <t>Учебный разрез плёнки: база, антигаляционный слой, эмульсия, защитный слой.</t>
        </is>
      </c>
      <c r="V147" t="inlineStr">
        <is>
          <t>#PL015 #film-structure #antihalation #emulsion</t>
        </is>
      </c>
      <c r="Y147" t="inlineStr">
        <is>
          <t>Чёрно-белая плёнка / структура материала</t>
        </is>
      </c>
      <c r="Z147" t="inlineStr">
        <is>
          <t>Технология / процесс</t>
        </is>
      </c>
    </row>
    <row r="148" ht="17" customHeight="1" s="72">
      <c r="A148" t="inlineStr">
        <is>
          <t>PL-HIST-0147</t>
        </is>
      </c>
      <c r="B148" t="inlineStr">
        <is>
          <t>XX век</t>
        </is>
      </c>
      <c r="C148" t="inlineStr">
        <is>
          <t>диапазон</t>
        </is>
      </c>
      <c r="D148" t="inlineStr">
        <is>
          <t>глобально</t>
        </is>
      </c>
      <c r="E148" t="inlineStr">
        <is>
          <t>тёмная комната / лаборатория</t>
        </is>
      </c>
      <c r="F148" t="inlineStr">
        <is>
          <t>Фотографы и лаборатории</t>
        </is>
      </c>
      <c r="G148" t="inlineStr">
        <is>
          <t>При проявлении экспонированные кристаллы галогенидов серебра превращаются в металлическое серебро: так скрытое изображение становится видимым негативом.</t>
        </is>
      </c>
      <c r="H148" t="inlineStr">
        <is>
          <t>Фотохимия</t>
        </is>
      </c>
      <c r="I148" t="inlineStr">
        <is>
          <t>Black-and-white development / metallic silver image</t>
        </is>
      </c>
      <c r="J148" t="inlineStr">
        <is>
          <t>Чёрно-белая фотография — это изображение из серебра. Тёмные участки негатива соответствуют светлым участкам сцены.</t>
        </is>
      </c>
      <c r="K148" t="inlineStr">
        <is>
          <t>Скрытое изображение и проявление из PL-012</t>
        </is>
      </c>
      <c r="L148" t="inlineStr">
        <is>
          <t>Контроль времени проявления, контраста и зерна</t>
        </is>
      </c>
      <c r="M148" t="inlineStr">
        <is>
          <t>Главная линия</t>
        </is>
      </c>
      <c r="N148" t="n">
        <v>5</v>
      </c>
      <c r="O148" t="inlineStr">
        <is>
          <t>PL-015</t>
        </is>
      </c>
      <c r="P148" t="inlineStr">
        <is>
          <t>SRC-110</t>
        </is>
      </c>
      <c r="Q148" t="inlineStr">
        <is>
          <t>Canadian Conservation Institute — Processing Contemporary Black-and-White Photographic Films and Papers for Maximum Permanence</t>
        </is>
      </c>
      <c r="R148" t="inlineStr">
        <is>
          <t>https://www.canada.ca/en/conservation-institute/services/conservation-preservation-publications/canadian-conservation-institute-notes/black-white-photographic-films-papers-permanence.html</t>
        </is>
      </c>
      <c r="S148" t="n">
        <v>5</v>
      </c>
      <c r="T148" t="inlineStr">
        <is>
          <t>Здесь важно объяснить без химической перегрузки: свет оставляет невидимый след, проявитель делает этот след серебром.</t>
        </is>
      </c>
      <c r="U148" t="inlineStr">
        <is>
          <t>Ванночка проявителя: светлые невидимые участки на плёнке постепенно превращаются в плотный серебряный негатив.</t>
        </is>
      </c>
      <c r="V148" t="inlineStr">
        <is>
          <t>#PL015 #developer #latent-image #metallic-silver #negative</t>
        </is>
      </c>
      <c r="X148" t="inlineStr">
        <is>
          <t>45.4215, -75.6972</t>
        </is>
      </c>
      <c r="Y148" t="inlineStr">
        <is>
          <t>Чёрно-белая плёнка / проявление</t>
        </is>
      </c>
      <c r="Z148" t="inlineStr">
        <is>
          <t>Технология / процесс</t>
        </is>
      </c>
    </row>
    <row r="149" ht="17" customHeight="1" s="72">
      <c r="A149" t="inlineStr">
        <is>
          <t>PL-HIST-0148</t>
        </is>
      </c>
      <c r="B149" t="inlineStr">
        <is>
          <t>XX век</t>
        </is>
      </c>
      <c r="C149" t="inlineStr">
        <is>
          <t>диапазон</t>
        </is>
      </c>
      <c r="D149" t="inlineStr">
        <is>
          <t>глобально</t>
        </is>
      </c>
      <c r="E149" t="inlineStr">
        <is>
          <t>тёмная комната / лаборатория</t>
        </is>
      </c>
      <c r="F149" t="inlineStr">
        <is>
          <t>Фотографы и лаборатории</t>
        </is>
      </c>
      <c r="G149" t="inlineStr">
        <is>
          <t>Фиксаж удаляет оставшиеся неэкспонированные галогениды серебра. После этого негатив становится стабильным и уже не темнеет от обычного света.</t>
        </is>
      </c>
      <c r="H149" t="inlineStr">
        <is>
          <t>Фиксаж / терминология</t>
        </is>
      </c>
      <c r="I149" t="inlineStr">
        <is>
          <t>Fixing black-and-white film</t>
        </is>
      </c>
      <c r="J149" t="inlineStr">
        <is>
          <t>Фиксация — момент, когда изображение становится не просто проявленным, а сохраняемым. Без фиксации плёнка продолжала бы реагировать на свет.</t>
        </is>
      </c>
      <c r="K149" t="inlineStr">
        <is>
          <t>Проявленное, но ещё не закреплённое изображение</t>
        </is>
      </c>
      <c r="L149" t="inlineStr">
        <is>
          <t>Промывка, сушка и архивное хранение негатива</t>
        </is>
      </c>
      <c r="M149" t="inlineStr">
        <is>
          <t>Главная линия</t>
        </is>
      </c>
      <c r="N149" t="n">
        <v>5</v>
      </c>
      <c r="O149" t="inlineStr">
        <is>
          <t>PL-015</t>
        </is>
      </c>
      <c r="P149" t="inlineStr">
        <is>
          <t>SRC-110</t>
        </is>
      </c>
      <c r="Q149" t="inlineStr">
        <is>
          <t>Canadian Conservation Institute — Processing Contemporary Black-and-White Photographic Films and Papers for Maximum Permanence</t>
        </is>
      </c>
      <c r="R149" t="inlineStr">
        <is>
          <t>https://www.canada.ca/en/conservation-institute/services/conservation-preservation-publications/canadian-conservation-institute-notes/black-white-photographic-films-papers-permanence.html</t>
        </is>
      </c>
      <c r="S149" t="n">
        <v>5</v>
      </c>
      <c r="T149" t="inlineStr">
        <is>
          <t>Это мост к ранней истории фиксации: проблема Гершеля остаётся актуальной и в обычной ч/б плёнке.</t>
        </is>
      </c>
      <c r="U149" t="inlineStr">
        <is>
          <t>До/после фиксации: одна полоска ещё молочная и светочувствительная, другая прозрачная и стабильная.</t>
        </is>
      </c>
      <c r="V149" t="inlineStr">
        <is>
          <t>#PL015 #fixer #hypo #silver-halide #permanence</t>
        </is>
      </c>
      <c r="X149" t="inlineStr">
        <is>
          <t>45.4215, -75.6972</t>
        </is>
      </c>
      <c r="Y149" t="inlineStr">
        <is>
          <t>Чёрно-белая плёнка / фиксация</t>
        </is>
      </c>
      <c r="Z149" t="inlineStr">
        <is>
          <t>Технология / процесс</t>
        </is>
      </c>
    </row>
    <row r="150" ht="17" customHeight="1" s="72">
      <c r="A150" t="inlineStr">
        <is>
          <t>PL-HIST-0149</t>
        </is>
      </c>
      <c r="B150" t="inlineStr">
        <is>
          <t>XX–XXI век</t>
        </is>
      </c>
      <c r="C150" t="inlineStr">
        <is>
          <t>диапазон</t>
        </is>
      </c>
      <c r="D150" t="inlineStr">
        <is>
          <t>глобально</t>
        </is>
      </c>
      <c r="E150" t="inlineStr">
        <is>
          <t>домашняя тёмная комната / лаборатория</t>
        </is>
      </c>
      <c r="F150" t="inlineStr">
        <is>
          <t>ILFORD Photo / фотографы</t>
        </is>
      </c>
      <c r="G150" t="inlineStr">
        <is>
          <t>Базовый процесс чёрно-белой проявки можно выполнить в небольшом бачке: загрузить плёнку в темноте, проявить, остановить, зафиксировать, промыть и высушить.</t>
        </is>
      </c>
      <c r="H150" t="inlineStr">
        <is>
          <t>Фотохимия</t>
        </is>
      </c>
      <c r="I150" t="inlineStr">
        <is>
          <t>Small tank black-and-white film processing</t>
        </is>
      </c>
      <c r="J150" t="inlineStr">
        <is>
          <t>Ч/б плёнка остаётся самым доступным материалом для домашнего понимания фотохимии: фотограф может сам увидеть, как свет превращается в негатив.</t>
        </is>
      </c>
      <c r="K150" t="inlineStr">
        <is>
          <t>Проявление и фиксация как химические этапы</t>
        </is>
      </c>
      <c r="L150" t="inlineStr">
        <is>
          <t>Проявка цветной негативной плёнки и лабораторные стандарты C-41</t>
        </is>
      </c>
      <c r="M150" t="inlineStr">
        <is>
          <t>Применение / жанр</t>
        </is>
      </c>
      <c r="N150" t="n">
        <v>4</v>
      </c>
      <c r="O150" t="inlineStr">
        <is>
          <t>PL-015</t>
        </is>
      </c>
      <c r="P150" t="inlineStr">
        <is>
          <t>SRC-115</t>
        </is>
      </c>
      <c r="Q150" t="inlineStr">
        <is>
          <t>ILFORD Photo — Beginners Guide: Processing Film</t>
        </is>
      </c>
      <c r="R150" t="inlineStr">
        <is>
          <t>https://www.ilfordphoto.com/beginners-guide-processing-film/</t>
        </is>
      </c>
      <c r="S150" t="n">
        <v>5</v>
      </c>
      <c r="T150" t="inlineStr">
        <is>
          <t>Практический смысл урока: ч/б плёнка хороша для первой лабораторной практики, потому что процесс понятен и контролируем.</t>
        </is>
      </c>
      <c r="U150" t="inlineStr">
        <is>
          <t>Спираль, бачок, термометр и три подписанные бутылки: developer / stop / fixer.</t>
        </is>
      </c>
      <c r="V150" t="inlineStr">
        <is>
          <t>#PL015 #darkroom #film-processing #Ilford #practice</t>
        </is>
      </c>
      <c r="Y150" t="inlineStr">
        <is>
          <t>Чёрно-белая плёнка / домашняя проявка</t>
        </is>
      </c>
      <c r="Z150" t="inlineStr">
        <is>
          <t>Применение / жанр</t>
        </is>
      </c>
    </row>
    <row r="151" ht="17" customHeight="1" s="72">
      <c r="A151" t="inlineStr">
        <is>
          <t>PL-HIST-0150</t>
        </is>
      </c>
      <c r="B151" t="inlineStr">
        <is>
          <t>XX–XXI век</t>
        </is>
      </c>
      <c r="C151" t="inlineStr">
        <is>
          <t>диапазон</t>
        </is>
      </c>
      <c r="D151" t="inlineStr">
        <is>
          <t>глобально</t>
        </is>
      </c>
      <c r="E151" t="inlineStr">
        <is>
          <t>тёмная комната / лаборатория</t>
        </is>
      </c>
      <c r="F151" t="inlineStr">
        <is>
          <t>Фотографы и производители химии</t>
        </is>
      </c>
      <c r="G151" t="inlineStr">
        <is>
          <t>Проявитель влияет не только на появление изображения, но и на характер негатива: контраст, зерно, резкость и пригодность к печати или сканированию.</t>
        </is>
      </c>
      <c r="H151" t="inlineStr">
        <is>
          <t>Фотохимия</t>
        </is>
      </c>
      <c r="I151" t="inlineStr">
        <is>
          <t>B&amp;W developers and negative character</t>
        </is>
      </c>
      <c r="J151" t="inlineStr">
        <is>
          <t>Чёрно-белая плёнка даёт фотографу ручку управления: один и тот же кадр можно сделать мягче, жёстче, зернистее или чище через выбор проявки.</t>
        </is>
      </c>
      <c r="K151" t="inlineStr">
        <is>
          <t>Базовая проявка негатива</t>
        </is>
      </c>
      <c r="L151" t="inlineStr">
        <is>
          <t>Push/Pull, зерно и экспозиционная широта в будущих уроках</t>
        </is>
      </c>
      <c r="M151" t="inlineStr">
        <is>
          <t>Главная линия / практическое управление</t>
        </is>
      </c>
      <c r="N151" t="n">
        <v>4</v>
      </c>
      <c r="O151" t="inlineStr">
        <is>
          <t>PL-015</t>
        </is>
      </c>
      <c r="P151" t="inlineStr">
        <is>
          <t>SRC-116</t>
        </is>
      </c>
      <c r="Q151" t="inlineStr">
        <is>
          <t>ILFORD Photo — Introduction to ILFORD Film Developers</t>
        </is>
      </c>
      <c r="R151" t="inlineStr">
        <is>
          <t>https://www.ilfordphoto.com/beginners-guide-film-developers/</t>
        </is>
      </c>
      <c r="S151" t="n">
        <v>5</v>
      </c>
      <c r="T151" t="inlineStr">
        <is>
          <t>Не перегружать формулами химии. Главное: проявитель — это не просто «жидкость», а часть визуального языка плёнки.</t>
        </is>
      </c>
      <c r="U151" t="inlineStr">
        <is>
          <t>Один негатив в трёх вариантах проявления: мягкий, нормальный, контрастный.</t>
        </is>
      </c>
      <c r="V151" t="inlineStr">
        <is>
          <t>#PL015 #developer #contrast #grain #darkroom</t>
        </is>
      </c>
      <c r="Y151" t="inlineStr">
        <is>
          <t>Чёрно-белая плёнка / характер проявления</t>
        </is>
      </c>
      <c r="Z151" t="inlineStr">
        <is>
          <t>Технология / процесс</t>
        </is>
      </c>
    </row>
    <row r="152" ht="17" customHeight="1" s="72">
      <c r="A152" t="inlineStr">
        <is>
          <t>PL-HIST-0151</t>
        </is>
      </c>
      <c r="B152" t="inlineStr">
        <is>
          <t>1954 / современность</t>
        </is>
      </c>
      <c r="C152" t="inlineStr">
        <is>
          <t>диапазон</t>
        </is>
      </c>
      <c r="D152" t="inlineStr">
        <is>
          <t>США</t>
        </is>
      </c>
      <c r="E152" t="inlineStr">
        <is>
          <t>Рочестер, Нью-Йорк</t>
        </is>
      </c>
      <c r="F152" t="inlineStr">
        <is>
          <t>Eastman Kodak / Kodak Alaris</t>
        </is>
      </c>
      <c r="G152" t="inlineStr">
        <is>
          <t>Kodak TRI-X становится одной из главных культурных моделей чёрно-белой плёнки: ISO 400, классическое зерно, высокая резкость и широкая экспозиционная широта.</t>
        </is>
      </c>
      <c r="H152" t="inlineStr">
        <is>
          <t>Фотохимия</t>
        </is>
      </c>
      <c r="I152" t="inlineStr">
        <is>
          <t>KODAK Professional TRI-X 400</t>
        </is>
      </c>
      <c r="J152" t="inlineStr">
        <is>
          <t>Чёрно-белая плёнка — это не только технология, но и узнаваемый визуальный язык: документальность, репортажность, зерно и тон.</t>
        </is>
      </c>
      <c r="K152" t="inlineStr">
        <is>
          <t>Панхроматическая ч/б плёнка как стандарт</t>
        </is>
      </c>
      <c r="L152" t="inlineStr">
        <is>
          <t>Push/Pull, зерно и репортажная эстетика</t>
        </is>
      </c>
      <c r="M152" t="inlineStr">
        <is>
          <t>Главная линия / визуальный язык</t>
        </is>
      </c>
      <c r="N152" t="n">
        <v>5</v>
      </c>
      <c r="O152" t="inlineStr">
        <is>
          <t>PL-015</t>
        </is>
      </c>
      <c r="P152" t="inlineStr">
        <is>
          <t>SRC-113</t>
        </is>
      </c>
      <c r="Q152" t="inlineStr">
        <is>
          <t>Kodak Professional — KODAK PROFESSIONAL TRI-X Films</t>
        </is>
      </c>
      <c r="R152" t="inlineStr">
        <is>
          <t>https://kodakprofessional.com/photographers/film/black-white/kodak-professional-tri-x-films/515</t>
        </is>
      </c>
      <c r="S152" t="n">
        <v>5</v>
      </c>
      <c r="T152" t="inlineStr">
        <is>
          <t>TRI-X можно использовать как пример: одни плёнки стали не просто продуктом, а визуальной культурой документальной фотографии.</t>
        </is>
      </c>
      <c r="U152" t="inlineStr">
        <is>
          <t>Кассета TRI-X рядом с контактным листом уличной/репортажной съёмки.</t>
        </is>
      </c>
      <c r="V152" t="inlineStr">
        <is>
          <t>#PL015 #Tri-X #Kodak #ISO400 #grain #photojournalism</t>
        </is>
      </c>
      <c r="X152" t="inlineStr">
        <is>
          <t>43.1566, -77.6088</t>
        </is>
      </c>
      <c r="Y152" t="inlineStr">
        <is>
          <t>Чёрно-белая плёнка / классическое зерно</t>
        </is>
      </c>
      <c r="Z152" t="inlineStr">
        <is>
          <t>Применение / жанр</t>
        </is>
      </c>
    </row>
    <row r="153" ht="17" customHeight="1" s="72">
      <c r="A153" t="inlineStr">
        <is>
          <t>PL-HIST-0152</t>
        </is>
      </c>
      <c r="B153" t="inlineStr">
        <is>
          <t>1980-е – современность</t>
        </is>
      </c>
      <c r="C153" t="inlineStr">
        <is>
          <t>диапазон</t>
        </is>
      </c>
      <c r="D153" t="inlineStr">
        <is>
          <t>США</t>
        </is>
      </c>
      <c r="E153" t="inlineStr">
        <is>
          <t>Рочестер, Нью-Йорк</t>
        </is>
      </c>
      <c r="F153" t="inlineStr">
        <is>
          <t>Eastman Kodak / Kodak Alaris</t>
        </is>
      </c>
      <c r="G153" t="inlineStr">
        <is>
          <t>Плёнки Kodak T-MAX показывают другой путь чёрно-белого материала: табличные T-Grain кристаллы дают мелкое зерно, высокую резкость и чистую тональную шкалу.</t>
        </is>
      </c>
      <c r="H153" t="inlineStr">
        <is>
          <t>Фотохимия</t>
        </is>
      </c>
      <c r="I153" t="inlineStr">
        <is>
          <t>KODAK PROFESSIONAL T-MAX / T-Grain technology</t>
        </is>
      </c>
      <c r="J153" t="inlineStr">
        <is>
          <t>Даже внутри чёрно-белой фотографии есть разные «почерки»: классическое зерно и современные мелкозернистые эмульсии ведут себя по-разному.</t>
        </is>
      </c>
      <c r="K153" t="inlineStr">
        <is>
          <t>Классические панхроматические ч/б плёнки</t>
        </is>
      </c>
      <c r="L153" t="inlineStr">
        <is>
          <t>Уроки о зерне, ISO и характере плёнки</t>
        </is>
      </c>
      <c r="M153" t="inlineStr">
        <is>
          <t>Главная линия / технологическое развитие</t>
        </is>
      </c>
      <c r="N153" t="n">
        <v>4</v>
      </c>
      <c r="O153" t="inlineStr">
        <is>
          <t>PL-015</t>
        </is>
      </c>
      <c r="P153" t="inlineStr">
        <is>
          <t>SRC-114</t>
        </is>
      </c>
      <c r="Q153" t="inlineStr">
        <is>
          <t>Kodak Professional — KODAK PROFESSIONAL T-MAX 400 Film</t>
        </is>
      </c>
      <c r="R153" t="inlineStr">
        <is>
          <t>https://www.kodakprofessional.com/photographers/film/black-white/kodak-professional-t-max-400-film/526</t>
        </is>
      </c>
      <c r="S153" t="n">
        <v>5</v>
      </c>
      <c r="T153" t="inlineStr">
        <is>
          <t>Хорошо показать как сравнение: Tri-X — характерное зерно; T-Max — чистота, детализация, более современный рисунок.</t>
        </is>
      </c>
      <c r="U153" t="inlineStr">
        <is>
          <t>Два увеличенных фрагмента: классическое зерно и более ровная T-Grain структура.</t>
        </is>
      </c>
      <c r="V153" t="inlineStr">
        <is>
          <t>#PL015 #TMAX #T-Grain #fine-grain #Kodak</t>
        </is>
      </c>
      <c r="X153" t="inlineStr">
        <is>
          <t>43.1566, -77.6088</t>
        </is>
      </c>
      <c r="Y153" t="inlineStr">
        <is>
          <t>Чёрно-белая плёнка / мелкозернистая технология</t>
        </is>
      </c>
      <c r="Z153" t="inlineStr">
        <is>
          <t>Технология / процесс</t>
        </is>
      </c>
    </row>
    <row r="154" ht="17" customHeight="1" s="72">
      <c r="A154" t="inlineStr">
        <is>
          <t>PL-HIST-0153</t>
        </is>
      </c>
      <c r="B154" t="inlineStr">
        <is>
          <t>XX–XXI век</t>
        </is>
      </c>
      <c r="C154" t="inlineStr">
        <is>
          <t>диапазон</t>
        </is>
      </c>
      <c r="D154" t="inlineStr">
        <is>
          <t>Великобритания</t>
        </is>
      </c>
      <c r="E154" t="inlineStr">
        <is>
          <t>Мобберли, Чешир</t>
        </is>
      </c>
      <c r="F154" t="inlineStr">
        <is>
          <t>ILFORD Photo / HARMAN technology</t>
        </is>
      </c>
      <c r="G154" t="inlineStr">
        <is>
          <t>ILFORD XP2 SUPER показывает исключение: это чёрно-белая плёнка, которую можно проявлять в цветном C-41 процессе вместе с цветной негативной плёнкой.</t>
        </is>
      </c>
      <c r="H154" t="inlineStr">
        <is>
          <t>Фотохимия</t>
        </is>
      </c>
      <c r="I154" t="inlineStr">
        <is>
          <t>Chromogenic black-and-white film / ILFORD XP2 SUPER</t>
        </is>
      </c>
      <c r="J154" t="inlineStr">
        <is>
          <t>Чёрно-белая фотография может быть не только классическим серебряным процессом. Иногда ч/б изображение строится через лабораторную логику цветной негативной плёнки.</t>
        </is>
      </c>
      <c r="K154" t="inlineStr">
        <is>
          <t>Традиционная ч/б проявка в бачке</t>
        </is>
      </c>
      <c r="L154" t="inlineStr">
        <is>
          <t>Цветная негативная плёнка и процесс C-41 в PL-016</t>
        </is>
      </c>
      <c r="M154" t="inlineStr">
        <is>
          <t>Связь / переход</t>
        </is>
      </c>
      <c r="N154" t="n">
        <v>4</v>
      </c>
      <c r="O154" t="inlineStr">
        <is>
          <t>PL-015</t>
        </is>
      </c>
      <c r="P154" t="inlineStr">
        <is>
          <t>SRC-117</t>
        </is>
      </c>
      <c r="Q154" t="inlineStr">
        <is>
          <t>ILFORD Photo — XP2 SUPER 35mm</t>
        </is>
      </c>
      <c r="R154" t="inlineStr">
        <is>
          <t>https://www.ilfordphoto.com/xp2-super-35mm</t>
        </is>
      </c>
      <c r="S154" t="n">
        <v>5</v>
      </c>
      <c r="T154" t="inlineStr">
        <is>
          <t>Идеальный мост к PL-016: внешне это ч/б фотография, но лабораторно она связана с цветной негативной системой.</t>
        </is>
      </c>
      <c r="U154" t="inlineStr">
        <is>
          <t>Кассета XP2 рядом с цветными C-41 химикатами и чёрно-белым отпечатком.</t>
        </is>
      </c>
      <c r="V154" t="inlineStr">
        <is>
          <t>#PL015 #XP2 #C41 #chromogenic #black-and-white</t>
        </is>
      </c>
      <c r="X154" t="inlineStr">
        <is>
          <t>53.3180, -2.3160</t>
        </is>
      </c>
      <c r="Y154" t="inlineStr">
        <is>
          <t>Чёрно-белая плёнка / chromogenic B&amp;W</t>
        </is>
      </c>
      <c r="Z154" t="inlineStr">
        <is>
          <t>Связь / переход</t>
        </is>
      </c>
    </row>
    <row r="155" ht="17" customHeight="1" s="72">
      <c r="A155" t="inlineStr">
        <is>
          <t>PL-HIST-0154</t>
        </is>
      </c>
      <c r="B155" t="inlineStr">
        <is>
          <t>1942</t>
        </is>
      </c>
      <c r="C155" t="inlineStr">
        <is>
          <t>год</t>
        </is>
      </c>
      <c r="D155" t="inlineStr">
        <is>
          <t>США</t>
        </is>
      </c>
      <c r="E155" t="inlineStr">
        <is>
          <t>Рочестер, Нью-Йорк</t>
        </is>
      </c>
      <c r="F155" t="inlineStr">
        <is>
          <t>Eastman Kodak Company</t>
        </is>
      </c>
      <c r="G155" t="inlineStr">
        <is>
          <t>Kodak объявляет KODACOLOR Film для отпечатков — первый настоящий цветной негативный фильм для фотографии.</t>
        </is>
      </c>
      <c r="H155" t="inlineStr">
        <is>
          <t>Цвет</t>
        </is>
      </c>
      <c r="I155" t="inlineStr">
        <is>
          <t>KODACOLOR / color negative film</t>
        </is>
      </c>
      <c r="J155" t="inlineStr">
        <is>
          <t>Цветная фотография получает привычную для массового пользователя логику: снять негатив, а затем получить цветные позитивные отпечатки на бумаге.</t>
        </is>
      </c>
      <c r="K155" t="inlineStr">
        <is>
          <t>Чёрно-белая негативная плёнка и ранние цветные позитивные процессы</t>
        </is>
      </c>
      <c r="L155" t="inlineStr">
        <is>
          <t>Цветная негативная плёнка как стандарт семейной, любительской и лабораторной фотографии</t>
        </is>
      </c>
      <c r="M155" t="inlineStr">
        <is>
          <t>Главная линия</t>
        </is>
      </c>
      <c r="N155" t="n">
        <v>5</v>
      </c>
      <c r="O155" t="inlineStr">
        <is>
          <t>PL-016</t>
        </is>
      </c>
      <c r="P155" t="inlineStr">
        <is>
          <t>SRC-120</t>
        </is>
      </c>
      <c r="Q155" t="inlineStr">
        <is>
          <t>Kodak — Photography History</t>
        </is>
      </c>
      <c r="R155" t="inlineStr">
        <is>
          <t>https://www.kodak.com/en/company/page/photography-history/</t>
        </is>
      </c>
      <c r="S155" t="inlineStr">
        <is>
          <t>5</t>
        </is>
      </c>
      <c r="T155" t="inlineStr">
        <is>
          <t>Флагманская мысль урока: цветной негатив — это не «цветная картинка сразу», а цветная матрица для будущего отпечатка.</t>
        </is>
      </c>
      <c r="U155" t="inlineStr">
        <is>
          <t>Кассета Kodacolor и рядом оранжевый негатив, из которого появляется цветной семейный отпечаток.</t>
        </is>
      </c>
      <c r="V155" t="inlineStr">
        <is>
          <t>#PL016 #Kodacolor #color-negative #Kodak #prints</t>
        </is>
      </c>
      <c r="X155" t="inlineStr">
        <is>
          <t>43.1566, -77.6088</t>
        </is>
      </c>
      <c r="Y155" t="inlineStr">
        <is>
          <t>Цветная негативная плёнка / Kodacolor</t>
        </is>
      </c>
      <c r="Z155" t="inlineStr">
        <is>
          <t>Ключевой исторический узел</t>
        </is>
      </c>
      <c r="AA155" t="inlineStr">
        <is>
          <t>да</t>
        </is>
      </c>
    </row>
    <row r="156" ht="17" customHeight="1" s="72">
      <c r="A156" t="inlineStr">
        <is>
          <t>PL-HIST-0155</t>
        </is>
      </c>
      <c r="B156" t="inlineStr">
        <is>
          <t>1942</t>
        </is>
      </c>
      <c r="C156" t="inlineStr">
        <is>
          <t>год</t>
        </is>
      </c>
      <c r="D156" t="inlineStr">
        <is>
          <t>США</t>
        </is>
      </c>
      <c r="E156" t="inlineStr">
        <is>
          <t>распределённый процесс</t>
        </is>
      </c>
      <c r="F156" t="inlineStr">
        <is>
          <t>Eastman Kodak Company / фотолаборатории</t>
        </is>
      </c>
      <c r="G156" t="inlineStr">
        <is>
          <t>Kodacolor закрепляет отрицательно-положительную цветную систему: цветной негатив предназначен не для прямого просмотра, а для печати позитивов.</t>
        </is>
      </c>
      <c r="H156" t="inlineStr">
        <is>
          <t>Негатив-позитив</t>
        </is>
      </c>
      <c r="I156" t="inlineStr">
        <is>
          <t>Color negative / positive print process</t>
        </is>
      </c>
      <c r="J156" t="inlineStr">
        <is>
          <t>Пользователь начинает мыслить цветную фотографию как маршрут: экспонировать плёнку → проявить цветной негатив → напечатать цветной позитив.</t>
        </is>
      </c>
      <c r="K156" t="inlineStr">
        <is>
          <t>Классическая чёрно-белая система «негатив → позитив»</t>
        </is>
      </c>
      <c r="L156" t="inlineStr">
        <is>
          <t>Цветная лабораторная печать, Ektacolor и массовые семейные отпечатки</t>
        </is>
      </c>
      <c r="M156" t="inlineStr">
        <is>
          <t>Главная линия</t>
        </is>
      </c>
      <c r="N156" t="n">
        <v>5</v>
      </c>
      <c r="O156" t="inlineStr">
        <is>
          <t>PL-016</t>
        </is>
      </c>
      <c r="P156" t="inlineStr">
        <is>
          <t>SRC-121</t>
        </is>
      </c>
      <c r="Q156" t="inlineStr">
        <is>
          <t>Library of Congress — Dye coupler negatives</t>
        </is>
      </c>
      <c r="R156" t="inlineStr">
        <is>
          <t>https://www.loc.gov/pictures/item/tgm003415/</t>
        </is>
      </c>
      <c r="S156" t="inlineStr">
        <is>
          <t>5</t>
        </is>
      </c>
      <c r="T156" t="inlineStr">
        <is>
          <t>Связать PL-016 с PL-013: принцип «негатив-позитив» остаётся тем же, но теперь каждый канал цвета записывается отдельной красочной информацией.</t>
        </is>
      </c>
      <c r="U156" t="inlineStr">
        <is>
          <t>Схема из трёх шагов: цветная сцена → оранжевый негатив → нормальный цветной отпечаток.</t>
        </is>
      </c>
      <c r="V156" t="inlineStr">
        <is>
          <t>#PL016 #negative-positive #Kodacolor #color-print</t>
        </is>
      </c>
      <c r="W156" t="inlineStr">
        <is>
          <t>Проверить, как детально показывать Ektacolor — лучше оставить для печати или лаборатории.</t>
        </is>
      </c>
      <c r="Y156" t="inlineStr">
        <is>
          <t>Цветная негативная плёнка / негатив-позитив</t>
        </is>
      </c>
      <c r="Z156" t="inlineStr">
        <is>
          <t>Связь / переход</t>
        </is>
      </c>
    </row>
    <row r="157" ht="17" customHeight="1" s="72">
      <c r="A157" t="inlineStr">
        <is>
          <t>PL-HIST-0156</t>
        </is>
      </c>
      <c r="B157" t="inlineStr">
        <is>
          <t>1940-е – XX век</t>
        </is>
      </c>
      <c r="C157" t="inlineStr">
        <is>
          <t>диапазон</t>
        </is>
      </c>
      <c r="D157" t="inlineStr">
        <is>
          <t>глобально</t>
        </is>
      </c>
      <c r="E157" t="inlineStr">
        <is>
          <t>распределённый процесс</t>
        </is>
      </c>
      <c r="F157" t="inlineStr">
        <is>
          <t>Производители цветной плёнки</t>
        </is>
      </c>
      <c r="G157" t="inlineStr">
        <is>
          <t>Современные цветные процессы формируют изображение через отдельные слои красителей: голубой, пурпурный и жёлтый складываются в полноцветную картину.</t>
        </is>
      </c>
      <c r="H157" t="inlineStr">
        <is>
          <t>Цвет</t>
        </is>
      </c>
      <c r="I157" t="inlineStr">
        <is>
          <t>Cyan / magenta / yellow dye layers</t>
        </is>
      </c>
      <c r="J157" t="inlineStr">
        <is>
          <t>Цветная плёнка оказывается не «одним цветным слоем», а системой нескольких записей цвета, которые затем нужно правильно совместить в печати или сканировании.</t>
        </is>
      </c>
      <c r="K157" t="inlineStr">
        <is>
          <t>Серебряно-желатиновая эмульсия и чёрно-белый негатив</t>
        </is>
      </c>
      <c r="L157" t="inlineStr">
        <is>
          <t>Многослойная цветная негативная плёнка и цветное проявление</t>
        </is>
      </c>
      <c r="M157" t="inlineStr">
        <is>
          <t>Главная линия</t>
        </is>
      </c>
      <c r="N157" t="n">
        <v>5</v>
      </c>
      <c r="O157" t="inlineStr">
        <is>
          <t>PL-016</t>
        </is>
      </c>
      <c r="P157" t="inlineStr">
        <is>
          <t>SRC-122</t>
        </is>
      </c>
      <c r="Q157" t="inlineStr">
        <is>
          <t>National Archives — Identifying Motion Picture Film Formats</t>
        </is>
      </c>
      <c r="R157" t="inlineStr">
        <is>
          <t>https://www.archives.gov/preservation/formats/motion-picture-film-identify-formats.html</t>
        </is>
      </c>
      <c r="S157" t="inlineStr">
        <is>
          <t>5</t>
        </is>
      </c>
      <c r="T157" t="inlineStr">
        <is>
          <t>Новичку важно увидеть: цвет на плёнке строится из нескольких слоёв, а не появляется как один готовый «цветной пиксель».</t>
        </is>
      </c>
      <c r="U157" t="inlineStr">
        <is>
          <t>Разрез цветной плёнки с тремя условными слоями: yellow, magenta, cyan.</t>
        </is>
      </c>
      <c r="V157" t="inlineStr">
        <is>
          <t>#PL016 #CMY #dye-layers #color-film</t>
        </is>
      </c>
      <c r="Y157" t="inlineStr">
        <is>
          <t>Цветная негативная плёнка / слои красителей</t>
        </is>
      </c>
      <c r="Z157" t="inlineStr">
        <is>
          <t>Технология / процесс</t>
        </is>
      </c>
    </row>
    <row r="158" ht="17" customHeight="1" s="72">
      <c r="A158" t="inlineStr">
        <is>
          <t>PL-HIST-0157</t>
        </is>
      </c>
      <c r="B158" t="inlineStr">
        <is>
          <t>1940-е – XX век</t>
        </is>
      </c>
      <c r="C158" t="inlineStr">
        <is>
          <t>диапазон</t>
        </is>
      </c>
      <c r="D158" t="inlineStr">
        <is>
          <t>глобально</t>
        </is>
      </c>
      <c r="E158" t="inlineStr">
        <is>
          <t>распределённый процесс</t>
        </is>
      </c>
      <c r="F158" t="inlineStr">
        <is>
          <t>Kodak и другие производители цветных материалов</t>
        </is>
      </c>
      <c r="G158" t="inlineStr">
        <is>
          <t>В цветной негативной плёнке светочувствительные слои содержат цветообразующие компоненты — couplers; во время проявления они формируют красители.</t>
        </is>
      </c>
      <c r="H158" t="inlineStr">
        <is>
          <t>Фотохимия</t>
        </is>
      </c>
      <c r="I158" t="inlineStr">
        <is>
          <t>Color couplers / chromogenic development</t>
        </is>
      </c>
      <c r="J158" t="inlineStr">
        <is>
          <t>Проявление цветной плёнки становится не просто проявлением серебра: химия создаёт красочное изображение из скрытой цветовой записи.</t>
        </is>
      </c>
      <c r="K158" t="inlineStr">
        <is>
          <t>Скрытое изображение и серебряное проявление в PL-012 / PL-015</t>
        </is>
      </c>
      <c r="L158" t="inlineStr">
        <is>
          <t>C-41 как стандартизированный цветной негативный процесс</t>
        </is>
      </c>
      <c r="M158" t="inlineStr">
        <is>
          <t>Главная линия</t>
        </is>
      </c>
      <c r="N158" t="n">
        <v>5</v>
      </c>
      <c r="O158" t="inlineStr">
        <is>
          <t>PL-016</t>
        </is>
      </c>
      <c r="P158" t="inlineStr">
        <is>
          <t>SRC-123</t>
        </is>
      </c>
      <c r="Q158" t="inlineStr">
        <is>
          <t>Kodak — Essential Reference Guide for Filmmakers</t>
        </is>
      </c>
      <c r="R158" t="inlineStr">
        <is>
          <t>https://www.kodak.com/content/products-brochures/Film/kodak-essential-reference-guide-for-filmmakers.pdf</t>
        </is>
      </c>
      <c r="S158" t="inlineStr">
        <is>
          <t>5</t>
        </is>
      </c>
      <c r="T158" t="inlineStr">
        <is>
          <t>Объяснять просто: свет оставляет след, проявитель запускает реакцию, а couplers помогают родиться цветным красителям.</t>
        </is>
      </c>
      <c r="U158" t="inlineStr">
        <is>
          <t>Микро-схема: кристалл серебра + проявитель + coupler → цветной краситель.</t>
        </is>
      </c>
      <c r="V158" t="inlineStr">
        <is>
          <t>#PL016 #color-couplers #chromogenic #developer</t>
        </is>
      </c>
      <c r="Y158" t="inlineStr">
        <is>
          <t>Цветная негативная плёнка / color couplers</t>
        </is>
      </c>
      <c r="Z158" t="inlineStr">
        <is>
          <t>Технология / процесс</t>
        </is>
      </c>
    </row>
    <row r="159" ht="17" customHeight="1" s="72">
      <c r="A159" t="inlineStr">
        <is>
          <t>PL-HIST-0158</t>
        </is>
      </c>
      <c r="B159" t="inlineStr">
        <is>
          <t>XX век</t>
        </is>
      </c>
      <c r="C159" t="inlineStr">
        <is>
          <t>диапазон</t>
        </is>
      </c>
      <c r="D159" t="inlineStr">
        <is>
          <t>глобально</t>
        </is>
      </c>
      <c r="E159" t="inlineStr">
        <is>
          <t>распределённый процесс</t>
        </is>
      </c>
      <c r="F159" t="inlineStr">
        <is>
          <t>Производители цветных негативных плёнок</t>
        </is>
      </c>
      <c r="G159" t="inlineStr">
        <is>
          <t>Цветной негатив получает характерную оранжевую маску: напрямую он выглядит странно, но эта маска помогает корректнее воспроизводить цвет при печати.</t>
        </is>
      </c>
      <c r="H159" t="inlineStr">
        <is>
          <t>Цвет</t>
        </is>
      </c>
      <c r="I159" t="inlineStr">
        <is>
          <t>Orange mask in color negative film</t>
        </is>
      </c>
      <c r="J159" t="inlineStr">
        <is>
          <t>Появляется важный парадокс: хороший цветной негатив не обязан выглядеть красиво глазами — он создан для последующей интерпретации лабораторией или сканером.</t>
        </is>
      </c>
      <c r="K159" t="inlineStr">
        <is>
          <t>Цветные слои и красители в негативной плёнке</t>
        </is>
      </c>
      <c r="L159" t="inlineStr">
        <is>
          <t>Печать и цифровая инверсия цветного негатива</t>
        </is>
      </c>
      <c r="M159" t="inlineStr">
        <is>
          <t>Главная линия</t>
        </is>
      </c>
      <c r="N159" t="n">
        <v>5</v>
      </c>
      <c r="O159" t="inlineStr">
        <is>
          <t>PL-016</t>
        </is>
      </c>
      <c r="P159" t="inlineStr">
        <is>
          <t>SRC-124</t>
        </is>
      </c>
      <c r="Q159" t="inlineStr">
        <is>
          <t>Kodak — Processing KODAK Motion Picture Films, Module 7</t>
        </is>
      </c>
      <c r="R159" t="inlineStr">
        <is>
          <t>https://www.kodak.com/content/products-brochures/Film/Processing-KODAK-Motion-Picture-Films-Module-7.pdf</t>
        </is>
      </c>
      <c r="S159" t="inlineStr">
        <is>
          <t>5</t>
        </is>
      </c>
      <c r="T159" t="inlineStr">
        <is>
          <t>Это один из самых полезных моментов урока: оранжевый цвет плёнки — не ошибка и не брак, а часть системы цветокоррекции.</t>
        </is>
      </c>
      <c r="U159" t="inlineStr">
        <is>
          <t>Оранжевая полоска негатива на световом столе; рядом правильно отпечатанный цветной кадр.</t>
        </is>
      </c>
      <c r="V159" t="inlineStr">
        <is>
          <t>#PL016 #orange-mask #color-negative #printing #scan</t>
        </is>
      </c>
      <c r="Y159" t="inlineStr">
        <is>
          <t>Цветная негативная плёнка / оранжевая маска</t>
        </is>
      </c>
      <c r="Z159" t="inlineStr">
        <is>
          <t>Технология / процесс</t>
        </is>
      </c>
    </row>
    <row r="160" ht="17" customHeight="1" s="72">
      <c r="A160" t="inlineStr">
        <is>
          <t>PL-HIST-0159</t>
        </is>
      </c>
      <c r="B160" t="inlineStr">
        <is>
          <t>1940-е – XX век</t>
        </is>
      </c>
      <c r="C160" t="inlineStr">
        <is>
          <t>диапазон</t>
        </is>
      </c>
      <c r="D160" t="inlineStr">
        <is>
          <t>США / глобально</t>
        </is>
      </c>
      <c r="E160" t="inlineStr">
        <is>
          <t>фотолаборатории</t>
        </is>
      </c>
      <c r="F160" t="inlineStr">
        <is>
          <t>Фотоиндустрия и фотолаборатории</t>
        </is>
      </c>
      <c r="G160" t="inlineStr">
        <is>
          <t>Цветная негативная плёнка работает в паре с цветной хромогенной печатью: негатив проецируют на фотобумагу, где формируется позитивный цветной отпечаток.</t>
        </is>
      </c>
      <c r="H160" t="inlineStr">
        <is>
          <t>Печать / тиражирование</t>
        </is>
      </c>
      <c r="I160" t="inlineStr">
        <is>
          <t>Chromogenic color print from color negative</t>
        </is>
      </c>
      <c r="J160" t="inlineStr">
        <is>
          <t>Цветной негатив становится основой массового фотосервиса: человек приносит плёнку и получает готовые цветные фотографии.</t>
        </is>
      </c>
      <c r="K160" t="inlineStr">
        <is>
          <t>Kodacolor как первый массовый цветной негатив для отпечатков</t>
        </is>
      </c>
      <c r="L160" t="inlineStr">
        <is>
          <t>RA-4, минилабы, семейные альбомы и современные лабораторные отпечатки</t>
        </is>
      </c>
      <c r="M160" t="inlineStr">
        <is>
          <t>Главная линия / временная доминирующая линия</t>
        </is>
      </c>
      <c r="N160" t="n">
        <v>4</v>
      </c>
      <c r="O160" t="inlineStr">
        <is>
          <t>PL-016</t>
        </is>
      </c>
      <c r="P160" t="inlineStr">
        <is>
          <t>SRC-125</t>
        </is>
      </c>
      <c r="Q160" t="inlineStr">
        <is>
          <t>National Archives — Photographic Prints in the Still Picture Branch</t>
        </is>
      </c>
      <c r="R160" t="inlineStr">
        <is>
          <t>https://www.archives.gov/research/still-pictures/still-picture-photographic-prints</t>
        </is>
      </c>
      <c r="S160" t="inlineStr">
        <is>
          <t>5</t>
        </is>
      </c>
      <c r="T160" t="inlineStr">
        <is>
          <t>Связать с опытом зрителя: многие семейные фото XX века — это не «файл», а результат цепочки цветной негатив + цветная бумага.</t>
        </is>
      </c>
      <c r="U160" t="inlineStr">
        <is>
          <t>Увеличитель или минилаб: цветной негатив проецируется на бумагу, рядом появляются отпечатки 10×15.</t>
        </is>
      </c>
      <c r="V160" t="inlineStr">
        <is>
          <t>#PL016 #chromogenic-print #color-lab #family-prints</t>
        </is>
      </c>
      <c r="Y160" t="inlineStr">
        <is>
          <t>Цветная негативная плёнка / печать позитивов</t>
        </is>
      </c>
      <c r="Z160" t="inlineStr">
        <is>
          <t>Тиражирование / публикация</t>
        </is>
      </c>
    </row>
    <row r="161" ht="17" customHeight="1" s="72">
      <c r="A161" t="inlineStr">
        <is>
          <t>PL-HIST-0160</t>
        </is>
      </c>
      <c r="B161" t="inlineStr">
        <is>
          <t>1970-е – XXI век</t>
        </is>
      </c>
      <c r="C161" t="inlineStr">
        <is>
          <t>диапазон</t>
        </is>
      </c>
      <c r="D161" t="inlineStr">
        <is>
          <t>глобально</t>
        </is>
      </c>
      <c r="E161" t="inlineStr">
        <is>
          <t>фотолаборатории</t>
        </is>
      </c>
      <c r="F161" t="inlineStr">
        <is>
          <t>Kodak / фотолаборатории</t>
        </is>
      </c>
      <c r="G161" t="inlineStr">
        <is>
          <t>Процесс C-41 становится стандартной лабораторной логикой для большинства цветных негативных фотоплёнок.</t>
        </is>
      </c>
      <c r="H161" t="inlineStr">
        <is>
          <t>Фотохимия</t>
        </is>
      </c>
      <c r="I161" t="inlineStr">
        <is>
          <t>C-41 color negative process</t>
        </is>
      </c>
      <c r="J161" t="inlineStr">
        <is>
          <t>Цветная негативная плёнка получает промышленную повторяемость: разные плёнки можно обрабатывать по единому температурному и химическому маршруту.</t>
        </is>
      </c>
      <c r="K161" t="inlineStr">
        <is>
          <t>Ранние цветные негативные процессы</t>
        </is>
      </c>
      <c r="L161" t="inlineStr">
        <is>
          <t>Современная проявка цветной негативной плёнки в лаборатории или домашнем наборе C-41</t>
        </is>
      </c>
      <c r="M161" t="inlineStr">
        <is>
          <t>Главная линия</t>
        </is>
      </c>
      <c r="N161" t="n">
        <v>5</v>
      </c>
      <c r="O161" t="inlineStr">
        <is>
          <t>PL-016</t>
        </is>
      </c>
      <c r="P161" t="inlineStr">
        <is>
          <t>SRC-126</t>
        </is>
      </c>
      <c r="Q161" t="inlineStr">
        <is>
          <t>Kodak — C-41 Color Negative Control Strips</t>
        </is>
      </c>
      <c r="R161" t="inlineStr">
        <is>
          <t>https://www.kodak.com/en/motion/page/c-41-control-strips/</t>
        </is>
      </c>
      <c r="S161" t="inlineStr">
        <is>
          <t>5</t>
        </is>
      </c>
      <c r="T161" t="inlineStr">
        <is>
          <t>Главная практическая формула: если на коробке написано C-41, это цветная негативная плёнка под стандартный цветной процесс.</t>
        </is>
      </c>
      <c r="U161" t="inlineStr">
        <is>
          <t>Коробка с надписью Process C-41, контрольная полоска и термостатированная ванна.</t>
        </is>
      </c>
      <c r="V161" t="inlineStr">
        <is>
          <t>#PL016 #C41 #color-negative-processing #lab</t>
        </is>
      </c>
      <c r="W161" t="inlineStr">
        <is>
          <t>Точную дату внедрения C-41 можно уточнить отдельно; в карте пока важнее современная стандартная роль процесса.</t>
        </is>
      </c>
      <c r="Y161" t="inlineStr">
        <is>
          <t>Цветная негативная плёнка / C-41</t>
        </is>
      </c>
      <c r="Z161" t="inlineStr">
        <is>
          <t>Технология / процесс</t>
        </is>
      </c>
    </row>
    <row r="162" ht="17" customHeight="1" s="72">
      <c r="A162" t="inlineStr">
        <is>
          <t>PL-HIST-0161</t>
        </is>
      </c>
      <c r="B162" t="inlineStr">
        <is>
          <t>XX–XXI век</t>
        </is>
      </c>
      <c r="C162" t="inlineStr">
        <is>
          <t>диапазон</t>
        </is>
      </c>
      <c r="D162" t="inlineStr">
        <is>
          <t>глобально</t>
        </is>
      </c>
      <c r="E162" t="inlineStr">
        <is>
          <t>фотолаборатории и производители химии</t>
        </is>
      </c>
      <c r="F162" t="inlineStr">
        <is>
          <t>Kodak / Kodak Alaris / фотолаборатории</t>
        </is>
      </c>
      <c r="G162" t="inlineStr">
        <is>
          <t>KODAK FLEXICOLOR Chemicals и аналогичные системы закрепляют C-41 как универсальный лабораторный процесс для совместимых цветных негативных плёнок разных производителей.</t>
        </is>
      </c>
      <c r="H162" t="inlineStr">
        <is>
          <t>Фотохимия</t>
        </is>
      </c>
      <c r="I162" t="inlineStr">
        <is>
          <t>KODAK FLEXICOLOR / C-41 compatible workflow</t>
        </is>
      </c>
      <c r="J162" t="inlineStr">
        <is>
          <t>Цветная плёнка становится сервисной системой: не обязательно знать всю химию, чтобы понимать, что результат зависит от стабильного стандарта обработки.</t>
        </is>
      </c>
      <c r="K162" t="inlineStr">
        <is>
          <t>Процесс C-41 как лабораторный стандарт</t>
        </is>
      </c>
      <c r="L162" t="inlineStr">
        <is>
          <t>Минилабы, профессиональные лаборатории и домашние C-41 наборы</t>
        </is>
      </c>
      <c r="M162" t="inlineStr">
        <is>
          <t>Распространение / коммерциализация</t>
        </is>
      </c>
      <c r="N162" t="n">
        <v>4</v>
      </c>
      <c r="O162" t="inlineStr">
        <is>
          <t>PL-016</t>
        </is>
      </c>
      <c r="P162" t="inlineStr">
        <is>
          <t>SRC-127</t>
        </is>
      </c>
      <c r="Q162" t="inlineStr">
        <is>
          <t>Kodak Alaris — Chemicals: Color Negative Film Processing Cycles (C-41)</t>
        </is>
      </c>
      <c r="R162" t="inlineStr">
        <is>
          <t>https://www.kodakprofessional.com/en-gb/taxonomy/term/245</t>
        </is>
      </c>
      <c r="S162" t="inlineStr">
        <is>
          <t>5</t>
        </is>
      </c>
      <c r="T162" t="inlineStr">
        <is>
          <t>Пояснить отличие от ч/б: C-41 гораздо чувствительнее к температуре и стандарту процесса, поэтому цвет чаще отдавали в лабораторию.</t>
        </is>
      </c>
      <c r="U162" t="inlineStr">
        <is>
          <t>Цветная лаборатория: термостат, C-41 химия, кассеты разных брендов и одинаковый маршрут обработки.</t>
        </is>
      </c>
      <c r="V162" t="inlineStr">
        <is>
          <t>#PL016 #Flexicolor #C41 #photolab #processing</t>
        </is>
      </c>
      <c r="Y162" t="inlineStr">
        <is>
          <t>Цветная негативная плёнка / лабораторный стандарт</t>
        </is>
      </c>
      <c r="Z162" t="inlineStr">
        <is>
          <t>Распространение / коммерциализация</t>
        </is>
      </c>
    </row>
    <row r="163" ht="17" customHeight="1" s="72">
      <c r="A163" t="inlineStr">
        <is>
          <t>PL-HIST-0162</t>
        </is>
      </c>
      <c r="B163" t="inlineStr">
        <is>
          <t>XX–XXI век</t>
        </is>
      </c>
      <c r="C163" t="inlineStr">
        <is>
          <t>диапазон</t>
        </is>
      </c>
      <c r="D163" t="inlineStr">
        <is>
          <t>глобально</t>
        </is>
      </c>
      <c r="E163" t="inlineStr">
        <is>
          <t>распределённый процесс</t>
        </is>
      </c>
      <c r="F163" t="inlineStr">
        <is>
          <t>Фотографы и производители плёнки</t>
        </is>
      </c>
      <c r="G163" t="inlineStr">
        <is>
          <t>Цветная негативная плёнка ценится за практичность: она рассчитана на печать и сканирование, даёт гибкость цвета и обычно терпимее к небольшим ошибкам экспозиции, чем слайд.</t>
        </is>
      </c>
      <c r="H163" t="inlineStr">
        <is>
          <t>Цвет</t>
        </is>
      </c>
      <c r="I163" t="inlineStr">
        <is>
          <t>Color negative exposure latitude / print flexibility</t>
        </is>
      </c>
      <c r="J163" t="inlineStr">
        <is>
          <t>Фотограф получает более прощающий материал для повседневной съёмки: особенно важно для семьи, улицы, путешествий и портрета.</t>
        </is>
      </c>
      <c r="K163" t="inlineStr">
        <is>
          <t>C-41 как устойчивый стандарт обработки</t>
        </is>
      </c>
      <c r="L163" t="inlineStr">
        <is>
          <t>Слайдовая плёнка как более требовательный материал в PL-017</t>
        </is>
      </c>
      <c r="M163" t="inlineStr">
        <is>
          <t>Главная линия / практическое управление</t>
        </is>
      </c>
      <c r="N163" t="n">
        <v>4</v>
      </c>
      <c r="O163" t="inlineStr">
        <is>
          <t>PL-016</t>
        </is>
      </c>
      <c r="P163" t="inlineStr">
        <is>
          <t>SRC-128</t>
        </is>
      </c>
      <c r="Q163" t="inlineStr">
        <is>
          <t>Kodak Professional — Color Films</t>
        </is>
      </c>
      <c r="R163" t="inlineStr">
        <is>
          <t>https://kodakprofessional.com/photographers/film/color</t>
        </is>
      </c>
      <c r="S163" t="inlineStr">
        <is>
          <t>5</t>
        </is>
      </c>
      <c r="T163" t="inlineStr">
        <is>
          <t>Важно не противопоставлять грубо: цветной негатив гибче, а слайд точнее показывает итог сразу и требует аккуратной экспозиции.</t>
        </is>
      </c>
      <c r="U163" t="inlineStr">
        <is>
          <t>Сравнение двух полосок: цветной негатив с запасом по экспозиции и слайд с узким допуском.</t>
        </is>
      </c>
      <c r="V163" t="inlineStr">
        <is>
          <t>#PL016 #exposure-latitude #color-negative #print-film</t>
        </is>
      </c>
      <c r="W163" t="inlineStr">
        <is>
          <t>Формулировать аккуратно: конкретная широта зависит от плёнки, экспозиции, проявки и сканирования.</t>
        </is>
      </c>
      <c r="Y163" t="inlineStr">
        <is>
          <t>Цветная негативная плёнка / экспозиционная гибкость</t>
        </is>
      </c>
      <c r="Z163" t="inlineStr">
        <is>
          <t>Применение / жанр</t>
        </is>
      </c>
    </row>
    <row r="164" ht="17" customHeight="1" s="72">
      <c r="A164" t="inlineStr">
        <is>
          <t>PL-HIST-0163</t>
        </is>
      </c>
      <c r="B164" t="inlineStr">
        <is>
          <t>1990-е – XXI век</t>
        </is>
      </c>
      <c r="C164" t="inlineStr">
        <is>
          <t>диапазон</t>
        </is>
      </c>
      <c r="D164" t="inlineStr">
        <is>
          <t>глобально</t>
        </is>
      </c>
      <c r="E164" t="inlineStr">
        <is>
          <t>профессиональная и любительская фотография</t>
        </is>
      </c>
      <c r="F164" t="inlineStr">
        <is>
          <t>Kodak Professional / фотографы</t>
        </is>
      </c>
      <c r="G164" t="inlineStr">
        <is>
          <t>Современные профессиональные цветные негативные плёнки вроде PORTRA показывают, что цветной негатив остаётся не только любительским, но и профессиональным материалом.</t>
        </is>
      </c>
      <c r="H164" t="inlineStr">
        <is>
          <t>Цвет</t>
        </is>
      </c>
      <c r="I164" t="inlineStr">
        <is>
          <t>KODAK PROFESSIONAL PORTRA / modern color negative film</t>
        </is>
      </c>
      <c r="J164" t="inlineStr">
        <is>
          <t>Цветной негатив закрепляет собственный визуальный язык: мягкие тона кожи, управляемый контраст, сканируемость и большой запас для печати.</t>
        </is>
      </c>
      <c r="K164" t="inlineStr">
        <is>
          <t>Массовая C-41 система и цветная лаборатория</t>
        </is>
      </c>
      <c r="L164" t="inlineStr">
        <is>
          <t>Современный гибридный процесс: плёнка → проявка → скан → печать</t>
        </is>
      </c>
      <c r="M164" t="inlineStr">
        <is>
          <t>Главная линия / визуальный язык</t>
        </is>
      </c>
      <c r="N164" t="n">
        <v>4</v>
      </c>
      <c r="O164" t="inlineStr">
        <is>
          <t>PL-016</t>
        </is>
      </c>
      <c r="P164" t="inlineStr">
        <is>
          <t>SRC-129</t>
        </is>
      </c>
      <c r="Q164" t="inlineStr">
        <is>
          <t>Kodak Professional — PORTRA 400 Film</t>
        </is>
      </c>
      <c r="R164" t="inlineStr">
        <is>
          <t>https://kodakprofessional.com/photographers/film/color/kodak-professional-portra-400-film/516</t>
        </is>
      </c>
      <c r="S164" t="inlineStr">
        <is>
          <t>5</t>
        </is>
      </c>
      <c r="T164" t="inlineStr">
        <is>
          <t>PORTRA можно использовать как современный пример: цветной негатив сегодня жив не как ностальгия, а как осознанный выбор тона и пластики.</t>
        </is>
      </c>
      <c r="U164" t="inlineStr">
        <is>
          <t>Кассеты Portra, контактные отпечатки и портрет с мягким естественным цветом.</t>
        </is>
      </c>
      <c r="V164" t="inlineStr">
        <is>
          <t>#PL016 #Portra #color-negative #portrait #hybrid-workflow</t>
        </is>
      </c>
      <c r="Y164" t="inlineStr">
        <is>
          <t>Цветная негативная плёнка / современный профессиональный материал</t>
        </is>
      </c>
      <c r="Z164" t="inlineStr">
        <is>
          <t>Применение / жанр</t>
        </is>
      </c>
    </row>
    <row r="165" ht="17" customHeight="1" s="72">
      <c r="A165" t="inlineStr">
        <is>
          <t>PL-HIST-0164</t>
        </is>
      </c>
      <c r="B165" t="inlineStr">
        <is>
          <t>XX–XXI век</t>
        </is>
      </c>
      <c r="C165" t="inlineStr">
        <is>
          <t>диапазон</t>
        </is>
      </c>
      <c r="D165" t="inlineStr">
        <is>
          <t>глобально</t>
        </is>
      </c>
      <c r="E165" t="inlineStr">
        <is>
          <t>архивы и лаборатории</t>
        </is>
      </c>
      <c r="F165" t="inlineStr">
        <is>
          <t>Архивисты, музеи и фотолаборатории</t>
        </is>
      </c>
      <c r="G165" t="inlineStr">
        <is>
          <t>Цветные негативы требуют внимательного хранения: цветные красители и плёночная основа стареют, поэтому для важных материалов рекомендуют холодное хранение и архивные оболочки.</t>
        </is>
      </c>
      <c r="H165" t="inlineStr">
        <is>
          <t>Цвет</t>
        </is>
      </c>
      <c r="I165" t="inlineStr">
        <is>
          <t>Color film preservation / dye image stability</t>
        </is>
      </c>
      <c r="J165" t="inlineStr">
        <is>
          <t>Цветная плёнка даёт массовую память XX века, но эта память хрупкая: негатив нужно не только проявить, но и сохранить.</t>
        </is>
      </c>
      <c r="K165" t="inlineStr">
        <is>
          <t>Цветной негатив как семейный и профессиональный архив</t>
        </is>
      </c>
      <c r="L165" t="inlineStr">
        <is>
          <t>Будущие уроки о сканировании, печати и хранении плёнки</t>
        </is>
      </c>
      <c r="M165" t="inlineStr">
        <is>
          <t>Применение / жанр</t>
        </is>
      </c>
      <c r="N165" t="n">
        <v>4</v>
      </c>
      <c r="O165" t="inlineStr">
        <is>
          <t>PL-016</t>
        </is>
      </c>
      <c r="P165" t="inlineStr">
        <is>
          <t>SRC-130</t>
        </is>
      </c>
      <c r="Q165" t="inlineStr">
        <is>
          <t>National Archives — Film-Based Negatives and Positives</t>
        </is>
      </c>
      <c r="R165" t="inlineStr">
        <is>
          <t>https://www.archives.gov/preservation/holdings-maintenance/film-based</t>
        </is>
      </c>
      <c r="S165" t="inlineStr">
        <is>
          <t>5</t>
        </is>
      </c>
      <c r="T165" t="inlineStr">
        <is>
          <t>Финальный мост: цветной негатив — это архив. Если его потерять, потеряется не один отпечаток, а источник для множества будущих интерпретаций.</t>
        </is>
      </c>
      <c r="U165" t="inlineStr">
        <is>
          <t>Архивная коробка с цветными негативами в прозрачных рукавах; рядом сканер и отпечаток.</t>
        </is>
      </c>
      <c r="V165" t="inlineStr">
        <is>
          <t>#PL016 #color-negative #archive #preservation #film-storage</t>
        </is>
      </c>
      <c r="Y165" t="inlineStr">
        <is>
          <t>Цветная негативная плёнка / хранение и архив</t>
        </is>
      </c>
      <c r="Z165" t="inlineStr">
        <is>
          <t>Применение / жанр</t>
        </is>
      </c>
    </row>
    <row r="166" ht="17" customHeight="1" s="72">
      <c r="A166" s="75" t="inlineStr">
        <is>
          <t>PL-HIST-0165</t>
        </is>
      </c>
      <c r="B166" s="75" t="inlineStr">
        <is>
          <t>1907</t>
        </is>
      </c>
      <c r="C166" s="75" t="inlineStr">
        <is>
          <t>год</t>
        </is>
      </c>
      <c r="D166" s="75" t="inlineStr">
        <is>
          <t>Франция</t>
        </is>
      </c>
      <c r="E166" s="75" t="inlineStr">
        <is>
          <t>Лион / Париж</t>
        </is>
      </c>
      <c r="F166" s="75" t="inlineStr">
        <is>
          <t>Огюст и Луи Люмьер</t>
        </is>
      </c>
      <c r="G166" s="75" t="inlineStr">
        <is>
          <t>Autochrome Lumière становится первым практически и коммерчески успешным способом цветной фотографии: изображение получается как прозрачный позитив, который нужно смотреть на просвет.</t>
        </is>
      </c>
      <c r="H166" s="75" t="inlineStr">
        <is>
          <t>Цвет</t>
        </is>
      </c>
      <c r="I166" s="75" t="inlineStr">
        <is>
          <t>Autochrome Lumière / color transparency plate</t>
        </is>
      </c>
      <c r="J166" s="75" t="inlineStr">
        <is>
          <t>Цвет перестаёт быть ручной раскраской и становится фотографическим результатом, но пока остаётся уникальной прозрачностью, а не тиражируемым негативом.</t>
        </is>
      </c>
      <c r="K166" s="75" t="inlineStr">
        <is>
          <t>Позитив и прямые позитивные процессы в PL-014</t>
        </is>
      </c>
      <c r="L166" s="75" t="inlineStr">
        <is>
          <t>Рулонная цветная реверсивная плёнка и Kodachrome</t>
        </is>
      </c>
      <c r="M166" s="75" t="inlineStr">
        <is>
          <t>Исторически важная ограниченная ветка</t>
        </is>
      </c>
      <c r="N166" s="75" t="n">
        <v>5</v>
      </c>
      <c r="O166" s="75" t="inlineStr">
        <is>
          <t>PL-017</t>
        </is>
      </c>
      <c r="P166" s="75" t="inlineStr">
        <is>
          <t>SRC-131</t>
        </is>
      </c>
      <c r="Q166" s="75" t="inlineStr">
        <is>
          <t>National Science and Media Museum — A short history of colour photography</t>
        </is>
      </c>
      <c r="R166" s="75" t="inlineStr">
        <is>
          <t>https://www.scienceandmediamuseum.org.uk/objects-and-stories/history-colour-photography</t>
        </is>
      </c>
      <c r="S166" s="75" t="n">
        <v>5</v>
      </c>
      <c r="T166" s="75" t="inlineStr">
        <is>
          <t>Начать урок можно с парадокса: первый успешный массовый цвет был не негативом, а прозрачным позитивом для просмотра на свет.</t>
        </is>
      </c>
      <c r="U166" s="75" t="inlineStr">
        <is>
          <t>Автохромная стеклянная пластина на световом столе; зёрна крахмала как цветной экран.</t>
        </is>
      </c>
      <c r="V166" s="75" t="inlineStr">
        <is>
          <t>#PL017 #Autochrome #colour #transparency #Lumiere</t>
        </is>
      </c>
      <c r="W166" s="75" t="n"/>
      <c r="X166" s="75" t="inlineStr">
        <is>
          <t>45.7640, 4.8357</t>
        </is>
      </c>
      <c r="Y166" s="75" t="inlineStr">
        <is>
          <t>Слайдовая плёнка / ранний цветной позитив</t>
        </is>
      </c>
      <c r="Z166" s="75" t="inlineStr">
        <is>
          <t>Ключевой исторический узел</t>
        </is>
      </c>
      <c r="AA166" s="75" t="n"/>
    </row>
    <row r="167" ht="17" customHeight="1" s="72">
      <c r="A167" s="75" t="inlineStr">
        <is>
          <t>PL-HIST-0166</t>
        </is>
      </c>
      <c r="B167" s="75" t="inlineStr">
        <is>
          <t>1923</t>
        </is>
      </c>
      <c r="C167" s="75" t="inlineStr">
        <is>
          <t>год</t>
        </is>
      </c>
      <c r="D167" s="75" t="inlineStr">
        <is>
          <t>США</t>
        </is>
      </c>
      <c r="E167" s="75" t="inlineStr">
        <is>
          <t>Рочестер, Нью-Йорк</t>
        </is>
      </c>
      <c r="F167" s="75" t="inlineStr">
        <is>
          <t>Eastman Kodak Company</t>
        </is>
      </c>
      <c r="G167" s="75" t="inlineStr">
        <is>
          <t>Kodak вводит 16-мм reversal film на безопасной ацетатной основе вместе с камерой Cine-Kodak и проектором Kodascope.</t>
        </is>
      </c>
      <c r="H167" s="75" t="inlineStr">
        <is>
          <t>Проекция / распространение</t>
        </is>
      </c>
      <c r="I167" s="75" t="inlineStr">
        <is>
          <t>16mm reversal film / projected positive</t>
        </is>
      </c>
      <c r="J167" s="75" t="inlineStr">
        <is>
          <t>Реверсивный материал закрепляет простую логику показа: снятая плёнка после обработки становится позитивом, который можно проецировать.</t>
        </is>
      </c>
      <c r="K167" s="75" t="inlineStr">
        <is>
          <t>Autochrome как ранняя цветная прозрачность</t>
        </is>
      </c>
      <c r="L167" s="75" t="inlineStr">
        <is>
          <t>Kodachrome как цветная реверсивная плёнка</t>
        </is>
      </c>
      <c r="M167" s="75" t="inlineStr">
        <is>
          <t>Связь / переход</t>
        </is>
      </c>
      <c r="N167" s="75" t="n">
        <v>4</v>
      </c>
      <c r="O167" s="75" t="inlineStr">
        <is>
          <t>PL-017</t>
        </is>
      </c>
      <c r="P167" s="75" t="inlineStr">
        <is>
          <t>SRC-133</t>
        </is>
      </c>
      <c r="Q167" s="75" t="inlineStr">
        <is>
          <t>Kodak — 100 Years of 16mm Film</t>
        </is>
      </c>
      <c r="R167" s="75" t="inlineStr">
        <is>
          <t>https://www.kodak.com/en/motion/page/100-years-of-16mm-film/</t>
        </is>
      </c>
      <c r="S167" s="75" t="n">
        <v>5</v>
      </c>
      <c r="T167" s="75" t="inlineStr">
        <is>
          <t>Это важный мост: слайдовая логика связана не только с фотоальбомом, но и с проектором, показом, лекцией, семейным просмотром.</t>
        </is>
      </c>
      <c r="U167" s="75" t="inlineStr">
        <is>
          <t>Домашний проектор Kodascope, катушка 16 мм и световой конус на экран.</t>
        </is>
      </c>
      <c r="V167" s="75" t="inlineStr">
        <is>
          <t>#PL017 #reversal #16mm #projection #Kodak</t>
        </is>
      </c>
      <c r="W167" s="75" t="n"/>
      <c r="X167" s="75" t="inlineStr">
        <is>
          <t>43.1566, -77.6088</t>
        </is>
      </c>
      <c r="Y167" s="75" t="inlineStr">
        <is>
          <t>Слайдовая плёнка / reversal и проекция</t>
        </is>
      </c>
      <c r="Z167" s="75" t="inlineStr">
        <is>
          <t>Связь / переход</t>
        </is>
      </c>
      <c r="AA167" s="75" t="n"/>
    </row>
    <row r="168" ht="17" customHeight="1" s="72">
      <c r="A168" s="75" t="inlineStr">
        <is>
          <t>PL-HIST-0167</t>
        </is>
      </c>
      <c r="B168" s="75" t="inlineStr">
        <is>
          <t>1935</t>
        </is>
      </c>
      <c r="C168" s="75" t="inlineStr">
        <is>
          <t>год</t>
        </is>
      </c>
      <c r="D168" s="75" t="inlineStr">
        <is>
          <t>США</t>
        </is>
      </c>
      <c r="E168" s="75" t="inlineStr">
        <is>
          <t>Рочестер, Нью-Йорк</t>
        </is>
      </c>
      <c r="F168" s="75" t="inlineStr">
        <is>
          <t>Leopold Mannes, Leopold Godowsky Jr. / Eastman Kodak Company</t>
        </is>
      </c>
      <c r="G168" s="75" t="inlineStr">
        <is>
          <t>Kodak представляет Kodachrome — первый коммерчески успешный любительский цветной фильм, первоначально для 16-мм кино.</t>
        </is>
      </c>
      <c r="H168" s="75" t="inlineStr">
        <is>
          <t>Цвет</t>
        </is>
      </c>
      <c r="I168" s="75" t="inlineStr">
        <is>
          <t>KODACHROME / color reversal film</t>
        </is>
      </c>
      <c r="J168" s="75" t="inlineStr">
        <is>
          <t>Качественная цветная прозрачность становится промышленным продуктом: слайдовая эстетика начинает входить в массовую и профессиональную культуру.</t>
        </is>
      </c>
      <c r="K168" s="75" t="inlineStr">
        <is>
          <t>Autochrome и ранние цветные прозрачности</t>
        </is>
      </c>
      <c r="L168" s="75" t="inlineStr">
        <is>
          <t>Kodachrome 35 мм для фотокамер и слайдов</t>
        </is>
      </c>
      <c r="M168" s="75" t="inlineStr">
        <is>
          <t>Главная линия</t>
        </is>
      </c>
      <c r="N168" s="75" t="n">
        <v>5</v>
      </c>
      <c r="O168" s="75" t="inlineStr">
        <is>
          <t>PL-017</t>
        </is>
      </c>
      <c r="P168" s="75" t="inlineStr">
        <is>
          <t>SRC-134</t>
        </is>
      </c>
      <c r="Q168" s="75" t="inlineStr">
        <is>
          <t>Kodak — History of Film</t>
        </is>
      </c>
      <c r="R168" s="75" t="inlineStr">
        <is>
          <t>https://www.kodak.com/en/motion/page/chronology-of-film/</t>
        </is>
      </c>
      <c r="S168" s="75" t="n">
        <v>5</v>
      </c>
      <c r="T168" s="75" t="inlineStr">
        <is>
          <t>Флагман урока: Kodachrome сделал цветной слайд узнаваемым визуальным языком XX века.</t>
        </is>
      </c>
      <c r="U168" s="75" t="inlineStr">
        <is>
          <t>Коробка Kodachrome, цветная прозрачность в рамке и яркий луч проектора.</t>
        </is>
      </c>
      <c r="V168" s="75" t="inlineStr">
        <is>
          <t>#PL017 #Kodachrome #slide-film #color-reversal #Kodak</t>
        </is>
      </c>
      <c r="W168" s="75" t="n"/>
      <c r="X168" s="75" t="inlineStr">
        <is>
          <t>43.1566, -77.6088</t>
        </is>
      </c>
      <c r="Y168" s="75" t="inlineStr">
        <is>
          <t>Слайдовая плёнка / Kodachrome</t>
        </is>
      </c>
      <c r="Z168" s="75" t="inlineStr">
        <is>
          <t>Ключевой исторический узел</t>
        </is>
      </c>
      <c r="AA168" s="75" t="inlineStr">
        <is>
          <t>да</t>
        </is>
      </c>
    </row>
    <row r="169" ht="17" customHeight="1" s="72">
      <c r="A169" s="75" t="inlineStr">
        <is>
          <t>PL-HIST-0168</t>
        </is>
      </c>
      <c r="B169" s="75" t="inlineStr">
        <is>
          <t>1936</t>
        </is>
      </c>
      <c r="C169" s="75" t="inlineStr">
        <is>
          <t>год</t>
        </is>
      </c>
      <c r="D169" s="75" t="inlineStr">
        <is>
          <t>США / глобально</t>
        </is>
      </c>
      <c r="E169" s="75" t="inlineStr">
        <is>
          <t>Рочестер, Нью-Йорк / фотомагазины</t>
        </is>
      </c>
      <c r="F169" s="75" t="inlineStr">
        <is>
          <t>Eastman Kodak Company</t>
        </is>
      </c>
      <c r="G169" s="75" t="inlineStr">
        <is>
          <t>После 16-мм Kodachrome появляются 35-мм слайды и 8-мм домашнее кино, что переносит цветную реверсивную логику в фотографическую и бытовую практику.</t>
        </is>
      </c>
      <c r="H169" s="75" t="inlineStr">
        <is>
          <t>Цвет</t>
        </is>
      </c>
      <c r="I169" s="75" t="inlineStr">
        <is>
          <t>35mm Kodachrome slides / 8mm home movies</t>
        </is>
      </c>
      <c r="J169" s="75" t="inlineStr">
        <is>
          <t>Цветной позитив становится не только киноформатом, но и форматом маленькой фотографии: кадр можно монтировать в рамку, смотреть через лупу или проецировать.</t>
        </is>
      </c>
      <c r="K169" s="75" t="inlineStr">
        <is>
          <t>Kodachrome 1935</t>
        </is>
      </c>
      <c r="L169" s="75" t="inlineStr">
        <is>
          <t>Профессиональная и любительская культура цветных слайдов</t>
        </is>
      </c>
      <c r="M169" s="75" t="inlineStr">
        <is>
          <t>Главная линия</t>
        </is>
      </c>
      <c r="N169" s="75" t="n">
        <v>5</v>
      </c>
      <c r="O169" s="75" t="inlineStr">
        <is>
          <t>PL-017</t>
        </is>
      </c>
      <c r="P169" s="75" t="inlineStr">
        <is>
          <t>SRC-134</t>
        </is>
      </c>
      <c r="Q169" s="75" t="inlineStr">
        <is>
          <t>Kodak — History of Film</t>
        </is>
      </c>
      <c r="R169" s="75" t="inlineStr">
        <is>
          <t>https://www.kodak.com/en/motion/page/chronology-of-film/</t>
        </is>
      </c>
      <c r="S169" s="75" t="n">
        <v>5</v>
      </c>
      <c r="T169" s="75" t="inlineStr">
        <is>
          <t>Связать с PL-009: 35 мм становится не только чёрно-белым и негативным форматом, но и цветным слайдом.</t>
        </is>
      </c>
      <c r="U169" s="75" t="inlineStr">
        <is>
          <t>35-мм слайд в картонной рамке рядом с кассетой плёнки и лупой.</t>
        </is>
      </c>
      <c r="V169" s="75" t="inlineStr">
        <is>
          <t>#PL017 #35mm #slides #Kodachrome #transparency</t>
        </is>
      </c>
      <c r="W169" s="75" t="n"/>
      <c r="X169" s="75" t="inlineStr">
        <is>
          <t>43.1566, -77.6088</t>
        </is>
      </c>
      <c r="Y169" s="75" t="inlineStr">
        <is>
          <t>Слайдовая плёнка / 35 мм слайды</t>
        </is>
      </c>
      <c r="Z169" s="75" t="inlineStr">
        <is>
          <t>Распространение / коммерциализация</t>
        </is>
      </c>
      <c r="AA169" s="75" t="n"/>
    </row>
    <row r="170" ht="17" customHeight="1" s="72">
      <c r="A170" s="75" t="inlineStr">
        <is>
          <t>PL-HIST-0169</t>
        </is>
      </c>
      <c r="B170" s="75" t="inlineStr">
        <is>
          <t>1930-е – XX век</t>
        </is>
      </c>
      <c r="C170" s="75" t="inlineStr">
        <is>
          <t>диапазон</t>
        </is>
      </c>
      <c r="D170" s="75" t="inlineStr">
        <is>
          <t>глобально</t>
        </is>
      </c>
      <c r="E170" s="75" t="inlineStr">
        <is>
          <t>распределённый процесс</t>
        </is>
      </c>
      <c r="F170" s="75" t="inlineStr">
        <is>
          <t>Фотографы, редакции, лекторы, семьи</t>
        </is>
      </c>
      <c r="G170" s="75" t="inlineStr">
        <is>
          <t>Цветной слайд закрепляется как позитивная прозрачность: итоговое изображение находится прямо на плёнке и читается при проходящем свете.</t>
        </is>
      </c>
      <c r="H170" s="75" t="inlineStr">
        <is>
          <t>Проекция / распространение</t>
        </is>
      </c>
      <c r="I170" s="75" t="inlineStr">
        <is>
          <t>Mounted slide / transparency viewing</t>
        </is>
      </c>
      <c r="J170" s="75" t="inlineStr">
        <is>
          <t>В отличие от цветного негатива, слайд уже выглядит как готовая картинка: его можно положить на световой стол, рассмотреть в лупу или показать проектором.</t>
        </is>
      </c>
      <c r="K170" s="75" t="inlineStr">
        <is>
          <t>35-мм Kodachrome и культура проекции</t>
        </is>
      </c>
      <c r="L170" s="75" t="inlineStr">
        <is>
          <t>Реверсивный химический процесс</t>
        </is>
      </c>
      <c r="M170" s="75" t="inlineStr">
        <is>
          <t>Главная линия / практическое управление</t>
        </is>
      </c>
      <c r="N170" s="75" t="n">
        <v>4</v>
      </c>
      <c r="O170" s="75" t="inlineStr">
        <is>
          <t>PL-017</t>
        </is>
      </c>
      <c r="P170" s="75" t="inlineStr">
        <is>
          <t>SRC-139</t>
        </is>
      </c>
      <c r="Q170" s="75" t="inlineStr">
        <is>
          <t>National Archives — Photographs</t>
        </is>
      </c>
      <c r="R170" s="75" t="inlineStr">
        <is>
          <t>https://www.archives.gov/preservation/holdings-maintenance/photographs</t>
        </is>
      </c>
      <c r="S170" s="75" t="n">
        <v>4</v>
      </c>
      <c r="T170" s="75" t="inlineStr">
        <is>
          <t>Это центральное отличие для новичка: негатив нужно инвертировать/печатать, а слайд сам является позитивом.</t>
        </is>
      </c>
      <c r="U170" s="75" t="inlineStr">
        <is>
          <t>Световой стол с mounted slides, лупой и проектором на заднем плане.</t>
        </is>
      </c>
      <c r="V170" s="75" t="inlineStr">
        <is>
          <t>#PL017 #slide #transparency #projection #positive</t>
        </is>
      </c>
      <c r="W170" s="75" t="inlineStr">
        <is>
          <t>Найти отдельный музейный источник по культуре слайд-проекций и редакционной работе со слайдами.</t>
        </is>
      </c>
      <c r="X170" s="75" t="n"/>
      <c r="Y170" s="75" t="inlineStr">
        <is>
          <t>Слайдовая плёнка / просмотр на просвет</t>
        </is>
      </c>
      <c r="Z170" s="75" t="inlineStr">
        <is>
          <t>Применение / жанр</t>
        </is>
      </c>
      <c r="AA170" s="75" t="n"/>
    </row>
    <row r="171" ht="17" customHeight="1" s="72">
      <c r="A171" s="75" t="inlineStr">
        <is>
          <t>PL-HIST-0170</t>
        </is>
      </c>
      <c r="B171" s="75" t="inlineStr">
        <is>
          <t>XX век</t>
        </is>
      </c>
      <c r="C171" s="75" t="inlineStr">
        <is>
          <t>диапазон</t>
        </is>
      </c>
      <c r="D171" s="75" t="inlineStr">
        <is>
          <t>глобально</t>
        </is>
      </c>
      <c r="E171" s="75" t="inlineStr">
        <is>
          <t>распределённый процесс</t>
        </is>
      </c>
      <c r="F171" s="75" t="inlineStr">
        <is>
          <t>Производители реверсивных материалов и лаборатории</t>
        </is>
      </c>
      <c r="G171" s="75" t="inlineStr">
        <is>
          <t>Реверсивный материал при съёмке в камере после обработки даёт позитив, а не негатив: это и есть базовый принцип slide / transparency film.</t>
        </is>
      </c>
      <c r="H171" s="75" t="inlineStr">
        <is>
          <t>Фотохимия</t>
        </is>
      </c>
      <c r="I171" s="75" t="inlineStr">
        <is>
          <t>Reversal stock / direct positive development</t>
        </is>
      </c>
      <c r="J171" s="75" t="inlineStr">
        <is>
          <t>Маршрут изображения меняется: вместо «негатив → позитив» появляется «экспозиция → реверсивная обработка → готовый позитив на плёнке».</t>
        </is>
      </c>
      <c r="K171" s="75" t="inlineStr">
        <is>
          <t>Негативно-позитивная система PL-013 / PL-016</t>
        </is>
      </c>
      <c r="L171" s="75" t="inlineStr">
        <is>
          <t>Ektachrome и стандартизированный E-6 процесс</t>
        </is>
      </c>
      <c r="M171" s="75" t="inlineStr">
        <is>
          <t>Главная линия</t>
        </is>
      </c>
      <c r="N171" s="75" t="n">
        <v>5</v>
      </c>
      <c r="O171" s="75" t="inlineStr">
        <is>
          <t>PL-017</t>
        </is>
      </c>
      <c r="P171" s="75" t="inlineStr">
        <is>
          <t>SRC-137</t>
        </is>
      </c>
      <c r="Q171" s="75" t="inlineStr">
        <is>
          <t>National Archives — Archival Formats: Glossary of Terms</t>
        </is>
      </c>
      <c r="R171" s="75" t="inlineStr">
        <is>
          <t>https://www.archives.gov/preservation/formats/glossary.html</t>
        </is>
      </c>
      <c r="S171" s="75" t="n">
        <v>5</v>
      </c>
      <c r="T171" s="75" t="inlineStr">
        <is>
          <t>Объяснять через схему: цветной негатив — матрица для будущего изображения, слайд — само изображение.</t>
        </is>
      </c>
      <c r="U171" s="75" t="inlineStr">
        <is>
          <t>Две дорожки процесса: слева негатив превращается в отпечаток, справа слайд сразу становится позитивом.</t>
        </is>
      </c>
      <c r="V171" s="75" t="inlineStr">
        <is>
          <t>#PL017 #reversal #positive #transparency #process</t>
        </is>
      </c>
      <c r="W171" s="75" t="n"/>
      <c r="X171" s="75" t="n"/>
      <c r="Y171" s="75" t="inlineStr">
        <is>
          <t>Слайдовая плёнка / reversal-процесс</t>
        </is>
      </c>
      <c r="Z171" s="75" t="inlineStr">
        <is>
          <t>Технология / процесс</t>
        </is>
      </c>
      <c r="AA171" s="75" t="n"/>
    </row>
    <row r="172" ht="17" customHeight="1" s="72">
      <c r="A172" s="75" t="inlineStr">
        <is>
          <t>PL-HIST-0171</t>
        </is>
      </c>
      <c r="B172" s="75" t="inlineStr">
        <is>
          <t>1946</t>
        </is>
      </c>
      <c r="C172" s="75" t="inlineStr">
        <is>
          <t>год</t>
        </is>
      </c>
      <c r="D172" s="75" t="inlineStr">
        <is>
          <t>США</t>
        </is>
      </c>
      <c r="E172" s="75" t="inlineStr">
        <is>
          <t>Рочестер, Нью-Йорк</t>
        </is>
      </c>
      <c r="F172" s="75" t="inlineStr">
        <is>
          <t>Eastman Kodak Company</t>
        </is>
      </c>
      <c r="G172" s="75" t="inlineStr">
        <is>
          <t>Kodak выпускает KODAK EKTACHROME Transparency Sheet Film — цветную прозрачную плёнку, которую фотографы могли обрабатывать сами с помощью химических наборов.</t>
        </is>
      </c>
      <c r="H172" s="75" t="inlineStr">
        <is>
          <t>Цвет</t>
        </is>
      </c>
      <c r="I172" s="75" t="inlineStr">
        <is>
          <t>KODAK EKTACHROME Transparency Sheet Film</t>
        </is>
      </c>
      <c r="J172" s="75" t="inlineStr">
        <is>
          <t>Цветной слайд становится более доступным для контролируемой обработки: Ektachrome отделяется от сложной сервисной модели Kodachrome.</t>
        </is>
      </c>
      <c r="K172" s="75" t="inlineStr">
        <is>
          <t>Kodachrome как промышленный цветной слайд</t>
        </is>
      </c>
      <c r="L172" s="75" t="inlineStr">
        <is>
          <t>Стандартизация Ektachrome и E-6</t>
        </is>
      </c>
      <c r="M172" s="75" t="inlineStr">
        <is>
          <t>Главная линия</t>
        </is>
      </c>
      <c r="N172" s="75" t="n">
        <v>5</v>
      </c>
      <c r="O172" s="75" t="inlineStr">
        <is>
          <t>PL-017</t>
        </is>
      </c>
      <c r="P172" s="75" t="inlineStr">
        <is>
          <t>SRC-135</t>
        </is>
      </c>
      <c r="Q172" s="75" t="inlineStr">
        <is>
          <t>Kodak — Milestones</t>
        </is>
      </c>
      <c r="R172" s="75" t="inlineStr">
        <is>
          <t>https://www.kodak.com/en/company/page/milestones/</t>
        </is>
      </c>
      <c r="S172" s="75" t="n">
        <v>5</v>
      </c>
      <c r="T172" s="75" t="inlineStr">
        <is>
          <t>Важно: Ektachrome — это шаг к большей самостоятельности фотографа и лаборатории.</t>
        </is>
      </c>
      <c r="U172" s="75" t="inlineStr">
        <is>
          <t>Листовая Ektachrome, химический набор и проявочный бачок на лабораторном столе.</t>
        </is>
      </c>
      <c r="V172" s="75" t="inlineStr">
        <is>
          <t>#PL017 #Ektachrome #transparency #Kodak #processing</t>
        </is>
      </c>
      <c r="W172" s="75" t="n"/>
      <c r="X172" s="75" t="inlineStr">
        <is>
          <t>43.1566, -77.6088</t>
        </is>
      </c>
      <c r="Y172" s="75" t="inlineStr">
        <is>
          <t>Слайдовая плёнка / Ektachrome</t>
        </is>
      </c>
      <c r="Z172" s="75" t="inlineStr">
        <is>
          <t>Распространение / коммерциализация</t>
        </is>
      </c>
      <c r="AA172" s="75" t="n"/>
    </row>
    <row r="173" ht="17" customHeight="1" s="72">
      <c r="A173" s="75" t="inlineStr">
        <is>
          <t>PL-HIST-0172</t>
        </is>
      </c>
      <c r="B173" s="75" t="inlineStr">
        <is>
          <t>1970-е – XXI век</t>
        </is>
      </c>
      <c r="C173" s="75" t="inlineStr">
        <is>
          <t>диапазон</t>
        </is>
      </c>
      <c r="D173" s="75" t="inlineStr">
        <is>
          <t>глобально</t>
        </is>
      </c>
      <c r="E173" s="75" t="inlineStr">
        <is>
          <t>фотолаборатории</t>
        </is>
      </c>
      <c r="F173" s="75" t="inlineStr">
        <is>
          <t>Kodak / фотолаборатории</t>
        </is>
      </c>
      <c r="G173" s="75" t="inlineStr">
        <is>
          <t>Process E-6 закрепляется как стандартная логика обработки современных цветных реверсивных плёнок семейства Ektachrome и совместимых материалов.</t>
        </is>
      </c>
      <c r="H173" s="75" t="inlineStr">
        <is>
          <t>Фотохимия</t>
        </is>
      </c>
      <c r="I173" s="75" t="inlineStr">
        <is>
          <t>E-6 color reversal process</t>
        </is>
      </c>
      <c r="J173" s="75" t="inlineStr">
        <is>
          <t>Слайдовая плёнка получает понятную лабораторную метку: если материал рассчитан на E-6, значит это цветной reversal / slide-процесс.</t>
        </is>
      </c>
      <c r="K173" s="75" t="inlineStr">
        <is>
          <t>Ektachrome как более доступная реверсивная система</t>
        </is>
      </c>
      <c r="L173" s="75" t="inlineStr">
        <is>
          <t>Современные слайдовые материалы и гибридное сканирование</t>
        </is>
      </c>
      <c r="M173" s="75" t="inlineStr">
        <is>
          <t>Главная линия</t>
        </is>
      </c>
      <c r="N173" s="75" t="n">
        <v>5</v>
      </c>
      <c r="O173" s="75" t="inlineStr">
        <is>
          <t>PL-017</t>
        </is>
      </c>
      <c r="P173" s="75" t="inlineStr">
        <is>
          <t>SRC-138</t>
        </is>
      </c>
      <c r="Q173" s="75" t="inlineStr">
        <is>
          <t>Kodak — EKTACHROME Color Reversal Control Strips Process E-6</t>
        </is>
      </c>
      <c r="R173" s="75" t="inlineStr">
        <is>
          <t>https://www.kodak.com/en/motion/page/ektachrome-color-reversal-control-strips/</t>
        </is>
      </c>
      <c r="S173" s="75" t="n">
        <v>5</v>
      </c>
      <c r="T173" s="75" t="inlineStr">
        <is>
          <t>Практическая формула для ученика: C-41 — цветной негатив; E-6 — цветной слайд / reversal.</t>
        </is>
      </c>
      <c r="U173" s="75" t="inlineStr">
        <is>
          <t>Две коробки химии: C-41 и E-6; рядом две полоски плёнки — оранжевый негатив и прозрачный слайд.</t>
        </is>
      </c>
      <c r="V173" s="75" t="inlineStr">
        <is>
          <t>#PL017 #E6 #color-reversal #processing #Ektachrome</t>
        </is>
      </c>
      <c r="W173" s="75" t="inlineStr">
        <is>
          <t>Точную историческую дату введения E-6 при необходимости уточнить отдельно; для урока важнее современная маркировка процесса.</t>
        </is>
      </c>
      <c r="X173" s="75" t="n"/>
      <c r="Y173" s="75" t="inlineStr">
        <is>
          <t>Слайдовая плёнка / E-6</t>
        </is>
      </c>
      <c r="Z173" s="75" t="inlineStr">
        <is>
          <t>Технология / процесс</t>
        </is>
      </c>
      <c r="AA173" s="75" t="n"/>
    </row>
    <row r="174" ht="17" customHeight="1" s="72">
      <c r="A174" s="75" t="inlineStr">
        <is>
          <t>PL-HIST-0173</t>
        </is>
      </c>
      <c r="B174" s="75" t="inlineStr">
        <is>
          <t>XX–XXI век</t>
        </is>
      </c>
      <c r="C174" s="75" t="inlineStr">
        <is>
          <t>диапазон</t>
        </is>
      </c>
      <c r="D174" s="75" t="inlineStr">
        <is>
          <t>глобально</t>
        </is>
      </c>
      <c r="E174" s="75" t="inlineStr">
        <is>
          <t>практика фотографов</t>
        </is>
      </c>
      <c r="F174" s="75" t="inlineStr">
        <is>
          <t>Фотографы, лаборатории, производители плёнки</t>
        </is>
      </c>
      <c r="G174" s="75" t="inlineStr">
        <is>
          <t>Слайдовая плёнка требует более точной экспозиции, потому что итоговый позитив находится прямо на плёнке и даёт меньше места для исправления, чем негатив.</t>
        </is>
      </c>
      <c r="H174" s="75" t="inlineStr">
        <is>
          <t>Цвет</t>
        </is>
      </c>
      <c r="I174" s="75" t="inlineStr">
        <is>
          <t>Slide film exposure precision / narrow exposure range</t>
        </is>
      </c>
      <c r="J174" s="75" t="inlineStr">
        <is>
          <t>Фотограф учится измерять свет внимательнее: ошибка экспозиции видна сразу на самом слайде, а не компенсируется при печати с негатива.</t>
        </is>
      </c>
      <c r="K174" s="75" t="inlineStr">
        <is>
          <t>Цветной негатив с большой практической гибкостью PL-016</t>
        </is>
      </c>
      <c r="L174" s="75" t="inlineStr">
        <is>
          <t>Экспозиционная широта PL-020</t>
        </is>
      </c>
      <c r="M174" s="75" t="inlineStr">
        <is>
          <t>Главная линия / практическое управление</t>
        </is>
      </c>
      <c r="N174" s="75" t="n">
        <v>5</v>
      </c>
      <c r="O174" s="75" t="inlineStr">
        <is>
          <t>PL-017</t>
        </is>
      </c>
      <c r="P174" s="75" t="inlineStr">
        <is>
          <t>SRC-141</t>
        </is>
      </c>
      <c r="Q174" s="75" t="inlineStr">
        <is>
          <t>Kodak Moments — Ektachrome 120 FAQs</t>
        </is>
      </c>
      <c r="R174" s="75" t="inlineStr">
        <is>
          <t>https://business.kodakmoments.com/sites/default/files/files/products/Ektachrome_120_FAQs_English.pdf</t>
        </is>
      </c>
      <c r="S174" s="75" t="n">
        <v>4</v>
      </c>
      <c r="T174" s="75" t="inlineStr">
        <is>
          <t>Это мост к PL-020: слайдовая плёнка идеально объясняет, что такое экспозиционная широта и почему у разных материалов она разная.</t>
        </is>
      </c>
      <c r="U174" s="75" t="inlineStr">
        <is>
          <t>Одна сцена снята на негатив и слайд: у слайда выбитые света и плотные тени показывают меньший запас.</t>
        </is>
      </c>
      <c r="V174" s="75" t="inlineStr">
        <is>
          <t>#PL017 #exposure #latitude #slide-film #Ektachrome</t>
        </is>
      </c>
      <c r="W174" s="75" t="inlineStr">
        <is>
          <t>Формулировать без абсолютов: точная широта зависит от конкретной плёнки и обработки.</t>
        </is>
      </c>
      <c r="X174" s="75" t="n"/>
      <c r="Y174" s="75" t="inlineStr">
        <is>
          <t>Слайдовая плёнка / точность экспозиции</t>
        </is>
      </c>
      <c r="Z174" s="75" t="inlineStr">
        <is>
          <t>Применение / жанр</t>
        </is>
      </c>
      <c r="AA174" s="75" t="n"/>
    </row>
    <row r="175" ht="17" customHeight="1" s="72">
      <c r="A175" s="75" t="inlineStr">
        <is>
          <t>PL-HIST-0174</t>
        </is>
      </c>
      <c r="B175" s="75" t="inlineStr">
        <is>
          <t>XXI век</t>
        </is>
      </c>
      <c r="C175" s="75" t="inlineStr">
        <is>
          <t>диапазон</t>
        </is>
      </c>
      <c r="D175" s="75" t="inlineStr">
        <is>
          <t>США / глобально</t>
        </is>
      </c>
      <c r="E175" s="75" t="inlineStr">
        <is>
          <t>Рочестер / современные рынки плёнки</t>
        </is>
      </c>
      <c r="F175" s="75" t="inlineStr">
        <is>
          <t>Kodak / Kodak licensees / современные фотографы</t>
        </is>
      </c>
      <c r="G175" s="75" t="inlineStr">
        <is>
          <t>KODAK EKTACHROME E100 остаётся современным примером слайдовой плёнки: daylight-balanced color reversal film ISO 100, рассчитанная на процесс E-6.</t>
        </is>
      </c>
      <c r="H175" s="75" t="inlineStr">
        <is>
          <t>Цвет</t>
        </is>
      </c>
      <c r="I175" s="75" t="inlineStr">
        <is>
          <t>KODAK EKTACHROME E100 / modern slide film</t>
        </is>
      </c>
      <c r="J175" s="75" t="inlineStr">
        <is>
          <t>Слайдовая плёнка не только исторический материал: она остаётся живым выбором для тех, кому нужен готовый позитив, чистый цвет и характерная визуальная дисциплина.</t>
        </is>
      </c>
      <c r="K175" s="75" t="inlineStr">
        <is>
          <t>E-6 как современный стандарт обработки</t>
        </is>
      </c>
      <c r="L175" s="75" t="inlineStr">
        <is>
          <t>Гибридный путь: слайд → световой стол / скан → печать</t>
        </is>
      </c>
      <c r="M175" s="75" t="inlineStr">
        <is>
          <t>Главная линия / визуальный язык</t>
        </is>
      </c>
      <c r="N175" s="75" t="n">
        <v>4</v>
      </c>
      <c r="O175" s="75" t="inlineStr">
        <is>
          <t>PL-017</t>
        </is>
      </c>
      <c r="P175" s="75" t="inlineStr">
        <is>
          <t>SRC-140</t>
        </is>
      </c>
      <c r="Q175" s="75" t="inlineStr">
        <is>
          <t>Kodak — EKTACHROME E100 Film</t>
        </is>
      </c>
      <c r="R175" s="75" t="inlineStr">
        <is>
          <t>https://www.kodak.com/en/still-film/product/professional/ektachrome-e100-film/</t>
        </is>
      </c>
      <c r="S175" s="75" t="n">
        <v>5</v>
      </c>
      <c r="T175" s="75" t="inlineStr">
        <is>
          <t>Можно показать современную связь: Ektachrome сегодня — это не массовый семейный материал, а осознанный визуальный выбор.</t>
        </is>
      </c>
      <c r="U175" s="75" t="inlineStr">
        <is>
          <t>Современная коробка Ektachrome E100, mounted slide и сканер/световой стол.</t>
        </is>
      </c>
      <c r="V175" s="75" t="inlineStr">
        <is>
          <t>#PL017 #EktachromeE100 #E6 #slide-film #modern-film</t>
        </is>
      </c>
      <c r="W175" s="75" t="n"/>
      <c r="X175" s="75" t="inlineStr">
        <is>
          <t>43.1566, -77.6088</t>
        </is>
      </c>
      <c r="Y175" s="75" t="inlineStr">
        <is>
          <t>Слайдовая плёнка / современный материал</t>
        </is>
      </c>
      <c r="Z175" s="75" t="inlineStr">
        <is>
          <t>Применение / жанр</t>
        </is>
      </c>
      <c r="AA175" s="75" t="n"/>
    </row>
    <row r="176" ht="17" customHeight="1" s="72">
      <c r="A176" s="75" t="inlineStr">
        <is>
          <t>PL-HIST-0175</t>
        </is>
      </c>
      <c r="B176" s="75" t="inlineStr">
        <is>
          <t>XX–XXI век</t>
        </is>
      </c>
      <c r="C176" s="75" t="inlineStr">
        <is>
          <t>диапазон</t>
        </is>
      </c>
      <c r="D176" s="75" t="inlineStr">
        <is>
          <t>глобально</t>
        </is>
      </c>
      <c r="E176" s="75" t="inlineStr">
        <is>
          <t>архивы, музеи, частные коллекции</t>
        </is>
      </c>
      <c r="F176" s="75" t="inlineStr">
        <is>
          <t>Архивисты, музеи, фотографы</t>
        </is>
      </c>
      <c r="G176" s="75" t="inlineStr">
        <is>
          <t>Слайды и прозрачности требуют аккуратного хранения: материалы должны быть архивного качества, а оригиналы лучше защищать от света, тепла и неподходящих оболочек.</t>
        </is>
      </c>
      <c r="H176" s="75" t="inlineStr">
        <is>
          <t>Проекция / распространение</t>
        </is>
      </c>
      <c r="I176" s="75" t="inlineStr">
        <is>
          <t>Transparency preservation / slide archive</t>
        </is>
      </c>
      <c r="J176" s="75" t="inlineStr">
        <is>
          <t>Слайд — это не промежуточная рабочая матрица, а сам оригинальный позитив. Потеря или выцветание слайда означает потерю финального изображения.</t>
        </is>
      </c>
      <c r="K176" s="75" t="inlineStr">
        <is>
          <t>Современная слайдовая плёнка и световой стол</t>
        </is>
      </c>
      <c r="L176" s="75" t="inlineStr">
        <is>
          <t>Будущие уроки о сканировании, хранении и отпечатке</t>
        </is>
      </c>
      <c r="M176" s="75" t="inlineStr">
        <is>
          <t>Применение / жанр</t>
        </is>
      </c>
      <c r="N176" s="75" t="n">
        <v>4</v>
      </c>
      <c r="O176" s="75" t="inlineStr">
        <is>
          <t>PL-017</t>
        </is>
      </c>
      <c r="P176" s="75" t="inlineStr">
        <is>
          <t>SRC-142</t>
        </is>
      </c>
      <c r="Q176" s="75" t="inlineStr">
        <is>
          <t>National Archives — What is the Best Way to Store Negatives and Transparencies?</t>
        </is>
      </c>
      <c r="R176" s="75" t="inlineStr">
        <is>
          <t>https://www.archives.gov/preservation/storage/negatives-transparencies.html</t>
        </is>
      </c>
      <c r="S176" s="75" t="n">
        <v>5</v>
      </c>
      <c r="T176" s="75" t="inlineStr">
        <is>
          <t>Финальный вывод: слайдовая плёнка красива, но требует дисциплины не только при съёмке, но и при хранении.</t>
        </is>
      </c>
      <c r="U176" s="75" t="inlineStr">
        <is>
          <t>Архивная коробка с рамками слайдов, перчатки, световой стол и холодное хранилище.</t>
        </is>
      </c>
      <c r="V176" s="75" t="inlineStr">
        <is>
          <t>#PL017 #slides #transparencies #archive #preservation</t>
        </is>
      </c>
      <c r="W176" s="75" t="n"/>
      <c r="X176" s="75" t="n"/>
      <c r="Y176" s="75" t="inlineStr">
        <is>
          <t>Слайдовая плёнка / хранение и архив</t>
        </is>
      </c>
      <c r="Z176" s="75" t="inlineStr">
        <is>
          <t>Применение / жанр</t>
        </is>
      </c>
      <c r="AA176" s="75" t="n"/>
    </row>
    <row r="177" ht="17" customHeight="1" s="72">
      <c r="A177" t="inlineStr">
        <is>
          <t>PL-HIST-0176</t>
        </is>
      </c>
      <c r="B177" t="inlineStr">
        <is>
          <t>XX–XXI век</t>
        </is>
      </c>
      <c r="C177" t="inlineStr">
        <is>
          <t>диапазон</t>
        </is>
      </c>
      <c r="D177" t="inlineStr">
        <is>
          <t>глобально</t>
        </is>
      </c>
      <c r="E177" t="inlineStr">
        <is>
          <t>распределённая практика</t>
        </is>
      </c>
      <c r="F177" t="inlineStr">
        <is>
          <t>Фотографы, производители плёнки, лаборатории</t>
        </is>
      </c>
      <c r="G177" t="inlineStr">
        <is>
          <t>ISO плёнки закрепляется как практический язык светочувствительности: число на коробке говорит, сколько света примерно нужно материалу.</t>
        </is>
      </c>
      <c r="H177" t="inlineStr">
        <is>
          <t>Фотохимия</t>
        </is>
      </c>
      <c r="I177" t="inlineStr">
        <is>
          <t>Film speed / ISO</t>
        </is>
      </c>
      <c r="J177" t="inlineStr">
        <is>
          <t>Новичок получает простой ориентир: низкий ISO требует больше света, высокий ISO помогает в темноте, но меняет характер изображения.</t>
        </is>
      </c>
      <c r="K177" t="inlineStr">
        <is>
          <t>Светочувствительный материал PL-011 и эмульсия PL-012</t>
        </is>
      </c>
      <c r="L177" t="inlineStr">
        <is>
          <t>ISO как основа экспозиции и выбора плёнки под свет</t>
        </is>
      </c>
      <c r="M177" t="inlineStr">
        <is>
          <t>Главная линия / практическое управление</t>
        </is>
      </c>
      <c r="N177" t="n">
        <v>5</v>
      </c>
      <c r="O177" t="inlineStr">
        <is>
          <t>PL-018</t>
        </is>
      </c>
      <c r="P177" t="inlineStr">
        <is>
          <t>SRC-146</t>
        </is>
      </c>
      <c r="Q177" t="inlineStr">
        <is>
          <t>ILFORD — Choosing your first ILFORD film</t>
        </is>
      </c>
      <c r="R177" t="inlineStr">
        <is>
          <t>https://www.ilfordphoto.com/choosing-your-first-ilford-film/</t>
        </is>
      </c>
      <c r="S177" t="n">
        <v>5</v>
      </c>
      <c r="T177" t="inlineStr">
        <is>
          <t>Флагман урока: ISO — это не «яркость фотографии», а чувствительность материала к свету.</t>
        </is>
      </c>
      <c r="U177" t="inlineStr">
        <is>
          <t>Коробки плёнки ISO 50, 100, 400 и 3200 на столе; рядом экспонометр и луч света.</t>
        </is>
      </c>
      <c r="V177" t="inlineStr">
        <is>
          <t>#PL018 #ISO #film-speed #exposure #film</t>
        </is>
      </c>
      <c r="Y177" t="inlineStr">
        <is>
          <t>ISO плёнки / светочувствительность</t>
        </is>
      </c>
      <c r="Z177" t="inlineStr">
        <is>
          <t>Ключевой исторический узел</t>
        </is>
      </c>
      <c r="AA177" t="inlineStr">
        <is>
          <t>да</t>
        </is>
      </c>
    </row>
    <row r="178" ht="17" customHeight="1" s="72">
      <c r="A178" t="inlineStr">
        <is>
          <t>PL-HIST-0177</t>
        </is>
      </c>
      <c r="B178" t="inlineStr">
        <is>
          <t>1980-е</t>
        </is>
      </c>
      <c r="C178" t="inlineStr">
        <is>
          <t>примерно</t>
        </is>
      </c>
      <c r="D178" t="inlineStr">
        <is>
          <t>международно</t>
        </is>
      </c>
      <c r="E178" t="inlineStr">
        <is>
          <t>Женева / международные стандарты</t>
        </is>
      </c>
      <c r="F178" t="inlineStr">
        <is>
          <t>International Organization for Standardization / ASA / DIN</t>
        </is>
      </c>
      <c r="G178" t="inlineStr">
        <is>
          <t>Старые системы ASA и DIN постепенно переходят в международную систему ISO, но линейная ASA-логика продолжает жить внутри ISO-числа.</t>
        </is>
      </c>
      <c r="H178" t="inlineStr">
        <is>
          <t>Фотохимия</t>
        </is>
      </c>
      <c r="I178" t="inlineStr">
        <is>
          <t>ASA / DIN → ISO film speed</t>
        </is>
      </c>
      <c r="J178" t="inlineStr">
        <is>
          <t>Фотографы из разных стран получают единый язык: ISO 100/21° означает одну и ту же практическую идею чувствительности.</t>
        </is>
      </c>
      <c r="K178" t="inlineStr">
        <is>
          <t>Разрозненные национальные шкалы светочувствительности</t>
        </is>
      </c>
      <c r="L178" t="inlineStr">
        <is>
          <t>Современная маркировка ISO на коробке плёнки и в камере</t>
        </is>
      </c>
      <c r="M178" t="inlineStr">
        <is>
          <t>Связь / переход</t>
        </is>
      </c>
      <c r="N178" t="n">
        <v>5</v>
      </c>
      <c r="O178" t="inlineStr">
        <is>
          <t>PL-018</t>
        </is>
      </c>
      <c r="P178" t="inlineStr">
        <is>
          <t>SRC-143</t>
        </is>
      </c>
      <c r="Q178" t="inlineStr">
        <is>
          <t>ISO — ISO 6:1993 Camera film speed</t>
        </is>
      </c>
      <c r="R178" t="inlineStr">
        <is>
          <t>https://www.iso.org/iso-6-camera-film-speed.html</t>
        </is>
      </c>
      <c r="S178" t="n">
        <v>5</v>
      </c>
      <c r="T178" t="inlineStr">
        <is>
          <t>Важно не перегружать историей стандартов: ученику достаточно понять, что ISO — это общий язык света.</t>
        </is>
      </c>
      <c r="U178" t="inlineStr">
        <is>
          <t>Шкалы ASA, DIN и ISO, сходящиеся в одну золотую линию на фоне коробки плёнки.</t>
        </is>
      </c>
      <c r="V178" t="inlineStr">
        <is>
          <t>#PL018 #ASA #DIN #ISO #standard</t>
        </is>
      </c>
      <c r="W178" t="inlineStr">
        <is>
          <t>При необходимости уточнить точные годы перехода ASA/DIN в ISO в национальных стандартах.</t>
        </is>
      </c>
      <c r="X178" t="inlineStr">
        <is>
          <t>46.2044, 6.1432</t>
        </is>
      </c>
      <c r="Y178" t="inlineStr">
        <is>
          <t>ISO плёнки / ASA-DIN-ISO</t>
        </is>
      </c>
      <c r="Z178" t="inlineStr">
        <is>
          <t>Терминология / язык</t>
        </is>
      </c>
    </row>
    <row r="179" ht="17" customHeight="1" s="72">
      <c r="A179" t="inlineStr">
        <is>
          <t>PL-HIST-0178</t>
        </is>
      </c>
      <c r="B179" t="inlineStr">
        <is>
          <t>1993</t>
        </is>
      </c>
      <c r="C179" t="inlineStr">
        <is>
          <t>год</t>
        </is>
      </c>
      <c r="D179" t="inlineStr">
        <is>
          <t>международно</t>
        </is>
      </c>
      <c r="E179" t="inlineStr">
        <is>
          <t>Женева</t>
        </is>
      </c>
      <c r="F179" t="inlineStr">
        <is>
          <t>International Organization for Standardization</t>
        </is>
      </c>
      <c r="G179" t="inlineStr">
        <is>
          <t>ISO 6 фиксирует метод определения ISO-светочувствительности для чёрно-белых негативных фотоплёнок и систем обработки.</t>
        </is>
      </c>
      <c r="H179" t="inlineStr">
        <is>
          <t>Фотохимия</t>
        </is>
      </c>
      <c r="I179" t="inlineStr">
        <is>
          <t>ISO 6 / black-and-white negative film speed</t>
        </is>
      </c>
      <c r="J179" t="inlineStr">
        <is>
          <t>Чёрно-белая плёнка получает стандартизированную точку отсчёта: чувствительность связана не только с эмульсией, но и с процессом проявки.</t>
        </is>
      </c>
      <c r="K179" t="inlineStr">
        <is>
          <t>Чёрно-белая плёнка PL-015</t>
        </is>
      </c>
      <c r="L179" t="inlineStr">
        <is>
          <t>ISO 5800 для цветного негатива</t>
        </is>
      </c>
      <c r="M179" t="inlineStr">
        <is>
          <t>Главная линия</t>
        </is>
      </c>
      <c r="N179" t="n">
        <v>4</v>
      </c>
      <c r="O179" t="inlineStr">
        <is>
          <t>PL-018</t>
        </is>
      </c>
      <c r="P179" t="inlineStr">
        <is>
          <t>SRC-143</t>
        </is>
      </c>
      <c r="Q179" t="inlineStr">
        <is>
          <t>ISO — ISO 6:1993 Camera film speed</t>
        </is>
      </c>
      <c r="R179" t="inlineStr">
        <is>
          <t>https://www.iso.org/iso-6-camera-film-speed.html</t>
        </is>
      </c>
      <c r="S179" t="n">
        <v>5</v>
      </c>
      <c r="T179" t="inlineStr">
        <is>
          <t>Сделать акцент: для ч/б плёнки ISO связан с рекомендованной обработкой, поэтому проявка может менять практический EI.</t>
        </is>
      </c>
      <c r="U179" t="inlineStr">
        <is>
          <t>Чёрно-белый негатив, проявочный бачок и карточка ISO 400/27°.</t>
        </is>
      </c>
      <c r="V179" t="inlineStr">
        <is>
          <t>#PL018 #ISO6 #black-and-white #negative #film-speed</t>
        </is>
      </c>
      <c r="X179" t="inlineStr">
        <is>
          <t>46.2044, 6.1432</t>
        </is>
      </c>
      <c r="Y179" t="inlineStr">
        <is>
          <t>ISO плёнки / чёрно-белый негатив</t>
        </is>
      </c>
      <c r="Z179" t="inlineStr">
        <is>
          <t>Технология / процесс</t>
        </is>
      </c>
    </row>
    <row r="180" ht="17" customHeight="1" s="72">
      <c r="A180" t="inlineStr">
        <is>
          <t>PL-HIST-0179</t>
        </is>
      </c>
      <c r="B180" t="inlineStr">
        <is>
          <t>1987 / 2001</t>
        </is>
      </c>
      <c r="C180" t="inlineStr">
        <is>
          <t>точная дата</t>
        </is>
      </c>
      <c r="D180" t="inlineStr">
        <is>
          <t>международно</t>
        </is>
      </c>
      <c r="E180" t="inlineStr">
        <is>
          <t>Женева</t>
        </is>
      </c>
      <c r="F180" t="inlineStr">
        <is>
          <t>International Organization for Standardization</t>
        </is>
      </c>
      <c r="G180" t="inlineStr">
        <is>
          <t>ISO 5800 описывает определение ISO-светочувствительности цветных негативных плёнок для статической фотографии.</t>
        </is>
      </c>
      <c r="H180" t="inlineStr">
        <is>
          <t>Фотохимия</t>
        </is>
      </c>
      <c r="I180" t="inlineStr">
        <is>
          <t>ISO 5800 / colour negative film speed</t>
        </is>
      </c>
      <c r="J180" t="inlineStr">
        <is>
          <t>Цветной негатив получает измеримый стандарт: коробочный ISO перестаёт быть рекламным числом и становится частью воспроизводимой системы.</t>
        </is>
      </c>
      <c r="K180" t="inlineStr">
        <is>
          <t>Цветная негативная плёнка PL-016</t>
        </is>
      </c>
      <c r="L180" t="inlineStr">
        <is>
          <t>Практический выбор ISO под свет и сюжет</t>
        </is>
      </c>
      <c r="M180" t="inlineStr">
        <is>
          <t>Главная линия</t>
        </is>
      </c>
      <c r="N180" t="n">
        <v>4</v>
      </c>
      <c r="O180" t="inlineStr">
        <is>
          <t>PL-018</t>
        </is>
      </c>
      <c r="P180" t="inlineStr">
        <is>
          <t>SRC-144</t>
        </is>
      </c>
      <c r="Q180" t="inlineStr">
        <is>
          <t>ISO — ISO 5800:1987 Colour negative films</t>
        </is>
      </c>
      <c r="R180" t="inlineStr">
        <is>
          <t>https://www.iso.org/standard/11948.html</t>
        </is>
      </c>
      <c r="S180" t="n">
        <v>5</v>
      </c>
      <c r="T180" t="inlineStr">
        <is>
          <t>Здесь удобно связать PL-016 и PL-018: цветной негатив — материал; ISO — его чувствительность.</t>
        </is>
      </c>
      <c r="U180" t="inlineStr">
        <is>
          <t>Цветной негатив с оранжевой маской, рядом маркировка ISO 400/27°.</t>
        </is>
      </c>
      <c r="V180" t="inlineStr">
        <is>
          <t>#PL018 #ISO5800 #color-negative #film-speed</t>
        </is>
      </c>
      <c r="X180" t="inlineStr">
        <is>
          <t>46.2044, 6.1432</t>
        </is>
      </c>
      <c r="Y180" t="inlineStr">
        <is>
          <t>ISO плёнки / цветной негатив</t>
        </is>
      </c>
      <c r="Z180" t="inlineStr">
        <is>
          <t>Технология / процесс</t>
        </is>
      </c>
    </row>
    <row r="181" ht="17" customHeight="1" s="72">
      <c r="A181" t="inlineStr">
        <is>
          <t>PL-HIST-0180</t>
        </is>
      </c>
      <c r="B181" t="inlineStr">
        <is>
          <t>2003</t>
        </is>
      </c>
      <c r="C181" t="inlineStr">
        <is>
          <t>год</t>
        </is>
      </c>
      <c r="D181" t="inlineStr">
        <is>
          <t>международно</t>
        </is>
      </c>
      <c r="E181" t="inlineStr">
        <is>
          <t>Женева</t>
        </is>
      </c>
      <c r="F181" t="inlineStr">
        <is>
          <t>International Organization for Standardization</t>
        </is>
      </c>
      <c r="G181" t="inlineStr">
        <is>
          <t>ISO 2240 задаёт метод определения светочувствительности цветных обращаемых плёнок — материалов, которые смотрят на просвет или проецируют как слайды.</t>
        </is>
      </c>
      <c r="H181" t="inlineStr">
        <is>
          <t>Фотохимия</t>
        </is>
      </c>
      <c r="I181" t="inlineStr">
        <is>
          <t>ISO 2240 / colour reversal film speed</t>
        </is>
      </c>
      <c r="J181" t="inlineStr">
        <is>
          <t>Слайдовая плёнка получает отдельную логику стандартизации, потому что результат — сразу позитивная прозрачность, а не печатный негатив.</t>
        </is>
      </c>
      <c r="K181" t="inlineStr">
        <is>
          <t>Слайдовая плёнка PL-017</t>
        </is>
      </c>
      <c r="L181" t="inlineStr">
        <is>
          <t>Экспозиционная широта слайда PL-020</t>
        </is>
      </c>
      <c r="M181" t="inlineStr">
        <is>
          <t>Главная линия</t>
        </is>
      </c>
      <c r="N181" t="n">
        <v>4</v>
      </c>
      <c r="O181" t="inlineStr">
        <is>
          <t>PL-018</t>
        </is>
      </c>
      <c r="P181" t="inlineStr">
        <is>
          <t>SRC-145</t>
        </is>
      </c>
      <c r="Q181" t="inlineStr">
        <is>
          <t>ISO — ISO 2240:2003 Colour reversal camera films</t>
        </is>
      </c>
      <c r="R181" t="inlineStr">
        <is>
          <t>https://www.iso.org/standard/34533.html</t>
        </is>
      </c>
      <c r="S181" t="n">
        <v>5</v>
      </c>
      <c r="T181" t="inlineStr">
        <is>
          <t>Мост к PL-020: у слайда ISO и экспозиция особенно критичны из-за узкого диапазона ошибки.</t>
        </is>
      </c>
      <c r="U181" t="inlineStr">
        <is>
          <t>Слайд в рамке на световом столе и подпись ISO 100/21° без лишней инфографики.</t>
        </is>
      </c>
      <c r="V181" t="inlineStr">
        <is>
          <t>#PL018 #ISO2240 #slide-film #reversal #ISO</t>
        </is>
      </c>
      <c r="X181" t="inlineStr">
        <is>
          <t>46.2044, 6.1432</t>
        </is>
      </c>
      <c r="Y181" t="inlineStr">
        <is>
          <t>ISO плёнки / слайдовая плёнка</t>
        </is>
      </c>
      <c r="Z181" t="inlineStr">
        <is>
          <t>Технология / процесс</t>
        </is>
      </c>
    </row>
    <row r="182" ht="17" customHeight="1" s="72">
      <c r="A182" t="inlineStr">
        <is>
          <t>PL-HIST-0181</t>
        </is>
      </c>
      <c r="B182" t="inlineStr">
        <is>
          <t>XX–XXI век</t>
        </is>
      </c>
      <c r="C182" t="inlineStr">
        <is>
          <t>диапазон</t>
        </is>
      </c>
      <c r="D182" t="inlineStr">
        <is>
          <t>США / глобально</t>
        </is>
      </c>
      <c r="E182" t="inlineStr">
        <is>
          <t>Рочестер / кинолаборатории</t>
        </is>
      </c>
      <c r="F182" t="inlineStr">
        <is>
          <t>Eastman Kodak Company / операторы / фотографы</t>
        </is>
      </c>
      <c r="G182" t="inlineStr">
        <is>
          <t>Exposure Index показывает практическую рабочую настройку чувствительности: EI не всегда нужно понимать как абсолютно неизменную скорость материала.</t>
        </is>
      </c>
      <c r="H182" t="inlineStr">
        <is>
          <t>Фотохимия</t>
        </is>
      </c>
      <c r="I182" t="inlineStr">
        <is>
          <t>Exposure Index / EI</t>
        </is>
      </c>
      <c r="J182" t="inlineStr">
        <is>
          <t>Появляется важное различие: box speed — рекомендация производителя, EI — выбранная фотографом рабочая настройка под задачу и обработку.</t>
        </is>
      </c>
      <c r="K182" t="inlineStr">
        <is>
          <t>ISO как стандартная маркировка</t>
        </is>
      </c>
      <c r="L182" t="inlineStr">
        <is>
          <t>Push/pull и тестирование конкретной плёнки</t>
        </is>
      </c>
      <c r="M182" t="inlineStr">
        <is>
          <t>Главная линия / практическое управление</t>
        </is>
      </c>
      <c r="N182" t="n">
        <v>5</v>
      </c>
      <c r="O182" t="inlineStr">
        <is>
          <t>PL-018</t>
        </is>
      </c>
      <c r="P182" t="inlineStr">
        <is>
          <t>SRC-148</t>
        </is>
      </c>
      <c r="Q182" t="inlineStr">
        <is>
          <t>Kodak — Frequently Asked Questions</t>
        </is>
      </c>
      <c r="R182" t="inlineStr">
        <is>
          <t>https://www.kodak.com/en/motion/page/frequently-asked-questions/</t>
        </is>
      </c>
      <c r="S182" t="n">
        <v>5</v>
      </c>
      <c r="T182" t="inlineStr">
        <is>
          <t>Объяснить просто: ISO написан на коробке, EI — как ты реально решил снимать этот материал.</t>
        </is>
      </c>
      <c r="U182" t="inlineStr">
        <is>
          <t>Коробка ISO 400, экспонометр выставлен на EI 800; рядом заметка «push +1».</t>
        </is>
      </c>
      <c r="V182" t="inlineStr">
        <is>
          <t>#PL018 #EI #exposure-index #box-speed #push</t>
        </is>
      </c>
      <c r="W182" t="inlineStr">
        <is>
          <t>Формулировать аккуратно: EI не отменяет стандартизированный ISO, а описывает практическую настройку.</t>
        </is>
      </c>
      <c r="X182" t="inlineStr">
        <is>
          <t>43.1566, -77.6088</t>
        </is>
      </c>
      <c r="Y182" t="inlineStr">
        <is>
          <t>ISO плёнки / box speed и EI</t>
        </is>
      </c>
      <c r="Z182" t="inlineStr">
        <is>
          <t>Терминология / язык</t>
        </is>
      </c>
    </row>
    <row r="183" ht="17" customHeight="1" s="72">
      <c r="A183" t="inlineStr">
        <is>
          <t>PL-HIST-0182</t>
        </is>
      </c>
      <c r="B183" t="inlineStr">
        <is>
          <t>XX век</t>
        </is>
      </c>
      <c r="C183" t="inlineStr">
        <is>
          <t>диапазон</t>
        </is>
      </c>
      <c r="D183" t="inlineStr">
        <is>
          <t>США</t>
        </is>
      </c>
      <c r="E183" t="inlineStr">
        <is>
          <t>Рочестер, Нью-Йорк</t>
        </is>
      </c>
      <c r="F183" t="inlineStr">
        <is>
          <t>Eastman Kodak Company</t>
        </is>
      </c>
      <c r="G183" t="inlineStr">
        <is>
          <t>Kodak формулирует экспозицию как баланс четырёх вещей: времени выдержки, отверстия объектива, яркости сцены и скорости / EI плёнки.</t>
        </is>
      </c>
      <c r="H183" t="inlineStr">
        <is>
          <t>Фотохимия</t>
        </is>
      </c>
      <c r="I183" t="inlineStr">
        <is>
          <t>Film speed in exposure calculation</t>
        </is>
      </c>
      <c r="J183" t="inlineStr">
        <is>
          <t>ISO становится частью экспозиционного треугольника: он не работает отдельно, а связан с выдержкой, диафрагмой и реальным светом сцены.</t>
        </is>
      </c>
      <c r="K183" t="inlineStr">
        <is>
          <t>EI как практическая настройка</t>
        </is>
      </c>
      <c r="L183" t="inlineStr">
        <is>
          <t>Модуль экспозиции PL-041–PL-050</t>
        </is>
      </c>
      <c r="M183" t="inlineStr">
        <is>
          <t>Связь / переход</t>
        </is>
      </c>
      <c r="N183" t="n">
        <v>5</v>
      </c>
      <c r="O183" t="inlineStr">
        <is>
          <t>PL-018</t>
        </is>
      </c>
      <c r="P183" t="inlineStr">
        <is>
          <t>SRC-147</t>
        </is>
      </c>
      <c r="Q183" t="inlineStr">
        <is>
          <t>Kodak — Essential Reference Guide for Filmmakers</t>
        </is>
      </c>
      <c r="R183" t="inlineStr">
        <is>
          <t>https://www.kodak.com/content/products-brochures/Film/kodak-essential-reference-guide-for-filmmakers.pdf</t>
        </is>
      </c>
      <c r="S183" t="n">
        <v>5</v>
      </c>
      <c r="T183" t="inlineStr">
        <is>
          <t>Это лучший мост в будущий модуль экспозиции: ISO — не магия, а один из параметров расчёта света.</t>
        </is>
      </c>
      <c r="U183" t="inlineStr">
        <is>
          <t>Схема: сцена → объектив → плёнка; вокруг четыре подписи: свет, диафрагма, выдержка, ISO/EI.</t>
        </is>
      </c>
      <c r="V183" t="inlineStr">
        <is>
          <t>#PL018 #exposure #aperture #shutter #film-speed</t>
        </is>
      </c>
      <c r="X183" t="inlineStr">
        <is>
          <t>43.1566, -77.6088</t>
        </is>
      </c>
      <c r="Y183" t="inlineStr">
        <is>
          <t>ISO плёнки / связь с экспозицией</t>
        </is>
      </c>
      <c r="Z183" t="inlineStr">
        <is>
          <t>Связь / переход</t>
        </is>
      </c>
    </row>
    <row r="184" ht="17" customHeight="1" s="72">
      <c r="A184" t="inlineStr">
        <is>
          <t>PL-HIST-0183</t>
        </is>
      </c>
      <c r="B184" t="inlineStr">
        <is>
          <t>XX–XXI век</t>
        </is>
      </c>
      <c r="C184" t="inlineStr">
        <is>
          <t>диапазон</t>
        </is>
      </c>
      <c r="D184" t="inlineStr">
        <is>
          <t>глобально</t>
        </is>
      </c>
      <c r="E184" t="inlineStr">
        <is>
          <t>фотомагазины и камеры</t>
        </is>
      </c>
      <c r="F184" t="inlineStr">
        <is>
          <t>Производители плёнки / фотографы</t>
        </is>
      </c>
      <c r="G184" t="inlineStr">
        <is>
          <t>Box speed становится бытовым интерфейсом плёнки: фотограф видит ISO 50, 100, 400 или 3200 и сразу понимает, в каком свете материалу комфортнее.</t>
        </is>
      </c>
      <c r="H184" t="inlineStr">
        <is>
          <t>Фотохимия</t>
        </is>
      </c>
      <c r="I184" t="inlineStr">
        <is>
          <t>Box speed / nominal sensitivity</t>
        </is>
      </c>
      <c r="J184" t="inlineStr">
        <is>
          <t>Выбор плёнки становится практическим: солнечный день, помещение, вечер, движение — всё это связано с ISO ещё до настройки камеры.</t>
        </is>
      </c>
      <c r="K184" t="inlineStr">
        <is>
          <t>Стандарты ISO</t>
        </is>
      </c>
      <c r="L184" t="inlineStr">
        <is>
          <t>Выбор низкой, средней и высокой чувствительности</t>
        </is>
      </c>
      <c r="M184" t="inlineStr">
        <is>
          <t>Распространение / коммерциализация</t>
        </is>
      </c>
      <c r="N184" t="n">
        <v>4</v>
      </c>
      <c r="O184" t="inlineStr">
        <is>
          <t>PL-018</t>
        </is>
      </c>
      <c r="P184" t="inlineStr">
        <is>
          <t>SRC-152</t>
        </is>
      </c>
      <c r="Q184" t="inlineStr">
        <is>
          <t>Kodak — Still Film Products</t>
        </is>
      </c>
      <c r="R184" t="inlineStr">
        <is>
          <t>https://www.kodak.com/en/still-film/products/</t>
        </is>
      </c>
      <c r="S184" t="n">
        <v>5</v>
      </c>
      <c r="T184" t="inlineStr">
        <is>
          <t>Можно показать как «этикетку света»: ISO на коробке — первое решение фотографа до съёмки.</t>
        </is>
      </c>
      <c r="U184" t="inlineStr">
        <is>
          <t>Полка фотомагазина с коробками плёнки разной чувствительности; крупно видны числа ISO.</t>
        </is>
      </c>
      <c r="V184" t="inlineStr">
        <is>
          <t>#PL018 #box-speed #film-choice #ISO #photostore</t>
        </is>
      </c>
      <c r="Y184" t="inlineStr">
        <is>
          <t>ISO плёнки / коробочный ISO</t>
        </is>
      </c>
      <c r="Z184" t="inlineStr">
        <is>
          <t>Распространение / коммерциализация</t>
        </is>
      </c>
    </row>
    <row r="185" ht="17" customHeight="1" s="72">
      <c r="A185" t="inlineStr">
        <is>
          <t>PL-HIST-0184</t>
        </is>
      </c>
      <c r="B185" t="inlineStr">
        <is>
          <t>XX–XXI век</t>
        </is>
      </c>
      <c r="C185" t="inlineStr">
        <is>
          <t>диапазон</t>
        </is>
      </c>
      <c r="D185" t="inlineStr">
        <is>
          <t>Великобритания / глобально</t>
        </is>
      </c>
      <c r="E185" t="inlineStr">
        <is>
          <t>Мобберли, Чешир / практика съёмки</t>
        </is>
      </c>
      <c r="F185" t="inlineStr">
        <is>
          <t>ILFORD PHOTO / фотографы</t>
        </is>
      </c>
      <c r="G185" t="inlineStr">
        <is>
          <t>ILFORD HP5 PLUS закрепляет практический образ ISO 400: универсальная высокочувствительная чёрно-белая плёнка для репортажа, улицы, путешествий и слабого света.</t>
        </is>
      </c>
      <c r="H185" t="inlineStr">
        <is>
          <t>Фотохимия</t>
        </is>
      </c>
      <c r="I185" t="inlineStr">
        <is>
          <t>ISO 400 high-speed black-and-white film</t>
        </is>
      </c>
      <c r="J185" t="inlineStr">
        <is>
          <t>ISO 400 становится стартовой универсальной точкой: достаточно чувствительно для жизни, но ещё контролируемо по зерну и контрасту.</t>
        </is>
      </c>
      <c r="K185" t="inlineStr">
        <is>
          <t>Box speed как выбор плёнки</t>
        </is>
      </c>
      <c r="L185" t="inlineStr">
        <is>
          <t>Push до EI 3200 и практическая гибкость</t>
        </is>
      </c>
      <c r="M185" t="inlineStr">
        <is>
          <t>Главная линия / визуальный язык</t>
        </is>
      </c>
      <c r="N185" t="n">
        <v>4</v>
      </c>
      <c r="O185" t="inlineStr">
        <is>
          <t>PL-018</t>
        </is>
      </c>
      <c r="P185" t="inlineStr">
        <is>
          <t>SRC-149</t>
        </is>
      </c>
      <c r="Q185" t="inlineStr">
        <is>
          <t>ILFORD — HP5 PLUS 35mm</t>
        </is>
      </c>
      <c r="R185" t="inlineStr">
        <is>
          <t>https://www.ilfordphoto.com/hp5-plus-35mm?___from_store=ilford_uk&amp;___store=ilford_brochure</t>
        </is>
      </c>
      <c r="S185" t="n">
        <v>5</v>
      </c>
      <c r="T185" t="inlineStr">
        <is>
          <t>Связать с твоим личным маршрутом входа в плёнку: ISO 400 — понятный первый выбор для переменного света.</t>
        </is>
      </c>
      <c r="U185" t="inlineStr">
        <is>
          <t>Кассета HP5 PLUS рядом с камерой; окно, пасмурный свет, заметка «ISO 400».</t>
        </is>
      </c>
      <c r="V185" t="inlineStr">
        <is>
          <t>#PL018 #HP5 #ISO400 #black-and-white #available-light</t>
        </is>
      </c>
      <c r="X185" t="inlineStr">
        <is>
          <t>53.3160, -2.3180</t>
        </is>
      </c>
      <c r="Y185" t="inlineStr">
        <is>
          <t>ISO плёнки / универсальный ISO 400</t>
        </is>
      </c>
      <c r="Z185" t="inlineStr">
        <is>
          <t>Применение / жанр</t>
        </is>
      </c>
    </row>
    <row r="186" ht="17" customHeight="1" s="72">
      <c r="A186" t="inlineStr">
        <is>
          <t>PL-HIST-0185</t>
        </is>
      </c>
      <c r="B186" t="inlineStr">
        <is>
          <t>XX–XXI век</t>
        </is>
      </c>
      <c r="C186" t="inlineStr">
        <is>
          <t>диапазон</t>
        </is>
      </c>
      <c r="D186" t="inlineStr">
        <is>
          <t>Великобритания / глобально</t>
        </is>
      </c>
      <c r="E186" t="inlineStr">
        <is>
          <t>Мобберли, Чешир / ночная съёмка</t>
        </is>
      </c>
      <c r="F186" t="inlineStr">
        <is>
          <t>ILFORD PHOTO / фотографы</t>
        </is>
      </c>
      <c r="G186" t="inlineStr">
        <is>
          <t>DELTA 3200 показывает верхнюю сторону ISO: высокая чувствительность даёт возможность снимать в слабом свете, но делает характер изображения более активным.</t>
        </is>
      </c>
      <c r="H186" t="inlineStr">
        <is>
          <t>Фотохимия</t>
        </is>
      </c>
      <c r="I186" t="inlineStr">
        <is>
          <t>EI 3200 high-speed film</t>
        </is>
      </c>
      <c r="J186" t="inlineStr">
        <is>
          <t>Фотограф получает инструмент для ночи, концертов и движения; ISO становится не только техникой, но и эстетическим выбором.</t>
        </is>
      </c>
      <c r="K186" t="inlineStr">
        <is>
          <t>ISO 400 как универсальный старт</t>
        </is>
      </c>
      <c r="L186" t="inlineStr">
        <is>
          <t>Зерно PL-019</t>
        </is>
      </c>
      <c r="M186" t="inlineStr">
        <is>
          <t>Главная линия / визуальный язык</t>
        </is>
      </c>
      <c r="N186" t="n">
        <v>4</v>
      </c>
      <c r="O186" t="inlineStr">
        <is>
          <t>PL-018</t>
        </is>
      </c>
      <c r="P186" t="inlineStr">
        <is>
          <t>SRC-150</t>
        </is>
      </c>
      <c r="Q186" t="inlineStr">
        <is>
          <t>ILFORD — DELTA 3200 PROFESSIONAL</t>
        </is>
      </c>
      <c r="R186" t="inlineStr">
        <is>
          <t>https://www.ilfordphoto.com/delta-3200-professional-bulk-length-film?___from_store=ilford_uk&amp;___store=ilford_brochure</t>
        </is>
      </c>
      <c r="S186" t="n">
        <v>5</v>
      </c>
      <c r="T186" t="inlineStr">
        <is>
          <t>Важно: высокий ISO — это не «хуже», а другой компромисс света, зерна и настроения.</t>
        </is>
      </c>
      <c r="U186" t="inlineStr">
        <is>
          <t>Ночная улица, плёнка DELTA 3200, свет фонаря и заметная фактура кадра.</t>
        </is>
      </c>
      <c r="V186" t="inlineStr">
        <is>
          <t>#PL018 #Delta3200 #high-speed-film #low-light #grain</t>
        </is>
      </c>
      <c r="X186" t="inlineStr">
        <is>
          <t>53.3160, -2.3180</t>
        </is>
      </c>
      <c r="Y186" t="inlineStr">
        <is>
          <t>ISO плёнки / высокая чувствительность</t>
        </is>
      </c>
      <c r="Z186" t="inlineStr">
        <is>
          <t>Применение / жанр</t>
        </is>
      </c>
    </row>
    <row r="187" ht="17" customHeight="1" s="72">
      <c r="A187" t="inlineStr">
        <is>
          <t>PL-HIST-0186</t>
        </is>
      </c>
      <c r="B187" t="inlineStr">
        <is>
          <t>XX–XXI век</t>
        </is>
      </c>
      <c r="C187" t="inlineStr">
        <is>
          <t>диапазон</t>
        </is>
      </c>
      <c r="D187" t="inlineStr">
        <is>
          <t>США / глобально</t>
        </is>
      </c>
      <c r="E187" t="inlineStr">
        <is>
          <t>лаборатории и съёмочные площадки</t>
        </is>
      </c>
      <c r="F187" t="inlineStr">
        <is>
          <t>Kodak / фотографы / лаборатории</t>
        </is>
      </c>
      <c r="G187" t="inlineStr">
        <is>
          <t>Push/pull закрепляет идею, что практическая чувствительность связана не только со съёмкой, но и с последующей обработкой.</t>
        </is>
      </c>
      <c r="H187" t="inlineStr">
        <is>
          <t>Фотохимия</t>
        </is>
      </c>
      <c r="I187" t="inlineStr">
        <is>
          <t>Push / Pull processing</t>
        </is>
      </c>
      <c r="J187" t="inlineStr">
        <is>
          <t>Если света не хватило или нужен другой характер, фотограф может намеренно экспонировать не по коробочному ISO и компенсировать это проявкой.</t>
        </is>
      </c>
      <c r="K187" t="inlineStr">
        <is>
          <t>EI как рабочая настройка</t>
        </is>
      </c>
      <c r="L187" t="inlineStr">
        <is>
          <t>Экспозиционная широта и проявка PL-020</t>
        </is>
      </c>
      <c r="M187" t="inlineStr">
        <is>
          <t>Главная линия / практическое управление</t>
        </is>
      </c>
      <c r="N187" t="n">
        <v>5</v>
      </c>
      <c r="O187" t="inlineStr">
        <is>
          <t>PL-018</t>
        </is>
      </c>
      <c r="P187" t="inlineStr">
        <is>
          <t>SRC-151</t>
        </is>
      </c>
      <c r="Q187" t="inlineStr">
        <is>
          <t>Kodak — Push / Pull Film Processing</t>
        </is>
      </c>
      <c r="R187" t="inlineStr">
        <is>
          <t>https://www.kodak.com/en/motion/page/push-pull-processing/</t>
        </is>
      </c>
      <c r="S187" t="n">
        <v>5</v>
      </c>
      <c r="T187" t="inlineStr">
        <is>
          <t>Финальный мост: ISO — это точка старта, но плёнка живёт в связке «экспонирование + проявление».</t>
        </is>
      </c>
      <c r="U187" t="inlineStr">
        <is>
          <t>Плёнка ISO 400, экспонометр EI 800, проявочный бак и карточка «push +1».</t>
        </is>
      </c>
      <c r="V187" t="inlineStr">
        <is>
          <t>#PL018 #push-pull #EI #processing #film-lab</t>
        </is>
      </c>
      <c r="W187" t="inlineStr">
        <is>
          <t>Не обещать, что push реально повышает физическую чувствительность; объяснять как компенсацию обработки.</t>
        </is>
      </c>
      <c r="X187" t="inlineStr">
        <is>
          <t>43.1566, -77.6088</t>
        </is>
      </c>
      <c r="Y187" t="inlineStr">
        <is>
          <t>ISO плёнки / push-pull</t>
        </is>
      </c>
      <c r="Z187" t="inlineStr">
        <is>
          <t>Технология / процесс</t>
        </is>
      </c>
    </row>
    <row r="188" ht="17" customHeight="1" s="72">
      <c r="A188" t="inlineStr">
        <is>
          <t>PL-HIST-0187</t>
        </is>
      </c>
      <c r="B188" t="inlineStr">
        <is>
          <t>XIX–XXI век</t>
        </is>
      </c>
      <c r="C188" t="inlineStr">
        <is>
          <t>диапазон</t>
        </is>
      </c>
      <c r="D188" t="inlineStr">
        <is>
          <t>глобально</t>
        </is>
      </c>
      <c r="E188" t="inlineStr">
        <is>
          <t>оптический эффект в эмульсии</t>
        </is>
      </c>
      <c r="F188" t="inlineStr">
        <is>
          <t>Химики фотографии, исследователи денситометрии, производители плёнки</t>
        </is>
      </c>
      <c r="G188" t="inlineStr">
        <is>
          <t>«Зерно» на снимке — не сам кристалл эмульсии, а оптический эффект: отдельные микрокристаллы серебра слишком малы, чтобы их различить глазом, а видимую фактуру создают более крупные, случайно расположенные скопления проявленного серебра (или облака красителя), которые перекрываются между собой.</t>
        </is>
      </c>
      <c r="H188" t="inlineStr">
        <is>
          <t>Фотохимия</t>
        </is>
      </c>
      <c r="I188" t="inlineStr">
        <is>
          <t>Grain clumping / RMS granularity</t>
        </is>
      </c>
      <c r="J188" t="inlineStr">
        <is>
          <t>Зерно перестаёт путаться с самим кристаллом эмульсии: то, что видит глаз, сканер или увеличитель, — статистическая неравномерность плотности от скоплений серебра, а не форма одной частицы. Поэтому зернистость можно измерить числом (RMS granularity), а не только оценить на глаз.</t>
        </is>
      </c>
      <c r="K188" t="inlineStr">
        <is>
          <t>Эмульсия PL-012</t>
        </is>
      </c>
      <c r="L188" t="inlineStr">
        <is>
          <t>Видимое зерно как язык чёрно-белой плёнки</t>
        </is>
      </c>
      <c r="M188" t="inlineStr">
        <is>
          <t>Главная линия</t>
        </is>
      </c>
      <c r="N188" t="n">
        <v>5</v>
      </c>
      <c r="O188" t="inlineStr">
        <is>
          <t>PL-019</t>
        </is>
      </c>
      <c r="P188" t="inlineStr">
        <is>
          <t>SRC-166</t>
        </is>
      </c>
      <c r="Q188" t="inlineStr">
        <is>
          <t>Wikipedia — Film grain</t>
        </is>
      </c>
      <c r="R188" t="inlineStr">
        <is>
          <t>https://en.wikipedia.org/wiki/Film_grain</t>
        </is>
      </c>
      <c r="S188" t="n">
        <v>4</v>
      </c>
      <c r="T188" t="inlineStr">
        <is>
          <t>Флагман урока: важно развести три вещи — микроскопический кристалл в эмульсии, проявленное металлическое серебро и видимое зерно на отпечатке/скане, которое является оптическим эффектом скоплений, а не самим кристаллом.</t>
        </is>
      </c>
      <c r="U188" t="inlineStr">
        <is>
          <t>Три масштаба одного кадра: невидимый кристалл под микроскопом, скопления проявленного серебра и видимое зерно на увеличенном отпечатке.</t>
        </is>
      </c>
      <c r="V188" t="inlineStr">
        <is>
          <t>#PL019 #grain #RMS-granularity #optical-effect #silver-clumping</t>
        </is>
      </c>
      <c r="Y188" t="inlineStr">
        <is>
          <t>Зерно / оптический эффект vs кристалл</t>
        </is>
      </c>
      <c r="Z188" t="inlineStr">
        <is>
          <t>Ключевой исторический узел</t>
        </is>
      </c>
      <c r="AA188" t="inlineStr">
        <is>
          <t>да</t>
        </is>
      </c>
    </row>
    <row r="189" ht="17" customHeight="1" s="72">
      <c r="A189" t="inlineStr">
        <is>
          <t>PL-HIST-0188</t>
        </is>
      </c>
      <c r="B189" t="inlineStr">
        <is>
          <t>XX–XXI век</t>
        </is>
      </c>
      <c r="C189" t="inlineStr">
        <is>
          <t>диапазон</t>
        </is>
      </c>
      <c r="D189" t="inlineStr">
        <is>
          <t>глобально</t>
        </is>
      </c>
      <c r="E189" t="inlineStr">
        <is>
          <t>съёмочная практика</t>
        </is>
      </c>
      <c r="F189" t="inlineStr">
        <is>
          <t>Фотографы / производители плёнки</t>
        </is>
      </c>
      <c r="G189" t="inlineStr">
        <is>
          <t>Связь ISO и зерна становится главным компромиссом материала: медленные плёнки обычно дают более тонкую фактуру, быстрые — больше свободы в слабом свете.</t>
        </is>
      </c>
      <c r="H189" t="inlineStr">
        <is>
          <t>Фотохимия</t>
        </is>
      </c>
      <c r="I189" t="inlineStr">
        <is>
          <t>Speed-grain tradeoff</t>
        </is>
      </c>
      <c r="J189" t="inlineStr">
        <is>
          <t>Фотограф начинает выбирать не только чувствительность, но и характер изображения: гладкость, фактура, резкость, атмосфера.</t>
        </is>
      </c>
      <c r="K189" t="inlineStr">
        <is>
          <t>ISO плёнки PL-018</t>
        </is>
      </c>
      <c r="L189" t="inlineStr">
        <is>
          <t>Медленная и высокочувствительная плёнка как разные визуальные решения</t>
        </is>
      </c>
      <c r="M189" t="inlineStr">
        <is>
          <t>Главная линия / визуальный язык</t>
        </is>
      </c>
      <c r="N189" t="n">
        <v>5</v>
      </c>
      <c r="O189" t="inlineStr">
        <is>
          <t>PL-019</t>
        </is>
      </c>
      <c r="P189" t="inlineStr">
        <is>
          <t>SRC-154</t>
        </is>
      </c>
      <c r="Q189" t="inlineStr">
        <is>
          <t>ILFORD — PAN F PLUS 35mm</t>
        </is>
      </c>
      <c r="R189" t="inlineStr">
        <is>
          <t>https://www.ilfordphoto.com/pan-f-plus-35mm?___from_store=ilford_uk&amp;___store=ilford_brochure</t>
        </is>
      </c>
      <c r="S189" t="n">
        <v>5</v>
      </c>
      <c r="T189" t="inlineStr">
        <is>
          <t>Формулировать без абсолютов: зерно зависит не только от ISO, но ISO — один из самых понятных факторов для новичка.</t>
        </is>
      </c>
      <c r="U189" t="inlineStr">
        <is>
          <t>Два увеличенных фрагмента одного сюжета: ISO 50 гладко, ISO 3200 фактурно.</t>
        </is>
      </c>
      <c r="V189" t="inlineStr">
        <is>
          <t>#PL019 #ISO #grain #film-speed #texture</t>
        </is>
      </c>
      <c r="W189" t="inlineStr">
        <is>
          <t>Не превращать в жёсткое правило: современные эмульсии могут быть быстрыми и сравнительно мелкозернистыми.</t>
        </is>
      </c>
      <c r="Y189" t="inlineStr">
        <is>
          <t>Зерно / компромисс ISO и фактуры</t>
        </is>
      </c>
      <c r="Z189" t="inlineStr">
        <is>
          <t>Связь / переход</t>
        </is>
      </c>
    </row>
    <row r="190" ht="17" customHeight="1" s="72">
      <c r="A190" t="inlineStr">
        <is>
          <t>PL-HIST-0189</t>
        </is>
      </c>
      <c r="B190" t="inlineStr">
        <is>
          <t>XX–XXI век</t>
        </is>
      </c>
      <c r="C190" t="inlineStr">
        <is>
          <t>диапазон</t>
        </is>
      </c>
      <c r="D190" t="inlineStr">
        <is>
          <t>Великобритания / глобально</t>
        </is>
      </c>
      <c r="E190" t="inlineStr">
        <is>
          <t>Мобберли, Чешир</t>
        </is>
      </c>
      <c r="F190" t="inlineStr">
        <is>
          <t>ILFORD PHOTO</t>
        </is>
      </c>
      <c r="G190" t="inlineStr">
        <is>
          <t>ILFORD PAN F PLUS показывает край медленной плёнки: ISO 50, высокая резкость и очень тонкое зерно для сцен, где света достаточно.</t>
        </is>
      </c>
      <c r="H190" t="inlineStr">
        <is>
          <t>Фотохимия</t>
        </is>
      </c>
      <c r="I190" t="inlineStr">
        <is>
          <t>Slow-speed fine grain black-and-white film</t>
        </is>
      </c>
      <c r="J190" t="inlineStr">
        <is>
          <t>Медленная плёнка становится выбором для детализации, спокойного света, штатива, студии, пейзажа и fine art-подхода.</t>
        </is>
      </c>
      <c r="K190" t="inlineStr">
        <is>
          <t>Зерно как оптический эффект скоплений серебра</t>
        </is>
      </c>
      <c r="L190" t="inlineStr">
        <is>
          <t>FP4 PLUS как более универсальный средний вариант</t>
        </is>
      </c>
      <c r="M190" t="inlineStr">
        <is>
          <t>Главная линия / визуальный язык</t>
        </is>
      </c>
      <c r="N190" t="n">
        <v>4</v>
      </c>
      <c r="O190" t="inlineStr">
        <is>
          <t>PL-019</t>
        </is>
      </c>
      <c r="P190" t="inlineStr">
        <is>
          <t>SRC-154</t>
        </is>
      </c>
      <c r="Q190" t="inlineStr">
        <is>
          <t>ILFORD — PAN F PLUS 35mm</t>
        </is>
      </c>
      <c r="R190" t="inlineStr">
        <is>
          <t>https://www.ilfordphoto.com/pan-f-plus-35mm?___from_store=ilford_uk&amp;___store=ilford_brochure</t>
        </is>
      </c>
      <c r="S190" t="n">
        <v>5</v>
      </c>
      <c r="T190" t="inlineStr">
        <is>
          <t>Практический вывод: низкий ISO любит свет и дисциплину, зато может дать более гладкую фактуру.</t>
        </is>
      </c>
      <c r="U190" t="inlineStr">
        <is>
          <t>Плёнка PAN F PLUS, штатив, студийный предмет или пейзаж в ярком дневном свете.</t>
        </is>
      </c>
      <c r="V190" t="inlineStr">
        <is>
          <t>#PL019 #PANF #ISO50 #fine-grain #detail</t>
        </is>
      </c>
      <c r="X190" t="inlineStr">
        <is>
          <t>53.3160, -2.3180</t>
        </is>
      </c>
      <c r="Y190" t="inlineStr">
        <is>
          <t>Зерно / медленная плёнка</t>
        </is>
      </c>
      <c r="Z190" t="inlineStr">
        <is>
          <t>Применение / жанр</t>
        </is>
      </c>
    </row>
    <row r="191" ht="17" customHeight="1" s="72">
      <c r="A191" t="inlineStr">
        <is>
          <t>PL-HIST-0190</t>
        </is>
      </c>
      <c r="B191" t="inlineStr">
        <is>
          <t>XX–XXI век</t>
        </is>
      </c>
      <c r="C191" t="inlineStr">
        <is>
          <t>диапазон</t>
        </is>
      </c>
      <c r="D191" t="inlineStr">
        <is>
          <t>Великобритания / глобально</t>
        </is>
      </c>
      <c r="E191" t="inlineStr">
        <is>
          <t>Мобберли, Чешир</t>
        </is>
      </c>
      <c r="F191" t="inlineStr">
        <is>
          <t>ILFORD PHOTO</t>
        </is>
      </c>
      <c r="G191" t="inlineStr">
        <is>
          <t>FP4 PLUS показывает среднюю чувствительность: ISO 125, очень мелкое зерно, резкость и широкая применимость без экстремального света.</t>
        </is>
      </c>
      <c r="H191" t="inlineStr">
        <is>
          <t>Фотохимия</t>
        </is>
      </c>
      <c r="I191" t="inlineStr">
        <is>
          <t>Medium-speed fine grain film</t>
        </is>
      </c>
      <c r="J191" t="inlineStr">
        <is>
          <t>Появляется понятный компромисс: не настолько медленно, как ISO 50, но всё ещё очень чисто и детально.</t>
        </is>
      </c>
      <c r="K191" t="inlineStr">
        <is>
          <t>Медленная плёнка ISO 50</t>
        </is>
      </c>
      <c r="L191" t="inlineStr">
        <is>
          <t>ISO 400 как универсальная высокая чувствительность</t>
        </is>
      </c>
      <c r="M191" t="inlineStr">
        <is>
          <t>Главная линия / практическое управление</t>
        </is>
      </c>
      <c r="N191" t="n">
        <v>4</v>
      </c>
      <c r="O191" t="inlineStr">
        <is>
          <t>PL-019</t>
        </is>
      </c>
      <c r="P191" t="inlineStr">
        <is>
          <t>SRC-155</t>
        </is>
      </c>
      <c r="Q191" t="inlineStr">
        <is>
          <t>ILFORD — FP4 PLUS Sheet Film</t>
        </is>
      </c>
      <c r="R191" t="inlineStr">
        <is>
          <t>https://www.ilfordphoto.com/fp4-plus-sheet-film?___from_store=ilford_uk&amp;___store=ilford_brochure</t>
        </is>
      </c>
      <c r="S191" t="n">
        <v>5</v>
      </c>
      <c r="T191" t="inlineStr">
        <is>
          <t>Для новичка FP4 можно объяснить как «точная спокойная плёнка»: требует света, но не такая строгая, как ISO 50.</t>
        </is>
      </c>
      <c r="U191" t="inlineStr">
        <is>
          <t>Кассета FP4 PLUS, светлый натюрморт и увеличитель/лупа на краю кадра.</t>
        </is>
      </c>
      <c r="V191" t="inlineStr">
        <is>
          <t>#PL019 #FP4 #ISO125 #fine-grain #sharpness</t>
        </is>
      </c>
      <c r="X191" t="inlineStr">
        <is>
          <t>53.3160, -2.3180</t>
        </is>
      </c>
      <c r="Y191" t="inlineStr">
        <is>
          <t>Зерно / средняя чувствительность</t>
        </is>
      </c>
      <c r="Z191" t="inlineStr">
        <is>
          <t>Применение / жанр</t>
        </is>
      </c>
    </row>
    <row r="192" ht="17" customHeight="1" s="72">
      <c r="A192" t="inlineStr">
        <is>
          <t>PL-HIST-0191</t>
        </is>
      </c>
      <c r="B192" t="inlineStr">
        <is>
          <t>XX–XXI век</t>
        </is>
      </c>
      <c r="C192" t="inlineStr">
        <is>
          <t>диапазон</t>
        </is>
      </c>
      <c r="D192" t="inlineStr">
        <is>
          <t>Великобритания / глобально</t>
        </is>
      </c>
      <c r="E192" t="inlineStr">
        <is>
          <t>Мобберли, Чешир</t>
        </is>
      </c>
      <c r="F192" t="inlineStr">
        <is>
          <t>ILFORD PHOTO</t>
        </is>
      </c>
      <c r="G192" t="inlineStr">
        <is>
          <t>HP5 PLUS показывает практический баланс ISO 400: достаточно света для репортажа и помещения, заметный плёночный характер и широкая экспозиционная гибкость.</t>
        </is>
      </c>
      <c r="H192" t="inlineStr">
        <is>
          <t>Фотохимия</t>
        </is>
      </c>
      <c r="I192" t="inlineStr">
        <is>
          <t>ISO 400 classic grain / all-purpose film</t>
        </is>
      </c>
      <c r="J192" t="inlineStr">
        <is>
          <t>Зерно становится частью живого изображения, а не только техническим ограничением; ISO 400 часто выбирают именно за универсальный характер.</t>
        </is>
      </c>
      <c r="K192" t="inlineStr">
        <is>
          <t>Средняя чувствительность ISO 125</t>
        </is>
      </c>
      <c r="L192" t="inlineStr">
        <is>
          <t>Высокая чувствительность и выразительное зерно</t>
        </is>
      </c>
      <c r="M192" t="inlineStr">
        <is>
          <t>Главная линия / визуальный язык</t>
        </is>
      </c>
      <c r="N192" t="n">
        <v>5</v>
      </c>
      <c r="O192" t="inlineStr">
        <is>
          <t>PL-019</t>
        </is>
      </c>
      <c r="P192" t="inlineStr">
        <is>
          <t>SRC-149</t>
        </is>
      </c>
      <c r="Q192" t="inlineStr">
        <is>
          <t>ILFORD — HP5 PLUS 35mm</t>
        </is>
      </c>
      <c r="R192" t="inlineStr">
        <is>
          <t>https://www.ilfordphoto.com/hp5-plus-35mm?___from_store=ilford_uk&amp;___store=ilford_brochure</t>
        </is>
      </c>
      <c r="S192" t="n">
        <v>5</v>
      </c>
      <c r="T192" t="inlineStr">
        <is>
          <t>Связать с реальными условиями съёмки: ISO 400 не идеален математически, но удобен в жизни.</t>
        </is>
      </c>
      <c r="U192" t="inlineStr">
        <is>
          <t>Уличный кадр на HP5: мягкий контраст, фактура, движение и свет из окна.</t>
        </is>
      </c>
      <c r="V192" t="inlineStr">
        <is>
          <t>#PL019 #HP5 #ISO400 #grain #documentary</t>
        </is>
      </c>
      <c r="X192" t="inlineStr">
        <is>
          <t>53.3160, -2.3180</t>
        </is>
      </c>
      <c r="Y192" t="inlineStr">
        <is>
          <t>Зерно / классический ISO 400</t>
        </is>
      </c>
      <c r="Z192" t="inlineStr">
        <is>
          <t>Применение / жанр</t>
        </is>
      </c>
    </row>
    <row r="193" ht="17" customHeight="1" s="72">
      <c r="A193" t="inlineStr">
        <is>
          <t>PL-HIST-0192</t>
        </is>
      </c>
      <c r="B193" t="inlineStr">
        <is>
          <t>XX–XXI век</t>
        </is>
      </c>
      <c r="C193" t="inlineStr">
        <is>
          <t>диапазон</t>
        </is>
      </c>
      <c r="D193" t="inlineStr">
        <is>
          <t>Великобритания / глобально</t>
        </is>
      </c>
      <c r="E193" t="inlineStr">
        <is>
          <t>Мобберли, Чешир</t>
        </is>
      </c>
      <c r="F193" t="inlineStr">
        <is>
          <t>ILFORD PHOTO</t>
        </is>
      </c>
      <c r="G193" t="inlineStr">
        <is>
          <t>DELTA Professional показывает, что форма кристаллов и технология эмульсии меняют вид зерна: более новая структура может дать чище тон и выше резкость.</t>
        </is>
      </c>
      <c r="H193" t="inlineStr">
        <is>
          <t>Фотохимия</t>
        </is>
      </c>
      <c r="I193" t="inlineStr">
        <is>
          <t>Core-Shell crystal technology / DELTA films</t>
        </is>
      </c>
      <c r="J193" t="inlineStr">
        <is>
          <t>Зерно перестаёт быть только вопросом ISO: технология кристаллов, эмульсия и разработка производителя формируют характер материала.</t>
        </is>
      </c>
      <c r="K193" t="inlineStr">
        <is>
          <t>Классические PLUS-плёнки</t>
        </is>
      </c>
      <c r="L193" t="inlineStr">
        <is>
          <t>Kodak T-GRAIN как параллельная технологическая линия</t>
        </is>
      </c>
      <c r="M193" t="inlineStr">
        <is>
          <t>Главная линия</t>
        </is>
      </c>
      <c r="N193" t="n">
        <v>5</v>
      </c>
      <c r="O193" t="inlineStr">
        <is>
          <t>PL-019</t>
        </is>
      </c>
      <c r="P193" t="inlineStr">
        <is>
          <t>SRC-157</t>
        </is>
      </c>
      <c r="Q193" t="inlineStr">
        <is>
          <t>ILFORD — Film FAQs</t>
        </is>
      </c>
      <c r="R193" t="inlineStr">
        <is>
          <t>https://www.ilfordphoto.com/faqs/ilford-film-faqs/?___from_store=ilford_uk&amp;___store=ilford_brochure</t>
        </is>
      </c>
      <c r="S193" t="n">
        <v>5</v>
      </c>
      <c r="T193" t="inlineStr">
        <is>
          <t>Сравнить PLUS и DELTA без оценки «лучше/хуже»: это разные эстетики и технологии.</t>
        </is>
      </c>
      <c r="U193" t="inlineStr">
        <is>
          <t>Две полоски негатива: традиционная кубическая фактура и более чистая modern-emulsion фактура.</t>
        </is>
      </c>
      <c r="V193" t="inlineStr">
        <is>
          <t>#PL019 #Delta #CoreShell #emulsion #grain-structure</t>
        </is>
      </c>
      <c r="X193" t="inlineStr">
        <is>
          <t>53.3160, -2.3180</t>
        </is>
      </c>
      <c r="Y193" t="inlineStr">
        <is>
          <t>Зерно / структура кристаллов</t>
        </is>
      </c>
      <c r="Z193" t="inlineStr">
        <is>
          <t>Технология / процесс</t>
        </is>
      </c>
    </row>
    <row r="194" ht="17" customHeight="1" s="72">
      <c r="A194" t="inlineStr">
        <is>
          <t>PL-HIST-0193</t>
        </is>
      </c>
      <c r="B194" t="inlineStr">
        <is>
          <t>XX век</t>
        </is>
      </c>
      <c r="C194" t="inlineStr">
        <is>
          <t>диапазон</t>
        </is>
      </c>
      <c r="D194" t="inlineStr">
        <is>
          <t>США</t>
        </is>
      </c>
      <c r="E194" t="inlineStr">
        <is>
          <t>Рочестер, Нью-Йорк</t>
        </is>
      </c>
      <c r="F194" t="inlineStr">
        <is>
          <t>Eastman Kodak Company</t>
        </is>
      </c>
      <c r="G194" t="inlineStr">
        <is>
          <t>Kodak T-GRAIN описывает таблетчатые кристаллы вместо традиционных серебряных кристаллов: такая форма помогает совмещать скорость и более мелкое зерно.</t>
        </is>
      </c>
      <c r="H194" t="inlineStr">
        <is>
          <t>Фотохимия</t>
        </is>
      </c>
      <c r="I194" t="inlineStr">
        <is>
          <t>KODAK T-GRAIN Emulsion</t>
        </is>
      </c>
      <c r="J194" t="inlineStr">
        <is>
          <t>Технология зерна становится инженерным инструментом: производитель меняет форму кристалла, чтобы изменить резкость, светопоглощение и вид изображения.</t>
        </is>
      </c>
      <c r="K194" t="inlineStr">
        <is>
          <t>ILFORD Core-Shell / новые эмульсии</t>
        </is>
      </c>
      <c r="L194" t="inlineStr">
        <is>
          <t>T-MAX как практический пример T-GRAIN</t>
        </is>
      </c>
      <c r="M194" t="inlineStr">
        <is>
          <t>Главная линия</t>
        </is>
      </c>
      <c r="N194" t="n">
        <v>5</v>
      </c>
      <c r="O194" t="inlineStr">
        <is>
          <t>PL-019</t>
        </is>
      </c>
      <c r="P194" t="inlineStr">
        <is>
          <t>SRC-158</t>
        </is>
      </c>
      <c r="Q194" t="inlineStr">
        <is>
          <t>Kodak — Glossary of Motion Picture Terms</t>
        </is>
      </c>
      <c r="R194" t="inlineStr">
        <is>
          <t>https://www.kodak.com/en/motion/page/glossary-of-motion-picture-terms/</t>
        </is>
      </c>
      <c r="S194" t="n">
        <v>5</v>
      </c>
      <c r="T194" t="inlineStr">
        <is>
          <t>Показать на схеме: кубик и плоская таблетка — не как химия для специалистов, а как понятная форма.</t>
        </is>
      </c>
      <c r="U194" t="inlineStr">
        <is>
          <t>Инфографика двух кристаллов: conventional grain и flat T-GRAIN, с мягким светом и увеличенным негативом.</t>
        </is>
      </c>
      <c r="V194" t="inlineStr">
        <is>
          <t>#PL019 #Tgrain #Kodak #emulsion #fine-grain</t>
        </is>
      </c>
      <c r="X194" t="inlineStr">
        <is>
          <t>43.1566, -77.6088</t>
        </is>
      </c>
      <c r="Y194" t="inlineStr">
        <is>
          <t>Зерно / T-GRAIN</t>
        </is>
      </c>
      <c r="Z194" t="inlineStr">
        <is>
          <t>Технология / процесс</t>
        </is>
      </c>
    </row>
    <row r="195" ht="17" customHeight="1" s="72">
      <c r="A195" t="inlineStr">
        <is>
          <t>PL-HIST-0194</t>
        </is>
      </c>
      <c r="B195" t="inlineStr">
        <is>
          <t>XX–XXI век</t>
        </is>
      </c>
      <c r="C195" t="inlineStr">
        <is>
          <t>диапазон</t>
        </is>
      </c>
      <c r="D195" t="inlineStr">
        <is>
          <t>США / глобально</t>
        </is>
      </c>
      <c r="E195" t="inlineStr">
        <is>
          <t>Рочестер / фотолаборатории</t>
        </is>
      </c>
      <c r="F195" t="inlineStr">
        <is>
          <t>Kodak Professional / фотографы</t>
        </is>
      </c>
      <c r="G195" t="inlineStr">
        <is>
          <t>T-MAX 100 показывает, как мелкозернистый материал используется для максимальной детализации, больших увеличений и чистой тональной работы.</t>
        </is>
      </c>
      <c r="H195" t="inlineStr">
        <is>
          <t>Фотохимия</t>
        </is>
      </c>
      <c r="I195" t="inlineStr">
        <is>
          <t>KODAK T-MAX 100 / fine grain film</t>
        </is>
      </c>
      <c r="J195" t="inlineStr">
        <is>
          <t>Мелкое зерно становится выбором для печати, сканирования и fine art-изображений, где важна гладкая фактура и детализация.</t>
        </is>
      </c>
      <c r="K195" t="inlineStr">
        <is>
          <t>T-GRAIN как инженерная технология</t>
        </is>
      </c>
      <c r="L195" t="inlineStr">
        <is>
          <t>Ультравысокая чувствительность как другой компромисс</t>
        </is>
      </c>
      <c r="M195" t="inlineStr">
        <is>
          <t>Главная линия / визуальный язык</t>
        </is>
      </c>
      <c r="N195" t="n">
        <v>4</v>
      </c>
      <c r="O195" t="inlineStr">
        <is>
          <t>PL-019</t>
        </is>
      </c>
      <c r="P195" t="inlineStr">
        <is>
          <t>SRC-159</t>
        </is>
      </c>
      <c r="Q195" t="inlineStr">
        <is>
          <t>Kodak Professional — T-MAX 100 Film</t>
        </is>
      </c>
      <c r="R195" t="inlineStr">
        <is>
          <t>https://www.kodakprofessional.com/photographers/film/black-white/kodak-professional-t-max-100-film/525</t>
        </is>
      </c>
      <c r="S195" t="n">
        <v>5</v>
      </c>
      <c r="T195" t="inlineStr">
        <is>
          <t>Это хороший мост к твоим fine art объектам: зерно влияет на масштаб печати и ощущение поверхности.</t>
        </is>
      </c>
      <c r="U195" t="inlineStr">
        <is>
          <t>Большой отпечаток с лупой, рядом негатив T-MAX 100 и шкала увеличения.</t>
        </is>
      </c>
      <c r="V195" t="inlineStr">
        <is>
          <t>#PL019 #TMAX100 #fine-grain #print #fine-art</t>
        </is>
      </c>
      <c r="X195" t="inlineStr">
        <is>
          <t>43.1566, -77.6088</t>
        </is>
      </c>
      <c r="Y195" t="inlineStr">
        <is>
          <t>Зерно / мелкозернистая плёнка</t>
        </is>
      </c>
      <c r="Z195" t="inlineStr">
        <is>
          <t>Применение / жанр</t>
        </is>
      </c>
    </row>
    <row r="196" ht="17" customHeight="1" s="72">
      <c r="A196" t="inlineStr">
        <is>
          <t>PL-HIST-0195</t>
        </is>
      </c>
      <c r="B196" t="inlineStr">
        <is>
          <t>XX–XXI век</t>
        </is>
      </c>
      <c r="C196" t="inlineStr">
        <is>
          <t>диапазон</t>
        </is>
      </c>
      <c r="D196" t="inlineStr">
        <is>
          <t>США / глобально</t>
        </is>
      </c>
      <c r="E196" t="inlineStr">
        <is>
          <t>Рочестер / ночная и концертная съёмка</t>
        </is>
      </c>
      <c r="F196" t="inlineStr">
        <is>
          <t>Kodak Professional / фотографы</t>
        </is>
      </c>
      <c r="G196" t="inlineStr">
        <is>
          <t>T-MAX P3200 показывает, что высокая чувствительность может быть отдельным художественным инструментом: зерно, контраст и движение становятся частью языка.</t>
        </is>
      </c>
      <c r="H196" t="inlineStr">
        <is>
          <t>Фотохимия</t>
        </is>
      </c>
      <c r="I196" t="inlineStr">
        <is>
          <t>KODAK T-MAX P3200 / ultra-high speed film</t>
        </is>
      </c>
      <c r="J196" t="inlineStr">
        <is>
          <t>Высокая чувствительность даёт съёмку там, где медленная плёнка невозможна; фотограф платит за это активной фактурой и более сложной экспозицией.</t>
        </is>
      </c>
      <c r="K196" t="inlineStr">
        <is>
          <t>Мелкозернистая T-MAX 100</t>
        </is>
      </c>
      <c r="L196" t="inlineStr">
        <is>
          <t>Проявка и push-практика</t>
        </is>
      </c>
      <c r="M196" t="inlineStr">
        <is>
          <t>Главная линия / визуальный язык</t>
        </is>
      </c>
      <c r="N196" t="n">
        <v>4</v>
      </c>
      <c r="O196" t="inlineStr">
        <is>
          <t>PL-019</t>
        </is>
      </c>
      <c r="P196" t="inlineStr">
        <is>
          <t>SRC-160</t>
        </is>
      </c>
      <c r="Q196" t="inlineStr">
        <is>
          <t>Kodak Professional — T-MAX P3200 Technical Data</t>
        </is>
      </c>
      <c r="R196" t="inlineStr">
        <is>
          <t>https://www.kodakprofessional.com/sites/default/files/wysiwyg/pro/resources/f4001_tmax_3200_0.pdf</t>
        </is>
      </c>
      <c r="S196" t="n">
        <v>5</v>
      </c>
      <c r="T196" t="inlineStr">
        <is>
          <t>Не говорить «зерно — плохо»: для репортажа, сцены и ночи оно часто усиливает ощущение жизни.</t>
        </is>
      </c>
      <c r="U196" t="inlineStr">
        <is>
          <t>Ночной портрет, зернистая фактура, кассета T-MAX P3200 и свет вывески.</t>
        </is>
      </c>
      <c r="V196" t="inlineStr">
        <is>
          <t>#PL019 #TMAXP3200 #high-speed #grain #low-light</t>
        </is>
      </c>
      <c r="X196" t="inlineStr">
        <is>
          <t>43.1566, -77.6088</t>
        </is>
      </c>
      <c r="Y196" t="inlineStr">
        <is>
          <t>Зерно / высокая чувствительность</t>
        </is>
      </c>
      <c r="Z196" t="inlineStr">
        <is>
          <t>Применение / жанр</t>
        </is>
      </c>
    </row>
    <row r="197" ht="17" customHeight="1" s="72">
      <c r="A197" t="inlineStr">
        <is>
          <t>PL-HIST-0196</t>
        </is>
      </c>
      <c r="B197" t="inlineStr">
        <is>
          <t>XX–XXI век</t>
        </is>
      </c>
      <c r="C197" t="inlineStr">
        <is>
          <t>диапазон</t>
        </is>
      </c>
      <c r="D197" t="inlineStr">
        <is>
          <t>США / глобально</t>
        </is>
      </c>
      <c r="E197" t="inlineStr">
        <is>
          <t>Рочестер / цветная фотоплёнка</t>
        </is>
      </c>
      <c r="F197" t="inlineStr">
        <is>
          <t>Kodak / фотографы</t>
        </is>
      </c>
      <c r="G197" t="inlineStr">
        <is>
          <t>На цветной плёнке зернистость ощущается иначе: цветное изображение строится через слои и красители, а низкочувствительные плёнки вроде EKTAR 100 ориентированы на гладкость и насыщенный цвет.</t>
        </is>
      </c>
      <c r="H197" t="inlineStr">
        <is>
          <t>Цвет</t>
        </is>
      </c>
      <c r="I197" t="inlineStr">
        <is>
          <t>Color negative fine grain / dye image</t>
        </is>
      </c>
      <c r="J197" t="inlineStr">
        <is>
          <t>Зерно становится важным не только в ч/б, но и в цвете: оно влияет на сканы, печать, кожу, небо и большие увеличения.</t>
        </is>
      </c>
      <c r="K197" t="inlineStr">
        <is>
          <t>Чёрно-белое зерно как серебряная фактура</t>
        </is>
      </c>
      <c r="L197" t="inlineStr">
        <is>
          <t>Экспозиционная широта цветного негатива PL-020</t>
        </is>
      </c>
      <c r="M197" t="inlineStr">
        <is>
          <t>Главная линия / визуальный язык</t>
        </is>
      </c>
      <c r="N197" t="n">
        <v>4</v>
      </c>
      <c r="O197" t="inlineStr">
        <is>
          <t>PL-019</t>
        </is>
      </c>
      <c r="P197" t="inlineStr">
        <is>
          <t>SRC-161</t>
        </is>
      </c>
      <c r="Q197" t="inlineStr">
        <is>
          <t>Kodak — EKTAR 100 Film</t>
        </is>
      </c>
      <c r="R197" t="inlineStr">
        <is>
          <t>https://www.kodak.com/en/still-film/product/professional/ektar-100-film/</t>
        </is>
      </c>
      <c r="S197" t="n">
        <v>5</v>
      </c>
      <c r="T197" t="inlineStr">
        <is>
          <t>Связать с печатью: гладкое цветное зерно важно для больших интерьерных отпечатков.</t>
        </is>
      </c>
      <c r="U197" t="inlineStr">
        <is>
          <t>Крупный отпечаток цветного пейзажа, коробка EKTAR 100, лупа на участке неба.</t>
        </is>
      </c>
      <c r="V197" t="inlineStr">
        <is>
          <t>#PL019 #Ektar100 #color-negative #fine-grain #print</t>
        </is>
      </c>
      <c r="X197" t="inlineStr">
        <is>
          <t>43.1566, -77.6088</t>
        </is>
      </c>
      <c r="Y197" t="inlineStr">
        <is>
          <t>Зерно / цветная плёнка</t>
        </is>
      </c>
      <c r="Z197" t="inlineStr">
        <is>
          <t>Применение / жанр</t>
        </is>
      </c>
    </row>
    <row r="198" ht="17" customHeight="1" s="72">
      <c r="A198" t="inlineStr">
        <is>
          <t>PL-HIST-0197</t>
        </is>
      </c>
      <c r="B198" t="inlineStr">
        <is>
          <t>XX–XXI век</t>
        </is>
      </c>
      <c r="C198" t="inlineStr">
        <is>
          <t>диапазон</t>
        </is>
      </c>
      <c r="D198" t="inlineStr">
        <is>
          <t>Великобритания / глобально</t>
        </is>
      </c>
      <c r="E198" t="inlineStr">
        <is>
          <t>лаборатории и сканирование</t>
        </is>
      </c>
      <c r="F198" t="inlineStr">
        <is>
          <t>ILFORD PHOTO / лаборатории / фотографы</t>
        </is>
      </c>
      <c r="G198" t="inlineStr">
        <is>
          <t>Проявитель и сканирование меняют вид зерна: одни проявители уменьшают зернистость, а резкое цифровое шарпление может сделать зерно заметнее.</t>
        </is>
      </c>
      <c r="H198" t="inlineStr">
        <is>
          <t>Фотохимия</t>
        </is>
      </c>
      <c r="I198" t="inlineStr">
        <is>
          <t>Developer choice and scanning grain</t>
        </is>
      </c>
      <c r="J198" t="inlineStr">
        <is>
          <t>Фотограф понимает, что зерно формируется не только в камере: проявка, сканер, резкость и печать тоже влияют на итоговую фактуру.</t>
        </is>
      </c>
      <c r="K198" t="inlineStr">
        <is>
          <t>Выбор плёнки по зерну</t>
        </is>
      </c>
      <c r="L198" t="inlineStr">
        <is>
          <t>Экспозиционная широта и обработка PL-020</t>
        </is>
      </c>
      <c r="M198" t="inlineStr">
        <is>
          <t>Главная линия / практическое управление</t>
        </is>
      </c>
      <c r="N198" t="n">
        <v>5</v>
      </c>
      <c r="O198" t="inlineStr">
        <is>
          <t>PL-019</t>
        </is>
      </c>
      <c r="P198" t="inlineStr">
        <is>
          <t>SRC-156</t>
        </is>
      </c>
      <c r="Q198" t="inlineStr">
        <is>
          <t>ILFORD — Introduction to ILFORD Film Developers</t>
        </is>
      </c>
      <c r="R198" t="inlineStr">
        <is>
          <t>https://www.ilfordphoto.com/beginners-guide-film-developers/?___from_store=ilford_uk</t>
        </is>
      </c>
      <c r="S198" t="n">
        <v>5</v>
      </c>
      <c r="T198" t="inlineStr">
        <is>
          <t>Финальная мысль: зерно — это цепочка «плёнка + экспозиция + проявка + скан/печать».</t>
        </is>
      </c>
      <c r="U198" t="inlineStr">
        <is>
          <t>Один негатив и три варианта скана/печати: мягко, резко, зернисто; рядом проявочные бутылки.</t>
        </is>
      </c>
      <c r="V198" t="inlineStr">
        <is>
          <t>#PL019 #developer #scanning #grain #print</t>
        </is>
      </c>
      <c r="W198" t="inlineStr">
        <is>
          <t>Добавить при необходимости отдельный источник по цифровому шуму, чтобы точно развести noise и grain.</t>
        </is>
      </c>
      <c r="X198" t="inlineStr">
        <is>
          <t>53.3160, -2.3180</t>
        </is>
      </c>
      <c r="Y198" t="inlineStr">
        <is>
          <t>Зерно / проявка и сканирование</t>
        </is>
      </c>
      <c r="Z198" t="inlineStr">
        <is>
          <t>Технология / процесс</t>
        </is>
      </c>
    </row>
    <row r="199" ht="17" customHeight="1" s="72">
      <c r="A199" t="inlineStr">
        <is>
          <t>PL-HIST-0198</t>
        </is>
      </c>
      <c r="B199" t="inlineStr">
        <is>
          <t>XX век</t>
        </is>
      </c>
      <c r="C199" t="inlineStr">
        <is>
          <t>диапазон</t>
        </is>
      </c>
      <c r="D199" t="inlineStr">
        <is>
          <t>США</t>
        </is>
      </c>
      <c r="E199" t="inlineStr">
        <is>
          <t>Рочестер, Нью-Йорк</t>
        </is>
      </c>
      <c r="F199" t="inlineStr">
        <is>
          <t>Eastman Kodak Company / сенситометрия</t>
        </is>
      </c>
      <c r="G199" t="inlineStr">
        <is>
          <t>Экспозиционную широту можно объяснить через характеристическую кривую: плёнка записывает свет не бесконечно, а в пределах полезного диапазона.</t>
        </is>
      </c>
      <c r="H199" t="inlineStr">
        <is>
          <t>Фотохимия</t>
        </is>
      </c>
      <c r="I199" t="inlineStr">
        <is>
          <t>Exposure latitude / characteristic curve</t>
        </is>
      </c>
      <c r="J199" t="inlineStr">
        <is>
          <t>Фотограф начинает видеть экспозицию как диапазон допуска: часть ошибок материал выдерживает, часть уже теряет тени или света.</t>
        </is>
      </c>
      <c r="K199" t="inlineStr">
        <is>
          <t>ISO плёнки PL-018 и зерно PL-019</t>
        </is>
      </c>
      <c r="L199" t="inlineStr">
        <is>
          <t>Тень, средние тона и света на кривой плёнки</t>
        </is>
      </c>
      <c r="M199" t="inlineStr">
        <is>
          <t>Главная линия</t>
        </is>
      </c>
      <c r="N199" t="n">
        <v>5</v>
      </c>
      <c r="O199" t="inlineStr">
        <is>
          <t>PL-020</t>
        </is>
      </c>
      <c r="P199" t="inlineStr">
        <is>
          <t>SRC-162</t>
        </is>
      </c>
      <c r="Q199" t="inlineStr">
        <is>
          <t>Kodak — Basic Photographic Sensitometry Workbook</t>
        </is>
      </c>
      <c r="R199" t="inlineStr">
        <is>
          <t>https://www.kodak.com/content/products-brochures/Film/Basic-Photographic-Sensitometry-Workbook.pdf</t>
        </is>
      </c>
      <c r="S199" t="n">
        <v>5</v>
      </c>
      <c r="T199" t="inlineStr">
        <is>
          <t>Флагман урока: широта — это не «сколько можно ошибаться», а сколько света плёнка способна перевести в полезный тон.</t>
        </is>
      </c>
      <c r="U199" t="inlineStr">
        <is>
          <t>Простая H-D кривая: toe, straight line, shoulder; рядом один негатив с тенями и светами.</t>
        </is>
      </c>
      <c r="V199" t="inlineStr">
        <is>
          <t>#PL020 #exposure-latitude #sensitometry #characteristic-curve #film</t>
        </is>
      </c>
      <c r="W199" t="inlineStr">
        <is>
          <t>Объяснить без математической перегрузки: кривая нужна как образ, не как полноценная сенситометрическая лекция.</t>
        </is>
      </c>
      <c r="X199" t="inlineStr">
        <is>
          <t>43.1566, -77.6088</t>
        </is>
      </c>
      <c r="Y199" t="inlineStr">
        <is>
          <t>Экспозиционная широта / характеристическая кривая</t>
        </is>
      </c>
      <c r="Z199" t="inlineStr">
        <is>
          <t>Ключевой исторический узел</t>
        </is>
      </c>
      <c r="AA199" t="inlineStr">
        <is>
          <t>да</t>
        </is>
      </c>
    </row>
    <row r="200" ht="17" customHeight="1" s="72">
      <c r="A200" t="inlineStr">
        <is>
          <t>PL-HIST-0199</t>
        </is>
      </c>
      <c r="B200" t="inlineStr">
        <is>
          <t>XX век</t>
        </is>
      </c>
      <c r="C200" t="inlineStr">
        <is>
          <t>диапазон</t>
        </is>
      </c>
      <c r="D200" t="inlineStr">
        <is>
          <t>США</t>
        </is>
      </c>
      <c r="E200" t="inlineStr">
        <is>
          <t>Рочестер, Нью-Йорк</t>
        </is>
      </c>
      <c r="F200" t="inlineStr">
        <is>
          <t>Eastman Kodak Company</t>
        </is>
      </c>
      <c r="G200" t="inlineStr">
        <is>
          <t>Характеристическая кривая делится на три зоны: toe, straight-line и shoulder — тени, рабочие средние тона и область перегруза светов.</t>
        </is>
      </c>
      <c r="H200" t="inlineStr">
        <is>
          <t>Фотохимия</t>
        </is>
      </c>
      <c r="I200" t="inlineStr">
        <is>
          <t>Toe / straight line / shoulder</t>
        </is>
      </c>
      <c r="J200" t="inlineStr">
        <is>
          <t>Появляется простой язык для ошибок экспозиции: недодержка проваливается в toe, нормальная экспозиция живёт на прямом участке, передержка упирается в shoulder.</t>
        </is>
      </c>
      <c r="K200" t="inlineStr">
        <is>
          <t>Широта как общий диапазон</t>
        </is>
      </c>
      <c r="L200" t="inlineStr">
        <is>
          <t>Потеря теней и светов</t>
        </is>
      </c>
      <c r="M200" t="inlineStr">
        <is>
          <t>Главная линия</t>
        </is>
      </c>
      <c r="N200" t="n">
        <v>5</v>
      </c>
      <c r="O200" t="inlineStr">
        <is>
          <t>PL-020</t>
        </is>
      </c>
      <c r="P200" t="inlineStr">
        <is>
          <t>SRC-162</t>
        </is>
      </c>
      <c r="Q200" t="inlineStr">
        <is>
          <t>Kodak — Basic Photographic Sensitometry Workbook</t>
        </is>
      </c>
      <c r="R200" t="inlineStr">
        <is>
          <t>https://www.kodak.com/content/products-brochures/Film/Basic-Photographic-Sensitometry-Workbook.pdf</t>
        </is>
      </c>
      <c r="S200" t="n">
        <v>5</v>
      </c>
      <c r="T200" t="inlineStr">
        <is>
          <t>Хорошо показать на одной карточке: слева темный кадр, центр нормальный, справа передержка.</t>
        </is>
      </c>
      <c r="U200" t="inlineStr">
        <is>
          <t>Три фрагмента негатива на одной кривой: тени, середина, света.</t>
        </is>
      </c>
      <c r="V200" t="inlineStr">
        <is>
          <t>#PL020 #toe #shoulder #curve #exposure</t>
        </is>
      </c>
      <c r="X200" t="inlineStr">
        <is>
          <t>43.1566, -77.6088</t>
        </is>
      </c>
      <c r="Y200" t="inlineStr">
        <is>
          <t>Экспозиционная широта / toe-straight-shoulder</t>
        </is>
      </c>
      <c r="Z200" t="inlineStr">
        <is>
          <t>Терминология / язык</t>
        </is>
      </c>
    </row>
    <row r="201" ht="17" customHeight="1" s="72">
      <c r="A201" t="inlineStr">
        <is>
          <t>PL-HIST-0200</t>
        </is>
      </c>
      <c r="B201" t="inlineStr">
        <is>
          <t>XX век</t>
        </is>
      </c>
      <c r="C201" t="inlineStr">
        <is>
          <t>диапазон</t>
        </is>
      </c>
      <c r="D201" t="inlineStr">
        <is>
          <t>США</t>
        </is>
      </c>
      <c r="E201" t="inlineStr">
        <is>
          <t>Рочестер, Нью-Йорк</t>
        </is>
      </c>
      <c r="F201" t="inlineStr">
        <is>
          <t>Eastman Kodak Company</t>
        </is>
      </c>
      <c r="G201" t="inlineStr">
        <is>
          <t>Toe кривой объясняет, почему тени боятся недодержки: если света слишком мало, детали в тенях уже нечем проявить или вытянуть без грубой потери качества.</t>
        </is>
      </c>
      <c r="H201" t="inlineStr">
        <is>
          <t>Фотохимия</t>
        </is>
      </c>
      <c r="I201" t="inlineStr">
        <is>
          <t>Underexposure latitude / shadow detail</t>
        </is>
      </c>
      <c r="J201" t="inlineStr">
        <is>
          <t>Новичок понимает практическое правило плёнки: недостаток света опасен для теней, особенно если сюжет важен в тёмных областях.</t>
        </is>
      </c>
      <c r="K201" t="inlineStr">
        <is>
          <t>Характеристическая кривая</t>
        </is>
      </c>
      <c r="L201" t="inlineStr">
        <is>
          <t>Нормальная экспозиция по серой карте</t>
        </is>
      </c>
      <c r="M201" t="inlineStr">
        <is>
          <t>Главная линия / практическое управление</t>
        </is>
      </c>
      <c r="N201" t="n">
        <v>5</v>
      </c>
      <c r="O201" t="inlineStr">
        <is>
          <t>PL-020</t>
        </is>
      </c>
      <c r="P201" t="inlineStr">
        <is>
          <t>SRC-158</t>
        </is>
      </c>
      <c r="Q201" t="inlineStr">
        <is>
          <t>Kodak — Glossary of Motion Picture Terms</t>
        </is>
      </c>
      <c r="R201" t="inlineStr">
        <is>
          <t>https://www.kodak.com/en/motion/page/glossary-of-motion-picture-terms/</t>
        </is>
      </c>
      <c r="S201" t="n">
        <v>5</v>
      </c>
      <c r="T201" t="inlineStr">
        <is>
          <t>Формула для урока: недодержка убивает информацию в тенях, а не просто делает кадр «темнее».</t>
        </is>
      </c>
      <c r="U201" t="inlineStr">
        <is>
          <t>Один негатив с прозрачными тенями и рядом увеличенный участок без деталей.</t>
        </is>
      </c>
      <c r="V201" t="inlineStr">
        <is>
          <t>#PL020 #underexposure #shadows #toe #latitude</t>
        </is>
      </c>
      <c r="X201" t="inlineStr">
        <is>
          <t>43.1566, -77.6088</t>
        </is>
      </c>
      <c r="Y201" t="inlineStr">
        <is>
          <t>Экспозиционная широта / недодержка и тени</t>
        </is>
      </c>
      <c r="Z201" t="inlineStr">
        <is>
          <t>Применение / жанр</t>
        </is>
      </c>
    </row>
    <row r="202" ht="17" customHeight="1" s="72">
      <c r="A202" t="inlineStr">
        <is>
          <t>PL-HIST-0201</t>
        </is>
      </c>
      <c r="B202" t="inlineStr">
        <is>
          <t>XX век</t>
        </is>
      </c>
      <c r="C202" t="inlineStr">
        <is>
          <t>диапазон</t>
        </is>
      </c>
      <c r="D202" t="inlineStr">
        <is>
          <t>США</t>
        </is>
      </c>
      <c r="E202" t="inlineStr">
        <is>
          <t>Рочестер, Нью-Йорк</t>
        </is>
      </c>
      <c r="F202" t="inlineStr">
        <is>
          <t>Eastman Kodak Company</t>
        </is>
      </c>
      <c r="G202" t="inlineStr">
        <is>
          <t>Shoulder и D-Max показывают предел плотности: после некоторого уровня дополнительный свет уже не даёт пропорционального роста деталей.</t>
        </is>
      </c>
      <c r="H202" t="inlineStr">
        <is>
          <t>Фотохимия</t>
        </is>
      </c>
      <c r="I202" t="inlineStr">
        <is>
          <t>Overexposure / shoulder / D-Max</t>
        </is>
      </c>
      <c r="J202" t="inlineStr">
        <is>
          <t>Фотограф понимает, что передержка меняет света и контраст: иногда плёнка терпит её мягко, а иногда важные светлые детали сжимаются.</t>
        </is>
      </c>
      <c r="K202" t="inlineStr">
        <is>
          <t>Toe и тени</t>
        </is>
      </c>
      <c r="L202" t="inlineStr">
        <is>
          <t>Сравнение негатива и слайда</t>
        </is>
      </c>
      <c r="M202" t="inlineStr">
        <is>
          <t>Главная линия / практическое управление</t>
        </is>
      </c>
      <c r="N202" t="n">
        <v>5</v>
      </c>
      <c r="O202" t="inlineStr">
        <is>
          <t>PL-020</t>
        </is>
      </c>
      <c r="P202" t="inlineStr">
        <is>
          <t>SRC-158</t>
        </is>
      </c>
      <c r="Q202" t="inlineStr">
        <is>
          <t>Kodak — Glossary of Motion Picture Terms</t>
        </is>
      </c>
      <c r="R202" t="inlineStr">
        <is>
          <t>https://www.kodak.com/en/motion/page/glossary-of-motion-picture-terms/</t>
        </is>
      </c>
      <c r="S202" t="n">
        <v>5</v>
      </c>
      <c r="T202" t="inlineStr">
        <is>
          <t>Сделать аккуратно: у негатива передержка часто терпимее, но она всё равно меняет тональность и печать/скан.</t>
        </is>
      </c>
      <c r="U202" t="inlineStr">
        <is>
          <t>Светлая сцена: белое платье или облака; рядом плотный негатив и участок кривой shoulder.</t>
        </is>
      </c>
      <c r="V202" t="inlineStr">
        <is>
          <t>#PL020 #overexposure #highlights #shoulder #Dmax</t>
        </is>
      </c>
      <c r="X202" t="inlineStr">
        <is>
          <t>43.1566, -77.6088</t>
        </is>
      </c>
      <c r="Y202" t="inlineStr">
        <is>
          <t>Экспозиционная широта / передержка и света</t>
        </is>
      </c>
      <c r="Z202" t="inlineStr">
        <is>
          <t>Применение / жанр</t>
        </is>
      </c>
    </row>
    <row r="203" ht="17" customHeight="1" s="72">
      <c r="A203" t="inlineStr">
        <is>
          <t>PL-HIST-0202</t>
        </is>
      </c>
      <c r="B203" t="inlineStr">
        <is>
          <t>XX–XXI век</t>
        </is>
      </c>
      <c r="C203" t="inlineStr">
        <is>
          <t>диапазон</t>
        </is>
      </c>
      <c r="D203" t="inlineStr">
        <is>
          <t>США / глобально</t>
        </is>
      </c>
      <c r="E203" t="inlineStr">
        <is>
          <t>Рочестер / современные фотографы</t>
        </is>
      </c>
      <c r="F203" t="inlineStr">
        <is>
          <t>Kodak Professional / фотографы</t>
        </is>
      </c>
      <c r="G203" t="inlineStr">
        <is>
          <t>Слайдовая плёнка показывает узкую экспозиционную широту: цветной позитив на самой плёнке почти не прощает ошибки, особенно в светах.</t>
        </is>
      </c>
      <c r="H203" t="inlineStr">
        <is>
          <t>Цвет</t>
        </is>
      </c>
      <c r="I203" t="inlineStr">
        <is>
          <t>Color reversal narrow exposure range</t>
        </is>
      </c>
      <c r="J203" t="inlineStr">
        <is>
          <t>Становится понятно, почему со слайдом экспонометрия строже: ошибка видна сразу на оригинальной прозрачности.</t>
        </is>
      </c>
      <c r="K203" t="inlineStr">
        <is>
          <t>Слайдовая плёнка PL-017</t>
        </is>
      </c>
      <c r="L203" t="inlineStr">
        <is>
          <t>Цветной негатив как более гибкий материал</t>
        </is>
      </c>
      <c r="M203" t="inlineStr">
        <is>
          <t>Главная линия / практическое управление</t>
        </is>
      </c>
      <c r="N203" t="n">
        <v>5</v>
      </c>
      <c r="O203" t="inlineStr">
        <is>
          <t>PL-020</t>
        </is>
      </c>
      <c r="P203" t="inlineStr">
        <is>
          <t>SRC-163</t>
        </is>
      </c>
      <c r="Q203" t="inlineStr">
        <is>
          <t>Kodak Professional — EKTACHROME E100 FAQs 2024</t>
        </is>
      </c>
      <c r="R203" t="inlineStr">
        <is>
          <t>https://www.kodakprofessional.com/sites/default/files/wysiwyg/E100%20FAQs%20PDF%202024.pdf</t>
        </is>
      </c>
      <c r="S203" t="n">
        <v>5</v>
      </c>
      <c r="T203" t="inlineStr">
        <is>
          <t>Идеальная связка: слайд учит дисциплине экспозиции, негатив учит гибкости.</t>
        </is>
      </c>
      <c r="U203" t="inlineStr">
        <is>
          <t>Проектор и два слайда: один точный, второй с выбитыми светами.</t>
        </is>
      </c>
      <c r="V203" t="inlineStr">
        <is>
          <t>#PL020 #slide-film #Ektachrome #latitude #exposure</t>
        </is>
      </c>
      <c r="X203" t="inlineStr">
        <is>
          <t>43.1566, -77.6088</t>
        </is>
      </c>
      <c r="Y203" t="inlineStr">
        <is>
          <t>Экспозиционная широта / слайдовая плёнка</t>
        </is>
      </c>
      <c r="Z203" t="inlineStr">
        <is>
          <t>Применение / жанр</t>
        </is>
      </c>
    </row>
    <row r="204" ht="17" customHeight="1" s="72">
      <c r="A204" t="inlineStr">
        <is>
          <t>PL-HIST-0203</t>
        </is>
      </c>
      <c r="B204" t="inlineStr">
        <is>
          <t>XX–XXI век</t>
        </is>
      </c>
      <c r="C204" t="inlineStr">
        <is>
          <t>диапазон</t>
        </is>
      </c>
      <c r="D204" t="inlineStr">
        <is>
          <t>США / глобально</t>
        </is>
      </c>
      <c r="E204" t="inlineStr">
        <is>
          <t>Рочестер / фотолаборатории</t>
        </is>
      </c>
      <c r="F204" t="inlineStr">
        <is>
          <t>Kodak / фотографы</t>
        </is>
      </c>
      <c r="G204" t="inlineStr">
        <is>
          <t>Цветной негатив закрепляется как материал с большой практической гибкостью: он лучше переносит вариации экспозиции и рассчитан на последующую печать или сканирование.</t>
        </is>
      </c>
      <c r="H204" t="inlineStr">
        <is>
          <t>Цвет</t>
        </is>
      </c>
      <c r="I204" t="inlineStr">
        <is>
          <t>Color negative exposure latitude</t>
        </is>
      </c>
      <c r="J204" t="inlineStr">
        <is>
          <t>Цветной негатив становится удобным для повседневной фотографии: он допускает несовершенный свет, быстрые решения и лабораторную интерпретацию.</t>
        </is>
      </c>
      <c r="K204" t="inlineStr">
        <is>
          <t>Слайдовая узкая широта</t>
        </is>
      </c>
      <c r="L204" t="inlineStr">
        <is>
          <t>Практика экспонирования «по теням» и сканирования</t>
        </is>
      </c>
      <c r="M204" t="inlineStr">
        <is>
          <t>Главная линия / практическое управление</t>
        </is>
      </c>
      <c r="N204" t="n">
        <v>5</v>
      </c>
      <c r="O204" t="inlineStr">
        <is>
          <t>PL-020</t>
        </is>
      </c>
      <c r="P204" t="inlineStr">
        <is>
          <t>SRC-164</t>
        </is>
      </c>
      <c r="Q204" t="inlineStr">
        <is>
          <t>Kodak — EKTACOLOR PRO 400 Film</t>
        </is>
      </c>
      <c r="R204" t="inlineStr">
        <is>
          <t>https://www.kodak.com/en/still-film/product/professional/ektacolor/ektacolor-pro-400-film/</t>
        </is>
      </c>
      <c r="S204" t="n">
        <v>5</v>
      </c>
      <c r="T204" t="inlineStr">
        <is>
          <t>Подчеркнуть отличие: негатив не «лучше» слайда, просто у него другая задача и другой допуск.</t>
        </is>
      </c>
      <c r="U204" t="inlineStr">
        <is>
          <t>Цветной негатив, контактный лист и сканер; рядом шкала -2/-1/0/+1/+2.</t>
        </is>
      </c>
      <c r="V204" t="inlineStr">
        <is>
          <t>#PL020 #color-negative #latitude #C41 #scanning</t>
        </is>
      </c>
      <c r="X204" t="inlineStr">
        <is>
          <t>43.1566, -77.6088</t>
        </is>
      </c>
      <c r="Y204" t="inlineStr">
        <is>
          <t>Экспозиционная широта / цветной негатив</t>
        </is>
      </c>
      <c r="Z204" t="inlineStr">
        <is>
          <t>Применение / жанр</t>
        </is>
      </c>
    </row>
    <row r="205" ht="17" customHeight="1" s="72">
      <c r="A205" t="inlineStr">
        <is>
          <t>PL-HIST-0204</t>
        </is>
      </c>
      <c r="B205" t="inlineStr">
        <is>
          <t>XX–XXI век</t>
        </is>
      </c>
      <c r="C205" t="inlineStr">
        <is>
          <t>диапазон</t>
        </is>
      </c>
      <c r="D205" t="inlineStr">
        <is>
          <t>Великобритания / глобально</t>
        </is>
      </c>
      <c r="E205" t="inlineStr">
        <is>
          <t>Мобберли, Чешир</t>
        </is>
      </c>
      <c r="F205" t="inlineStr">
        <is>
          <t>ILFORD PHOTO / фотографы</t>
        </is>
      </c>
      <c r="G205" t="inlineStr">
        <is>
          <t>HP5 PLUS показывает, что чёрно-белая негативная плёнка может иметь широкую экспозиционную широту и оставаться полезной для новичков, репортажа и сложного света.</t>
        </is>
      </c>
      <c r="H205" t="inlineStr">
        <is>
          <t>Негатив-позитив</t>
        </is>
      </c>
      <c r="I205" t="inlineStr">
        <is>
          <t>B&amp;W negative exposure latitude</t>
        </is>
      </c>
      <c r="J205" t="inlineStr">
        <is>
          <t>Чёрно-белый негатив становится тренировочным материалом: он позволяет ошибаться, анализировать и учиться видеть свет без цвета.</t>
        </is>
      </c>
      <c r="K205" t="inlineStr">
        <is>
          <t>Чёрно-белая плёнка PL-015</t>
        </is>
      </c>
      <c r="L205" t="inlineStr">
        <is>
          <t>FP4 PLUS и push/pull-практика</t>
        </is>
      </c>
      <c r="M205" t="inlineStr">
        <is>
          <t>Главная линия / практическое управление</t>
        </is>
      </c>
      <c r="N205" t="n">
        <v>5</v>
      </c>
      <c r="O205" t="inlineStr">
        <is>
          <t>PL-020</t>
        </is>
      </c>
      <c r="P205" t="inlineStr">
        <is>
          <t>SRC-149</t>
        </is>
      </c>
      <c r="Q205" t="inlineStr">
        <is>
          <t>ILFORD — HP5 PLUS 35mm</t>
        </is>
      </c>
      <c r="R205" t="inlineStr">
        <is>
          <t>https://www.ilfordphoto.com/hp5-plus-35mm?___from_store=ilford_uk&amp;___store=ilford_brochure</t>
        </is>
      </c>
      <c r="S205" t="n">
        <v>5</v>
      </c>
      <c r="T205" t="inlineStr">
        <is>
          <t>Связать с новичками: HP5/ISO 400 хорош как учебная плёнка именно из-за терпимости и универсальности.</t>
        </is>
      </c>
      <c r="U205" t="inlineStr">
        <is>
          <t>Одна сцена в окне: три негатива HP5 с разной экспозицией и один итоговый отпечаток.</t>
        </is>
      </c>
      <c r="V205" t="inlineStr">
        <is>
          <t>#PL020 #HP5 #black-and-white #latitude #learning</t>
        </is>
      </c>
      <c r="X205" t="inlineStr">
        <is>
          <t>53.3160, -2.3180</t>
        </is>
      </c>
      <c r="Y205" t="inlineStr">
        <is>
          <t>Экспозиционная широта / чёрно-белый негатив</t>
        </is>
      </c>
      <c r="Z205" t="inlineStr">
        <is>
          <t>Применение / жанр</t>
        </is>
      </c>
    </row>
    <row r="206" ht="17" customHeight="1" s="72">
      <c r="A206" t="inlineStr">
        <is>
          <t>PL-HIST-0205</t>
        </is>
      </c>
      <c r="B206" t="inlineStr">
        <is>
          <t>XX–XXI век</t>
        </is>
      </c>
      <c r="C206" t="inlineStr">
        <is>
          <t>диапазон</t>
        </is>
      </c>
      <c r="D206" t="inlineStr">
        <is>
          <t>Великобритания / глобально</t>
        </is>
      </c>
      <c r="E206" t="inlineStr">
        <is>
          <t>Мобберли, Чешир</t>
        </is>
      </c>
      <c r="F206" t="inlineStr">
        <is>
          <t>ILFORD PHOTO / фотографы</t>
        </is>
      </c>
      <c r="G206" t="inlineStr">
        <is>
          <t>FP4 PLUS показывает более спокойную сторону широты: средняя чувствительность ISO 125, очень мелкое зерно и возможность работать выше или ниже номинала при соответствующей обработке.</t>
        </is>
      </c>
      <c r="H206" t="inlineStr">
        <is>
          <t>Негатив-позитив</t>
        </is>
      </c>
      <c r="I206" t="inlineStr">
        <is>
          <t>Exposure latitude around ISO 125</t>
        </is>
      </c>
      <c r="J206" t="inlineStr">
        <is>
          <t>Широта становится не только спасением ошибки, но и способом управлять контрастом, зерном и тональной пластикой.</t>
        </is>
      </c>
      <c r="K206" t="inlineStr">
        <is>
          <t>HP5 как универсальная плёнка</t>
        </is>
      </c>
      <c r="L206" t="inlineStr">
        <is>
          <t>Push/pull как осознанная обработка</t>
        </is>
      </c>
      <c r="M206" t="inlineStr">
        <is>
          <t>Главная линия / практическое управление</t>
        </is>
      </c>
      <c r="N206" t="n">
        <v>4</v>
      </c>
      <c r="O206" t="inlineStr">
        <is>
          <t>PL-020</t>
        </is>
      </c>
      <c r="P206" t="inlineStr">
        <is>
          <t>SRC-155</t>
        </is>
      </c>
      <c r="Q206" t="inlineStr">
        <is>
          <t>ILFORD — FP4 PLUS Sheet Film</t>
        </is>
      </c>
      <c r="R206" t="inlineStr">
        <is>
          <t>https://www.ilfordphoto.com/fp4-plus-sheet-film?___from_store=ilford_uk&amp;___store=ilford_brochure</t>
        </is>
      </c>
      <c r="S206" t="n">
        <v>5</v>
      </c>
      <c r="T206" t="inlineStr">
        <is>
          <t>Показать, что даже низко/среднечувствительная плёнка не обязательно «хрупкая», но требует понимания света.</t>
        </is>
      </c>
      <c r="U206" t="inlineStr">
        <is>
          <t>FP4 PLUS, серый клин и таблица экспозиции с аккуратными отметками -1/0/+1.</t>
        </is>
      </c>
      <c r="V206" t="inlineStr">
        <is>
          <t>#PL020 #FP4 #ISO125 #latitude #tone</t>
        </is>
      </c>
      <c r="X206" t="inlineStr">
        <is>
          <t>53.3160, -2.3180</t>
        </is>
      </c>
      <c r="Y206" t="inlineStr">
        <is>
          <t>Экспозиционная широта / средняя чувствительность</t>
        </is>
      </c>
      <c r="Z206" t="inlineStr">
        <is>
          <t>Технология / процесс</t>
        </is>
      </c>
    </row>
    <row r="207" ht="17" customHeight="1" s="72">
      <c r="A207" t="inlineStr">
        <is>
          <t>PL-HIST-0206</t>
        </is>
      </c>
      <c r="B207" t="inlineStr">
        <is>
          <t>XX–XXI век</t>
        </is>
      </c>
      <c r="C207" t="inlineStr">
        <is>
          <t>диапазон</t>
        </is>
      </c>
      <c r="D207" t="inlineStr">
        <is>
          <t>США / глобально</t>
        </is>
      </c>
      <c r="E207" t="inlineStr">
        <is>
          <t>лаборатории</t>
        </is>
      </c>
      <c r="F207" t="inlineStr">
        <is>
          <t>Kodak / лаборатории / фотографы</t>
        </is>
      </c>
      <c r="G207" t="inlineStr">
        <is>
          <t>Push/pull processing показывает, что широта связана с обработкой: нестандартную экспозицию можно частично компенсировать изменением процесса.</t>
        </is>
      </c>
      <c r="H207" t="inlineStr">
        <is>
          <t>Фотохимия</t>
        </is>
      </c>
      <c r="I207" t="inlineStr">
        <is>
          <t>Push/Pull as exposure compensation</t>
        </is>
      </c>
      <c r="J207" t="inlineStr">
        <is>
          <t>Плёнка становится управляемой системой: результат зависит не только от того, сколько света попало, но и от того, как негатив проявили.</t>
        </is>
      </c>
      <c r="K207" t="inlineStr">
        <is>
          <t>ISO и EI PL-018</t>
        </is>
      </c>
      <c r="L207" t="inlineStr">
        <is>
          <t>Проявка, сканирование и печать PL-081–PL-090</t>
        </is>
      </c>
      <c r="M207" t="inlineStr">
        <is>
          <t>Главная линия / практическое управление</t>
        </is>
      </c>
      <c r="N207" t="n">
        <v>5</v>
      </c>
      <c r="O207" t="inlineStr">
        <is>
          <t>PL-020</t>
        </is>
      </c>
      <c r="P207" t="inlineStr">
        <is>
          <t>SRC-151</t>
        </is>
      </c>
      <c r="Q207" t="inlineStr">
        <is>
          <t>Kodak — Push / Pull Film Processing</t>
        </is>
      </c>
      <c r="R207" t="inlineStr">
        <is>
          <t>https://www.kodak.com/en/motion/page/push-pull-processing/</t>
        </is>
      </c>
      <c r="S207" t="n">
        <v>5</v>
      </c>
      <c r="T207" t="inlineStr">
        <is>
          <t>Сказать честно: push/pull не возвращает чудесно потерянную информацию, но помогает получить рабочий результат и нужный контраст.</t>
        </is>
      </c>
      <c r="U207" t="inlineStr">
        <is>
          <t>Проявочный бак, карточки push +1 / pull -1 и три полоски негатива разной плотности.</t>
        </is>
      </c>
      <c r="V207" t="inlineStr">
        <is>
          <t>#PL020 #push-pull #processing #latitude #EI</t>
        </is>
      </c>
      <c r="W207" t="inlineStr">
        <is>
          <t>Не обещать полное спасение сильно ошибочной экспозиции; диапазон зависит от плёнки, сцены и лаборатории.</t>
        </is>
      </c>
      <c r="X207" t="inlineStr">
        <is>
          <t>43.1566, -77.6088</t>
        </is>
      </c>
      <c r="Y207" t="inlineStr">
        <is>
          <t>Экспозиционная широта / push-pull</t>
        </is>
      </c>
      <c r="Z207" t="inlineStr">
        <is>
          <t>Технология / процесс</t>
        </is>
      </c>
    </row>
    <row r="208" ht="17" customHeight="1" s="72">
      <c r="A208" t="inlineStr">
        <is>
          <t>PL-HIST-0207</t>
        </is>
      </c>
      <c r="B208" t="inlineStr">
        <is>
          <t>XX–XXI век</t>
        </is>
      </c>
      <c r="C208" t="inlineStr">
        <is>
          <t>диапазон</t>
        </is>
      </c>
      <c r="D208" t="inlineStr">
        <is>
          <t>США / глобально</t>
        </is>
      </c>
      <c r="E208" t="inlineStr">
        <is>
          <t>съёмочная площадка / фотостудия</t>
        </is>
      </c>
      <c r="F208" t="inlineStr">
        <is>
          <t>Kodak / операторы / фотографы</t>
        </is>
      </c>
      <c r="G208" t="inlineStr">
        <is>
          <t>Серая карта и нормальная экспозиция помогают получить full-range negative: негатив, в котором есть опорная точка для последующей печати, сканирования или грейдинга.</t>
        </is>
      </c>
      <c r="H208" t="inlineStr">
        <is>
          <t>Фотохимия</t>
        </is>
      </c>
      <c r="I208" t="inlineStr">
        <is>
          <t>Gray card / normal exposure / full-range negative</t>
        </is>
      </c>
      <c r="J208" t="inlineStr">
        <is>
          <t>Широта не отменяет дисциплину: правильная опорная экспозиция даёт больше свободы после съёмки, чем случайное угадывание.</t>
        </is>
      </c>
      <c r="K208" t="inlineStr">
        <is>
          <t>Push/pull и обработка</t>
        </is>
      </c>
      <c r="L208" t="inlineStr">
        <is>
          <t>Модуль экспонометра PL-049</t>
        </is>
      </c>
      <c r="M208" t="inlineStr">
        <is>
          <t>Связь / переход</t>
        </is>
      </c>
      <c r="N208" t="n">
        <v>4</v>
      </c>
      <c r="O208" t="inlineStr">
        <is>
          <t>PL-020</t>
        </is>
      </c>
      <c r="P208" t="inlineStr">
        <is>
          <t>SRC-165</t>
        </is>
      </c>
      <c r="Q208" t="inlineStr">
        <is>
          <t>Kodak — Gray Card for the Cinematographer</t>
        </is>
      </c>
      <c r="R208" t="inlineStr">
        <is>
          <t>https://www.kodak.com/en/motion/page/for-the-cinematographer/</t>
        </is>
      </c>
      <c r="S208" t="n">
        <v>5</v>
      </c>
      <c r="T208" t="inlineStr">
        <is>
          <t>Мост в будущую экспозицию: экспонометр и серая карта нужны не ради правил, а ради управляемого негатива.</t>
        </is>
      </c>
      <c r="U208" t="inlineStr">
        <is>
          <t>Фотограф держит серую карту перед сценой; рядом экспонометр и негативная полоса.</t>
        </is>
      </c>
      <c r="V208" t="inlineStr">
        <is>
          <t>#PL020 #gray-card #metering #full-range-negative #exposure</t>
        </is>
      </c>
      <c r="X208" t="inlineStr">
        <is>
          <t>43.1566, -77.6088</t>
        </is>
      </c>
      <c r="Y208" t="inlineStr">
        <is>
          <t>Экспозиционная широта / серая карта</t>
        </is>
      </c>
      <c r="Z208" t="inlineStr">
        <is>
          <t>Связь / переход</t>
        </is>
      </c>
    </row>
    <row r="209" ht="17" customHeight="1" s="72">
      <c r="A209" t="inlineStr">
        <is>
          <t>PL-HIST-0208</t>
        </is>
      </c>
      <c r="B209" t="inlineStr">
        <is>
          <t>XX–XXI век</t>
        </is>
      </c>
      <c r="C209" t="inlineStr">
        <is>
          <t>диапазон</t>
        </is>
      </c>
      <c r="D209" t="inlineStr">
        <is>
          <t>глобально</t>
        </is>
      </c>
      <c r="E209" t="inlineStr">
        <is>
          <t>практика съёмки и печати</t>
        </is>
      </c>
      <c r="F209" t="inlineStr">
        <is>
          <t>Фотографы, лаборатории, сканировщики</t>
        </is>
      </c>
      <c r="G209" t="inlineStr">
        <is>
          <t>Практический вывод PL-020: экспозиционная широта — это запас материала, но не повод снимать бездумно; она влияет на тени, света, зерно, контраст и итоговую печать.</t>
        </is>
      </c>
      <c r="H209" t="inlineStr">
        <is>
          <t>Фотохимия</t>
        </is>
      </c>
      <c r="I209" t="inlineStr">
        <is>
          <t>Practical exposure latitude workflow</t>
        </is>
      </c>
      <c r="J209" t="inlineStr">
        <is>
          <t>Фотограф начинает мыслить финальным изображением: что сохранить в тенях, что допустить в светах, как негатив потом будет сканироваться или печататься.</t>
        </is>
      </c>
      <c r="K209" t="inlineStr">
        <is>
          <t>Сенситометрия и типы плёнок</t>
        </is>
      </c>
      <c r="L209" t="inlineStr">
        <is>
          <t>Переход к плёночным камерам PL-021 и будущей экспозиции</t>
        </is>
      </c>
      <c r="M209" t="inlineStr">
        <is>
          <t>Связь / переход</t>
        </is>
      </c>
      <c r="N209" t="n">
        <v>5</v>
      </c>
      <c r="O209" t="inlineStr">
        <is>
          <t>PL-020</t>
        </is>
      </c>
      <c r="P209" t="inlineStr">
        <is>
          <t>SRC-162</t>
        </is>
      </c>
      <c r="Q209" t="inlineStr">
        <is>
          <t>Kodak — Basic Photographic Sensitometry Workbook</t>
        </is>
      </c>
      <c r="R209" t="inlineStr">
        <is>
          <t>https://www.kodak.com/content/products-brochures/Film/Basic-Photographic-Sensitometry-Workbook.pdf</t>
        </is>
      </c>
      <c r="S209" t="n">
        <v>5</v>
      </c>
      <c r="T209" t="inlineStr">
        <is>
          <t>Финал Модуля 2: мы поняли материал. Дальше логично перейти к камере, которая этот материал экспонирует.</t>
        </is>
      </c>
      <c r="U209" t="inlineStr">
        <is>
          <t>Одна сцена и три решения: сохранить тени, сохранить света, средняя экспозиция; рядом готовый отпечаток.</t>
        </is>
      </c>
      <c r="V209" t="inlineStr">
        <is>
          <t>#PL020 #exposure-latitude #tone #print #film-workflow</t>
        </is>
      </c>
      <c r="Y209" t="inlineStr">
        <is>
          <t>Экспозиционная широта / практический выбор</t>
        </is>
      </c>
      <c r="Z209" t="inlineStr">
        <is>
          <t>Связь / переход</t>
        </is>
      </c>
    </row>
    <row r="210" ht="17" customHeight="1" s="72">
      <c r="A210" t="inlineStr">
        <is>
          <t>PL-HIST-0209</t>
        </is>
      </c>
      <c r="B210" t="inlineStr">
        <is>
          <t>общий принцип</t>
        </is>
      </c>
      <c r="C210" t="inlineStr">
        <is>
          <t>диапазон</t>
        </is>
      </c>
      <c r="D210" t="inlineStr">
        <is>
          <t>глобально</t>
        </is>
      </c>
      <c r="E210" t="inlineStr">
        <is>
          <t>плёночные камеры</t>
        </is>
      </c>
      <c r="F210" t="inlineStr">
        <is>
          <t>фотографы / производители камер</t>
        </is>
      </c>
      <c r="G210" t="inlineStr">
        <is>
          <t>Плёночную камеру можно объяснить как светонепроницаемый корпус с пятью ключевыми системами: корпус, плёнка, управление светом, объектив и видоискатель.</t>
        </is>
      </c>
      <c r="H210" t="inlineStr">
        <is>
          <t>Оптические инструменты</t>
        </is>
      </c>
      <c r="I210" t="inlineStr">
        <is>
          <t>Film camera core architecture</t>
        </is>
      </c>
      <c r="J210" t="inlineStr">
        <is>
          <t>Новичок перестаёт видеть камеру как «магическую коробку»: это набор понятных узлов, каждый из которых решает одну задачу.</t>
        </is>
      </c>
      <c r="K210" t="inlineStr">
        <is>
          <t>Экспозиционная широта PL-020</t>
        </is>
      </c>
      <c r="L210" t="inlineStr">
        <is>
          <t>Плёнка внутри камеры: кассета, окно кадра и прижимной столик</t>
        </is>
      </c>
      <c r="M210" t="inlineStr">
        <is>
          <t>Главная линия / базовая конструкция</t>
        </is>
      </c>
      <c r="N210" t="n">
        <v>5</v>
      </c>
      <c r="O210" t="inlineStr">
        <is>
          <t>PL-021</t>
        </is>
      </c>
      <c r="P210" t="inlineStr">
        <is>
          <t>SRC-167</t>
        </is>
      </c>
      <c r="Q210" t="inlineStr">
        <is>
          <t>Britannica Concise Encyclopedia — Camera</t>
        </is>
      </c>
      <c r="R210" t="inlineStr">
        <is>
          <t>https://slovar-vocab.com/english/britannica-concise-encyclopedia/camera-6543391.html</t>
        </is>
      </c>
      <c r="S210" t="n">
        <v>4</v>
      </c>
      <c r="T210" t="inlineStr">
        <is>
          <t>Флагман урока: камера — это не бренд и не цена, а связка света, плёнки, времени и контроля.</t>
        </is>
      </c>
      <c r="U210" t="inlineStr">
        <is>
          <t>Разрез плёночной камеры: луч света, объектив, затвор, кадровое окно, плёнка и видоискатель.</t>
        </is>
      </c>
      <c r="V210" t="inlineStr">
        <is>
          <t>#PL021 #film-camera #camera-body #lens #shutter #viewfinder</t>
        </is>
      </c>
      <c r="Y210" t="inlineStr">
        <is>
          <t>Плёночная камера / общая архитектура</t>
        </is>
      </c>
      <c r="Z210" t="inlineStr">
        <is>
          <t>Ключевой исторический узел</t>
        </is>
      </c>
      <c r="AA210" t="inlineStr">
        <is>
          <t>да</t>
        </is>
      </c>
    </row>
    <row r="211" ht="17" customHeight="1" s="72">
      <c r="A211" t="inlineStr">
        <is>
          <t>PL-HIST-0210</t>
        </is>
      </c>
      <c r="B211" t="inlineStr">
        <is>
          <t>XX век</t>
        </is>
      </c>
      <c r="C211" t="inlineStr">
        <is>
          <t>диапазон</t>
        </is>
      </c>
      <c r="D211" t="inlineStr">
        <is>
          <t>глобально</t>
        </is>
      </c>
      <c r="E211" t="inlineStr">
        <is>
          <t>35-мм и среднеформатные камеры</t>
        </is>
      </c>
      <c r="F211" t="inlineStr">
        <is>
          <t>производители камер</t>
        </is>
      </c>
      <c r="G211" t="inlineStr">
        <is>
          <t>Светонепроницаемый корпус защищает плёнку от всего света, кроме контролируемого света, который проходит через объектив во время экспозиции.</t>
        </is>
      </c>
      <c r="H211" t="inlineStr">
        <is>
          <t>Оптические инструменты</t>
        </is>
      </c>
      <c r="I211" t="inlineStr">
        <is>
          <t>Light-tight camera body</t>
        </is>
      </c>
      <c r="J211" t="inlineStr">
        <is>
          <t>Корпус становится первой защитой изображения: если камера пропускает свет где не надо, кадр портится ещё до проявки.</t>
        </is>
      </c>
      <c r="K211" t="inlineStr">
        <is>
          <t>Общая архитектура камеры</t>
        </is>
      </c>
      <c r="L211" t="inlineStr">
        <is>
          <t>Задняя крышка, кассета и плёночный тракт</t>
        </is>
      </c>
      <c r="M211" t="inlineStr">
        <is>
          <t>Главная линия / базовая конструкция</t>
        </is>
      </c>
      <c r="N211" t="n">
        <v>5</v>
      </c>
      <c r="O211" t="inlineStr">
        <is>
          <t>PL-021</t>
        </is>
      </c>
      <c r="P211" t="inlineStr">
        <is>
          <t>SRC-167</t>
        </is>
      </c>
      <c r="Q211" t="inlineStr">
        <is>
          <t>Britannica Concise Encyclopedia — Camera</t>
        </is>
      </c>
      <c r="R211" t="inlineStr">
        <is>
          <t>https://slovar-vocab.com/english/britannica-concise-encyclopedia/camera-6543391.html</t>
        </is>
      </c>
      <c r="S211" t="n">
        <v>4</v>
      </c>
      <c r="T211" t="inlineStr">
        <is>
          <t>Важно объяснить: камера сначала защищает плёнку, а уже потом помогает красиво снимать.</t>
        </is>
      </c>
      <c r="U211" t="inlineStr">
        <is>
          <t>Тёмный корпус камеры как маленькая камера-обскура, внутри лежит полоска плёнки.</t>
        </is>
      </c>
      <c r="V211" t="inlineStr">
        <is>
          <t>#PL021 #camera-body #light-tight #film</t>
        </is>
      </c>
      <c r="Y211" t="inlineStr">
        <is>
          <t>Плёночная камера / корпус</t>
        </is>
      </c>
      <c r="Z211" t="inlineStr">
        <is>
          <t>Инструмент / устройство</t>
        </is>
      </c>
    </row>
    <row r="212" ht="17" customHeight="1" s="72">
      <c r="A212" t="inlineStr">
        <is>
          <t>PL-HIST-0211</t>
        </is>
      </c>
      <c r="B212" t="inlineStr">
        <is>
          <t>XX век</t>
        </is>
      </c>
      <c r="C212" t="inlineStr">
        <is>
          <t>диапазон</t>
        </is>
      </c>
      <c r="D212" t="inlineStr">
        <is>
          <t>глобально</t>
        </is>
      </c>
      <c r="E212" t="inlineStr">
        <is>
          <t>камера с открытой задней крышкой</t>
        </is>
      </c>
      <c r="F212" t="inlineStr">
        <is>
          <t>производители камер</t>
        </is>
      </c>
      <c r="G212" t="inlineStr">
        <is>
          <t>Плёнка проходит через кассетный отсек, кадровое окно и прижимной столик; прижимная пластина удерживает её ровно в плоскости кадра.</t>
        </is>
      </c>
      <c r="H212" t="inlineStr">
        <is>
          <t>Оптические инструменты</t>
        </is>
      </c>
      <c r="I212" t="inlineStr">
        <is>
          <t>Film path / pressure plate / exposure window</t>
        </is>
      </c>
      <c r="J212" t="inlineStr">
        <is>
          <t>Резкость зависит не только от объектива: если плёнка лежит неровно, изображение попадает не туда, куда навёл фотограф.</t>
        </is>
      </c>
      <c r="K212" t="inlineStr">
        <is>
          <t>Светонепроницаемый корпус</t>
        </is>
      </c>
      <c r="L212" t="inlineStr">
        <is>
          <t>Перемотка и протяжка кадра</t>
        </is>
      </c>
      <c r="M212" t="inlineStr">
        <is>
          <t>Главная линия / базовая конструкция</t>
        </is>
      </c>
      <c r="N212" t="n">
        <v>5</v>
      </c>
      <c r="O212" t="inlineStr">
        <is>
          <t>PL-021</t>
        </is>
      </c>
      <c r="P212" t="inlineStr">
        <is>
          <t>SRC-174</t>
        </is>
      </c>
      <c r="Q212" t="inlineStr">
        <is>
          <t>Justia Patents — Camera with film take-up confirming mechanism</t>
        </is>
      </c>
      <c r="R212" t="inlineStr">
        <is>
          <t>https://patents.justia.com/patent/5166715</t>
        </is>
      </c>
      <c r="S212" t="n">
        <v>4</v>
      </c>
      <c r="T212" t="inlineStr">
        <is>
          <t>Это отличный узел для схемы: новичок впервые видит, где именно в камере рождается кадр.</t>
        </is>
      </c>
      <c r="U212" t="inlineStr">
        <is>
          <t>Задняя крышка открыта: кассета, рельсы, кадровое окно, прижимная пластина и приёмная катушка.</t>
        </is>
      </c>
      <c r="V212" t="inlineStr">
        <is>
          <t>#PL021 #film-path #pressure-plate #frame-window</t>
        </is>
      </c>
      <c r="Y212" t="inlineStr">
        <is>
          <t>Плёночная камера / плёночный тракт</t>
        </is>
      </c>
      <c r="Z212" t="inlineStr">
        <is>
          <t>Инструмент / устройство</t>
        </is>
      </c>
    </row>
    <row r="213" ht="17" customHeight="1" s="72">
      <c r="A213" t="inlineStr">
        <is>
          <t>PL-HIST-0212</t>
        </is>
      </c>
      <c r="B213" t="inlineStr">
        <is>
          <t>1959</t>
        </is>
      </c>
      <c r="C213" t="inlineStr">
        <is>
          <t>год</t>
        </is>
      </c>
      <c r="D213" t="inlineStr">
        <is>
          <t>Япония</t>
        </is>
      </c>
      <c r="E213" t="inlineStr">
        <is>
          <t>Токио</t>
        </is>
      </c>
      <c r="F213" t="inlineStr">
        <is>
          <t>Nippon Kogaku / Nikon</t>
        </is>
      </c>
      <c r="G213" t="inlineStr">
        <is>
          <t>Nikon F закрепляет значение байонета: объектив становится сменным модулем, а камера — системой, где корпус и оптика работают вместе.</t>
        </is>
      </c>
      <c r="H213" t="inlineStr">
        <is>
          <t>Оптические инструменты</t>
        </is>
      </c>
      <c r="I213" t="inlineStr">
        <is>
          <t>Interchangeable lens mount / Nikon F-mount</t>
        </is>
      </c>
      <c r="J213" t="inlineStr">
        <is>
          <t>Фотограф получает выбор оптики под задачу: широкий угол, нормальный объектив, портрет, телеобъектив, макро и специальные решения.</t>
        </is>
      </c>
      <c r="K213" t="inlineStr">
        <is>
          <t>Плёночный тракт</t>
        </is>
      </c>
      <c r="L213" t="inlineStr">
        <is>
          <t>Объектив как отдельный модуль PL-031</t>
        </is>
      </c>
      <c r="M213" t="inlineStr">
        <is>
          <t>Главная линия / система камер</t>
        </is>
      </c>
      <c r="N213" t="n">
        <v>5</v>
      </c>
      <c r="O213" t="inlineStr">
        <is>
          <t>PL-021</t>
        </is>
      </c>
      <c r="P213" t="inlineStr">
        <is>
          <t>SRC-171</t>
        </is>
      </c>
      <c r="Q213" t="inlineStr">
        <is>
          <t>Nikon — 50th Anniversary of Nikon F-Mount</t>
        </is>
      </c>
      <c r="R213" t="inlineStr">
        <is>
          <t>https://www.nikon.com/company/news/2009/0303_f-mount50th_01/</t>
        </is>
      </c>
      <c r="S213" t="n">
        <v>5</v>
      </c>
      <c r="T213" t="inlineStr">
        <is>
          <t>Связать с будущим модулем «Объективы»: байонет — это место, где камера встречается с оптикой.</t>
        </is>
      </c>
      <c r="U213" t="inlineStr">
        <is>
          <t>Передняя часть Nikon F/SLR: байонет и несколько объективов как система.</t>
        </is>
      </c>
      <c r="V213" t="inlineStr">
        <is>
          <t>#PL021 #lens-mount #NikonF #interchangeable-lenses</t>
        </is>
      </c>
      <c r="X213" t="inlineStr">
        <is>
          <t>35.6762, 139.6503</t>
        </is>
      </c>
      <c r="Y213" t="inlineStr">
        <is>
          <t>Плёночная камера / байонет и объектив</t>
        </is>
      </c>
      <c r="Z213" t="inlineStr">
        <is>
          <t>Инструмент / устройство</t>
        </is>
      </c>
    </row>
    <row r="214" ht="17" customHeight="1" s="72">
      <c r="A214" t="inlineStr">
        <is>
          <t>PL-HIST-0213</t>
        </is>
      </c>
      <c r="B214" t="inlineStr">
        <is>
          <t>XX век</t>
        </is>
      </c>
      <c r="C214" t="inlineStr">
        <is>
          <t>диапазон</t>
        </is>
      </c>
      <c r="D214" t="inlineStr">
        <is>
          <t>глобально</t>
        </is>
      </c>
      <c r="E214" t="inlineStr">
        <is>
          <t>камера / объектив</t>
        </is>
      </c>
      <c r="F214" t="inlineStr">
        <is>
          <t>фотографы / производители камер</t>
        </is>
      </c>
      <c r="G214" t="inlineStr">
        <is>
          <t>Диафрагма в объективе регулирует размер отверстия для света: она влияет на экспозицию и глубину резкости.</t>
        </is>
      </c>
      <c r="H214" t="inlineStr">
        <is>
          <t>Оптические инструменты</t>
        </is>
      </c>
      <c r="I214" t="inlineStr">
        <is>
          <t>Aperture / diaphragm</t>
        </is>
      </c>
      <c r="J214" t="inlineStr">
        <is>
          <t>У камеры появляется управляемое «окно»: фотограф решает, сколько света пустить и как будет выглядеть зона резкости.</t>
        </is>
      </c>
      <c r="K214" t="inlineStr">
        <is>
          <t>Байонет и объектив</t>
        </is>
      </c>
      <c r="L214" t="inlineStr">
        <is>
          <t>Затвор как управление временем</t>
        </is>
      </c>
      <c r="M214" t="inlineStr">
        <is>
          <t>Главная линия / управление экспозицией</t>
        </is>
      </c>
      <c r="N214" t="n">
        <v>5</v>
      </c>
      <c r="O214" t="inlineStr">
        <is>
          <t>PL-021</t>
        </is>
      </c>
      <c r="P214" t="inlineStr">
        <is>
          <t>SRC-167</t>
        </is>
      </c>
      <c r="Q214" t="inlineStr">
        <is>
          <t>Britannica Concise Encyclopedia — Camera</t>
        </is>
      </c>
      <c r="R214" t="inlineStr">
        <is>
          <t>https://slovar-vocab.com/english/britannica-concise-encyclopedia/camera-6543391.html</t>
        </is>
      </c>
      <c r="S214" t="n">
        <v>4</v>
      </c>
      <c r="T214" t="inlineStr">
        <is>
          <t>Не перегружать числами f/1.4—f/16; здесь нужно только показать функцию диафрагмы.</t>
        </is>
      </c>
      <c r="U214" t="inlineStr">
        <is>
          <t>Лепестки диафрагмы в объективе, рядом две позиции: открыто и прикрыто.</t>
        </is>
      </c>
      <c r="V214" t="inlineStr">
        <is>
          <t>#PL021 #aperture #diaphragm #lens #exposure</t>
        </is>
      </c>
      <c r="Y214" t="inlineStr">
        <is>
          <t>Плёночная камера / диафрагма</t>
        </is>
      </c>
      <c r="Z214" t="inlineStr">
        <is>
          <t>Инструмент / устройство</t>
        </is>
      </c>
    </row>
    <row r="215" ht="17" customHeight="1" s="72">
      <c r="A215" t="inlineStr">
        <is>
          <t>PL-HIST-0214</t>
        </is>
      </c>
      <c r="B215" t="inlineStr">
        <is>
          <t>XX век</t>
        </is>
      </c>
      <c r="C215" t="inlineStr">
        <is>
          <t>диапазон</t>
        </is>
      </c>
      <c r="D215" t="inlineStr">
        <is>
          <t>глобально</t>
        </is>
      </c>
      <c r="E215" t="inlineStr">
        <is>
          <t>корпус камеры</t>
        </is>
      </c>
      <c r="F215" t="inlineStr">
        <is>
          <t>производители камер</t>
        </is>
      </c>
      <c r="G215" t="inlineStr">
        <is>
          <t>Затвор открывает путь свету к плёнке на заданное время: это механический или электронно-управляемый «таймер света».</t>
        </is>
      </c>
      <c r="H215" t="inlineStr">
        <is>
          <t>Оптические инструменты</t>
        </is>
      </c>
      <c r="I215" t="inlineStr">
        <is>
          <t>Shutter / exposure time</t>
        </is>
      </c>
      <c r="J215" t="inlineStr">
        <is>
          <t>Фотограф получает контроль над временем: заморозить движение, показать смаз или просто дать плёнке нужное количество света.</t>
        </is>
      </c>
      <c r="K215" t="inlineStr">
        <is>
          <t>Диафрагма</t>
        </is>
      </c>
      <c r="L215" t="inlineStr">
        <is>
          <t>Спусковая кнопка и механизм экспозиции</t>
        </is>
      </c>
      <c r="M215" t="inlineStr">
        <is>
          <t>Главная линия / управление экспозицией</t>
        </is>
      </c>
      <c r="N215" t="n">
        <v>5</v>
      </c>
      <c r="O215" t="inlineStr">
        <is>
          <t>PL-021</t>
        </is>
      </c>
      <c r="P215" t="inlineStr">
        <is>
          <t>SRC-168</t>
        </is>
      </c>
      <c r="Q215" t="inlineStr">
        <is>
          <t>Nikon — FM2 Instruction Manual</t>
        </is>
      </c>
      <c r="R215" t="inlineStr">
        <is>
          <t>https://cdn-10.nikon-cdn.com/pdf/manuals/archive/FM2.pdf</t>
        </is>
      </c>
      <c r="S215" t="n">
        <v>5</v>
      </c>
      <c r="T215" t="inlineStr">
        <is>
          <t>Затвор — главный мост к будущим урокам про выдержку.</t>
        </is>
      </c>
      <c r="U215" t="inlineStr">
        <is>
          <t>Крупно шторки фокального затвора перед кадровым окном; свет проходит к плёнке.</t>
        </is>
      </c>
      <c r="V215" t="inlineStr">
        <is>
          <t>#PL021 #shutter #shutter-speed #exposure-time</t>
        </is>
      </c>
      <c r="Y215" t="inlineStr">
        <is>
          <t>Плёночная камера / затвор</t>
        </is>
      </c>
      <c r="Z215" t="inlineStr">
        <is>
          <t>Инструмент / устройство</t>
        </is>
      </c>
    </row>
    <row r="216" ht="17" customHeight="1" s="72">
      <c r="A216" t="inlineStr">
        <is>
          <t>PL-HIST-0215</t>
        </is>
      </c>
      <c r="B216" t="inlineStr">
        <is>
          <t>XX век</t>
        </is>
      </c>
      <c r="C216" t="inlineStr">
        <is>
          <t>диапазон</t>
        </is>
      </c>
      <c r="D216" t="inlineStr">
        <is>
          <t>глобально</t>
        </is>
      </c>
      <c r="E216" t="inlineStr">
        <is>
          <t>верхняя панель камеры</t>
        </is>
      </c>
      <c r="F216" t="inlineStr">
        <is>
          <t>фотографы</t>
        </is>
      </c>
      <c r="G216" t="inlineStr">
        <is>
          <t>Спусковая кнопка запускает экспозицию: через неё фотограф соединяет намерение, момент, затвор и плёнку.</t>
        </is>
      </c>
      <c r="H216" t="inlineStr">
        <is>
          <t>Оптические инструменты</t>
        </is>
      </c>
      <c r="I216" t="inlineStr">
        <is>
          <t>Shutter release</t>
        </is>
      </c>
      <c r="J216" t="inlineStr">
        <is>
          <t>Камера становится инструментом решения момента: кадр появляется не когда камера «готова», а когда фотограф нажимает спуск.</t>
        </is>
      </c>
      <c r="K216" t="inlineStr">
        <is>
          <t>Затвор</t>
        </is>
      </c>
      <c r="L216" t="inlineStr">
        <is>
          <t>Момент съёмки и будущая практика</t>
        </is>
      </c>
      <c r="M216" t="inlineStr">
        <is>
          <t>Главная линия / практическое управление</t>
        </is>
      </c>
      <c r="N216" t="n">
        <v>4</v>
      </c>
      <c r="O216" t="inlineStr">
        <is>
          <t>PL-021</t>
        </is>
      </c>
      <c r="P216" t="inlineStr">
        <is>
          <t>SRC-168</t>
        </is>
      </c>
      <c r="Q216" t="inlineStr">
        <is>
          <t>Nikon — FM2 Instruction Manual</t>
        </is>
      </c>
      <c r="R216" t="inlineStr">
        <is>
          <t>https://cdn-10.nikon-cdn.com/pdf/manuals/archive/FM2.pdf</t>
        </is>
      </c>
      <c r="S216" t="n">
        <v>5</v>
      </c>
      <c r="T216" t="inlineStr">
        <is>
          <t>Можно сделать эмоциональный визуал: палец на спуске, но схема показывает связь с затвором.</t>
        </is>
      </c>
      <c r="U216" t="inlineStr">
        <is>
          <t>Палец нажимает на металлическую кнопку спуска; внутри тонкой линией показан путь к затвору.</t>
        </is>
      </c>
      <c r="V216" t="inlineStr">
        <is>
          <t>#PL021 #shutter-release #moment #mechanism</t>
        </is>
      </c>
      <c r="Y216" t="inlineStr">
        <is>
          <t>Плёночная камера / спуск</t>
        </is>
      </c>
      <c r="Z216" t="inlineStr">
        <is>
          <t>Инструмент / устройство</t>
        </is>
      </c>
    </row>
    <row r="217" ht="17" customHeight="1" s="72">
      <c r="A217" t="inlineStr">
        <is>
          <t>PL-HIST-0216</t>
        </is>
      </c>
      <c r="B217" t="inlineStr">
        <is>
          <t>1959</t>
        </is>
      </c>
      <c r="C217" t="inlineStr">
        <is>
          <t>год</t>
        </is>
      </c>
      <c r="D217" t="inlineStr">
        <is>
          <t>Япония</t>
        </is>
      </c>
      <c r="E217" t="inlineStr">
        <is>
          <t>Токио</t>
        </is>
      </c>
      <c r="F217" t="inlineStr">
        <is>
          <t>Nikon</t>
        </is>
      </c>
      <c r="G217" t="inlineStr">
        <is>
          <t>В зеркальной камере видоискатель может работать через тот же объектив: зеркало, фокусировочный экран и пентапризма показывают фотографу будущий кадр.</t>
        </is>
      </c>
      <c r="H217" t="inlineStr">
        <is>
          <t>Оптические инструменты</t>
        </is>
      </c>
      <c r="I217" t="inlineStr">
        <is>
          <t>SLR viewing system / mirror / pentaprism</t>
        </is>
      </c>
      <c r="J217" t="inlineStr">
        <is>
          <t>Фотограф видит почти то же, что попадёт на плёнку; это меняет фокусировку, кадрирование и доверие к камере.</t>
        </is>
      </c>
      <c r="K217" t="inlineStr">
        <is>
          <t>Спуск и затвор</t>
        </is>
      </c>
      <c r="L217" t="inlineStr">
        <is>
          <t>Разные типы видоискателей: дальномер, TLR, SLR</t>
        </is>
      </c>
      <c r="M217" t="inlineStr">
        <is>
          <t>Главная линия / система камер</t>
        </is>
      </c>
      <c r="N217" t="n">
        <v>5</v>
      </c>
      <c r="O217" t="inlineStr">
        <is>
          <t>PL-021</t>
        </is>
      </c>
      <c r="P217" t="inlineStr">
        <is>
          <t>SRC-172</t>
        </is>
      </c>
      <c r="Q217" t="inlineStr">
        <is>
          <t>Nikon — Corporate History / Nikon F</t>
        </is>
      </c>
      <c r="R217" t="inlineStr">
        <is>
          <t>https://www.nikon.com/company/corporate/history/</t>
        </is>
      </c>
      <c r="S217" t="n">
        <v>5</v>
      </c>
      <c r="T217" t="inlineStr">
        <is>
          <t>Это базовая подготовка к будущим урокам про зеркальные и дальномерные камеры.</t>
        </is>
      </c>
      <c r="U217" t="inlineStr">
        <is>
          <t>Схема SLR: объектив → зеркало → пентапризма → глаз; во время спуска путь открывается к плёнке.</t>
        </is>
      </c>
      <c r="V217" t="inlineStr">
        <is>
          <t>#PL021 #SLR #viewfinder #mirror #pentaprism</t>
        </is>
      </c>
      <c r="X217" t="inlineStr">
        <is>
          <t>35.6762, 139.6503</t>
        </is>
      </c>
      <c r="Y217" t="inlineStr">
        <is>
          <t>Плёночная камера / видоискатель</t>
        </is>
      </c>
      <c r="Z217" t="inlineStr">
        <is>
          <t>Инструмент / устройство</t>
        </is>
      </c>
    </row>
    <row r="218" ht="17" customHeight="1" s="72">
      <c r="A218" t="inlineStr">
        <is>
          <t>PL-HIST-0217</t>
        </is>
      </c>
      <c r="B218" t="inlineStr">
        <is>
          <t>XX век</t>
        </is>
      </c>
      <c r="C218" t="inlineStr">
        <is>
          <t>диапазон</t>
        </is>
      </c>
      <c r="D218" t="inlineStr">
        <is>
          <t>глобально</t>
        </is>
      </c>
      <c r="E218" t="inlineStr">
        <is>
          <t>верхняя панель / внутри камеры</t>
        </is>
      </c>
      <c r="F218" t="inlineStr">
        <is>
          <t>производители камер</t>
        </is>
      </c>
      <c r="G218" t="inlineStr">
        <is>
          <t>Рычаг взвода протягивает плёнку на следующий кадр и готовит механизм к новой экспозиции.</t>
        </is>
      </c>
      <c r="H218" t="inlineStr">
        <is>
          <t>Оптические инструменты</t>
        </is>
      </c>
      <c r="I218" t="inlineStr">
        <is>
          <t>Film advance lever / winding</t>
        </is>
      </c>
      <c r="J218" t="inlineStr">
        <is>
          <t>Появляется ритм плёночной съёмки: снял кадр, перевёл плёнку, приготовил следующий кадр.</t>
        </is>
      </c>
      <c r="K218" t="inlineStr">
        <is>
          <t>Видоискатель</t>
        </is>
      </c>
      <c r="L218" t="inlineStr">
        <is>
          <t>Счётчик кадров и контроль плёнки</t>
        </is>
      </c>
      <c r="M218" t="inlineStr">
        <is>
          <t>Главная линия / практическое управление</t>
        </is>
      </c>
      <c r="N218" t="n">
        <v>5</v>
      </c>
      <c r="O218" t="inlineStr">
        <is>
          <t>PL-021</t>
        </is>
      </c>
      <c r="P218" t="inlineStr">
        <is>
          <t>SRC-168</t>
        </is>
      </c>
      <c r="Q218" t="inlineStr">
        <is>
          <t>Nikon — FM2 Instruction Manual</t>
        </is>
      </c>
      <c r="R218" t="inlineStr">
        <is>
          <t>https://cdn-10.nikon-cdn.com/pdf/manuals/archive/FM2.pdf</t>
        </is>
      </c>
      <c r="S218" t="n">
        <v>5</v>
      </c>
      <c r="T218" t="inlineStr">
        <is>
          <t>Для новичка это один из главных бытовых жестов плёнки — после кадра нужно перевести плёнку.</t>
        </is>
      </c>
      <c r="U218" t="inlineStr">
        <is>
          <t>Рука взводит рычаг, внутри стрелкой показано движение плёнки к следующему кадру.</t>
        </is>
      </c>
      <c r="V218" t="inlineStr">
        <is>
          <t>#PL021 #film-advance #winding #frame</t>
        </is>
      </c>
      <c r="Y218" t="inlineStr">
        <is>
          <t>Плёночная камера / протяжка плёнки</t>
        </is>
      </c>
      <c r="Z218" t="inlineStr">
        <is>
          <t>Инструмент / устройство</t>
        </is>
      </c>
    </row>
    <row r="219" ht="17" customHeight="1" s="72">
      <c r="A219" t="inlineStr">
        <is>
          <t>PL-HIST-0218</t>
        </is>
      </c>
      <c r="B219" t="inlineStr">
        <is>
          <t>XX век</t>
        </is>
      </c>
      <c r="C219" t="inlineStr">
        <is>
          <t>диапазон</t>
        </is>
      </c>
      <c r="D219" t="inlineStr">
        <is>
          <t>глобально</t>
        </is>
      </c>
      <c r="E219" t="inlineStr">
        <is>
          <t>верхняя панель камеры</t>
        </is>
      </c>
      <c r="F219" t="inlineStr">
        <is>
          <t>производители камер</t>
        </is>
      </c>
      <c r="G219" t="inlineStr">
        <is>
          <t>Счётчик кадров показывает, сколько кадров уже отснято; перемотка возвращает экспонированную плёнку обратно в кассету.</t>
        </is>
      </c>
      <c r="H219" t="inlineStr">
        <is>
          <t>Оптические инструменты</t>
        </is>
      </c>
      <c r="I219" t="inlineStr">
        <is>
          <t>Frame counter / film rewind</t>
        </is>
      </c>
      <c r="J219" t="inlineStr">
        <is>
          <t>Фотограф начинает контролировать не только отдельный кадр, но и весь рулон: сколько осталось, когда пора перемотать, где закончилась серия.</t>
        </is>
      </c>
      <c r="K219" t="inlineStr">
        <is>
          <t>Протяжка плёнки</t>
        </is>
      </c>
      <c r="L219" t="inlineStr">
        <is>
          <t>Экспонометр как помощник внутри камеры</t>
        </is>
      </c>
      <c r="M219" t="inlineStr">
        <is>
          <t>Главная линия / практическое управление</t>
        </is>
      </c>
      <c r="N219" t="n">
        <v>4</v>
      </c>
      <c r="O219" t="inlineStr">
        <is>
          <t>PL-021</t>
        </is>
      </c>
      <c r="P219" t="inlineStr">
        <is>
          <t>SRC-168</t>
        </is>
      </c>
      <c r="Q219" t="inlineStr">
        <is>
          <t>Nikon — FM2 Instruction Manual</t>
        </is>
      </c>
      <c r="R219" t="inlineStr">
        <is>
          <t>https://cdn-10.nikon-cdn.com/pdf/manuals/archive/FM2.pdf</t>
        </is>
      </c>
      <c r="S219" t="n">
        <v>5</v>
      </c>
      <c r="T219" t="inlineStr">
        <is>
          <t>Объяснить очень практично: не открыл заднюю крышку до перемотки — спас плёнку.</t>
        </is>
      </c>
      <c r="U219" t="inlineStr">
        <is>
          <t>Счётчик 36, ручка обратной перемотки и кассета с плёнкой в одном чистом учебном ракурсе.</t>
        </is>
      </c>
      <c r="V219" t="inlineStr">
        <is>
          <t>#PL021 #frame-counter #rewind #film-roll</t>
        </is>
      </c>
      <c r="Y219" t="inlineStr">
        <is>
          <t>Плёночная камера / счётчик и перемотка</t>
        </is>
      </c>
      <c r="Z219" t="inlineStr">
        <is>
          <t>Инструмент / устройство</t>
        </is>
      </c>
    </row>
    <row r="220" ht="17" customHeight="1" s="72">
      <c r="A220" t="inlineStr">
        <is>
          <t>PL-HIST-0219</t>
        </is>
      </c>
      <c r="B220" t="inlineStr">
        <is>
          <t>XX век</t>
        </is>
      </c>
      <c r="C220" t="inlineStr">
        <is>
          <t>диапазон</t>
        </is>
      </c>
      <c r="D220" t="inlineStr">
        <is>
          <t>глобально</t>
        </is>
      </c>
      <c r="E220" t="inlineStr">
        <is>
          <t>видоискатель / корпус камеры</t>
        </is>
      </c>
      <c r="F220" t="inlineStr">
        <is>
          <t>Nikon / производители камер</t>
        </is>
      </c>
      <c r="G220" t="inlineStr">
        <is>
          <t>Встроенный экспонометр измеряет свет через объектив или около него и подсказывает, какую экспозицию выбрать.</t>
        </is>
      </c>
      <c r="H220" t="inlineStr">
        <is>
          <t>Оптические инструменты</t>
        </is>
      </c>
      <c r="I220" t="inlineStr">
        <is>
          <t>Built-in exposure meter / TTL metering</t>
        </is>
      </c>
      <c r="J220" t="inlineStr">
        <is>
          <t>Камера начинает не только держать плёнку и открывать свет, но и помогать фотографу принимать экспозиционное решение.</t>
        </is>
      </c>
      <c r="K220" t="inlineStr">
        <is>
          <t>Счётчик кадров и перемотка</t>
        </is>
      </c>
      <c r="L220" t="inlineStr">
        <is>
          <t>Механическая камера PL-022 и камера с автоматикой PL-023</t>
        </is>
      </c>
      <c r="M220" t="inlineStr">
        <is>
          <t>Связь / переход</t>
        </is>
      </c>
      <c r="N220" t="n">
        <v>5</v>
      </c>
      <c r="O220" t="inlineStr">
        <is>
          <t>PL-021</t>
        </is>
      </c>
      <c r="P220" t="inlineStr">
        <is>
          <t>SRC-168</t>
        </is>
      </c>
      <c r="Q220" t="inlineStr">
        <is>
          <t>Nikon — FM2 Instruction Manual</t>
        </is>
      </c>
      <c r="R220" t="inlineStr">
        <is>
          <t>https://cdn-10.nikon-cdn.com/pdf/manuals/archive/FM2.pdf</t>
        </is>
      </c>
      <c r="S220" t="n">
        <v>5</v>
      </c>
      <c r="T220" t="inlineStr">
        <is>
          <t>Важно: экспонометр помогает, но не обязательно управляет камерой. Это мост к автоматике.</t>
        </is>
      </c>
      <c r="U220" t="inlineStr">
        <is>
          <t>Видоискатель с индикаторами +/0/−, рядом камера и луч света.</t>
        </is>
      </c>
      <c r="V220" t="inlineStr">
        <is>
          <t>#PL021 #light-meter #TTL #exposure #film-camera</t>
        </is>
      </c>
      <c r="Y220" t="inlineStr">
        <is>
          <t>Плёночная камера / экспонометр</t>
        </is>
      </c>
      <c r="Z220" t="inlineStr">
        <is>
          <t>Связь / переход</t>
        </is>
      </c>
    </row>
    <row r="221" ht="17" customHeight="1" s="72">
      <c r="A221" t="inlineStr">
        <is>
          <t>PL-HIST-0220</t>
        </is>
      </c>
      <c r="B221" t="inlineStr">
        <is>
          <t>XX–XXI век</t>
        </is>
      </c>
      <c r="C221" t="inlineStr">
        <is>
          <t>диапазон</t>
        </is>
      </c>
      <c r="D221" t="inlineStr">
        <is>
          <t>Германия</t>
        </is>
      </c>
      <c r="E221" t="inlineStr">
        <is>
          <t>Вецлар</t>
        </is>
      </c>
      <c r="F221" t="inlineStr">
        <is>
          <t>Leica Camera</t>
        </is>
      </c>
      <c r="G221" t="inlineStr">
        <is>
          <t>Механическая камера работает как точный автономный инструмент: выдержка, диафрагма, фокус и перемотка задаются руками, без цифрового экрана и автоматических решений.</t>
        </is>
      </c>
      <c r="H221" t="inlineStr">
        <is>
          <t>Оптические инструменты</t>
        </is>
      </c>
      <c r="I221" t="inlineStr">
        <is>
          <t>Fully mechanical film camera</t>
        </is>
      </c>
      <c r="J221" t="inlineStr">
        <is>
          <t>Фотограф возвращается к прямой связке «свет — настройки — момент»: камера не думает вместо него, а выполняет механическое действие.</t>
        </is>
      </c>
      <c r="K221" t="inlineStr">
        <is>
          <t>Устройство плёночной камеры PL-021</t>
        </is>
      </c>
      <c r="L221" t="inlineStr">
        <is>
          <t>Механический затвор и ручное управление</t>
        </is>
      </c>
      <c r="M221" t="inlineStr">
        <is>
          <t>Главная линия / механическая камера</t>
        </is>
      </c>
      <c r="N221" t="n">
        <v>5</v>
      </c>
      <c r="O221" t="inlineStr">
        <is>
          <t>PL-022</t>
        </is>
      </c>
      <c r="P221" t="inlineStr">
        <is>
          <t>SRC-169</t>
        </is>
      </c>
      <c r="Q221" t="inlineStr">
        <is>
          <t>Leica — M-A (Typ 127)</t>
        </is>
      </c>
      <c r="R221" t="inlineStr">
        <is>
          <t>https://leica-camera.com/en-US/photography/cameras/m/m-a-typ-127-black</t>
        </is>
      </c>
      <c r="S221" t="n">
        <v>5</v>
      </c>
      <c r="T221" t="inlineStr">
        <is>
          <t>Флагман урока: механика учит ответственности за кадр и пониманию процесса.</t>
        </is>
      </c>
      <c r="U221" t="inlineStr">
        <is>
          <t>Leica-подобная механическая камера без экрана; рядом три подписи: фокус, выдержка, диафрагма.</t>
        </is>
      </c>
      <c r="V221" t="inlineStr">
        <is>
          <t>#PL022 #mechanical-camera #LeicaMA #manual-control</t>
        </is>
      </c>
      <c r="X221" t="inlineStr">
        <is>
          <t>50.5586, 8.5030</t>
        </is>
      </c>
      <c r="Y221" t="inlineStr">
        <is>
          <t>Механическая камера / общий принцип</t>
        </is>
      </c>
      <c r="Z221" t="inlineStr">
        <is>
          <t>Ключевой исторический узел</t>
        </is>
      </c>
      <c r="AA221" t="inlineStr">
        <is>
          <t>да</t>
        </is>
      </c>
    </row>
    <row r="222" ht="17" customHeight="1" s="72">
      <c r="A222" t="inlineStr">
        <is>
          <t>PL-HIST-0221</t>
        </is>
      </c>
      <c r="B222" t="inlineStr">
        <is>
          <t>1982</t>
        </is>
      </c>
      <c r="C222" t="inlineStr">
        <is>
          <t>год</t>
        </is>
      </c>
      <c r="D222" t="inlineStr">
        <is>
          <t>Япония</t>
        </is>
      </c>
      <c r="E222" t="inlineStr">
        <is>
          <t>Токио</t>
        </is>
      </c>
      <c r="F222" t="inlineStr">
        <is>
          <t>Nikon</t>
        </is>
      </c>
      <c r="G222" t="inlineStr">
        <is>
          <t>Nikon FM2 показывает идею механической независимости: камера рассчитана на полный ручной режим, а затвор работает без батарей на всех скоростях.</t>
        </is>
      </c>
      <c r="H222" t="inlineStr">
        <is>
          <t>Оптические инструменты</t>
        </is>
      </c>
      <c r="I222" t="inlineStr">
        <is>
          <t>Battery-independent mechanical shutter</t>
        </is>
      </c>
      <c r="J222" t="inlineStr">
        <is>
          <t>Батарея перестаёт быть условием кадра: она нужна для измерения света, но сам механический снимок можно сделать и без неё.</t>
        </is>
      </c>
      <c r="K222" t="inlineStr">
        <is>
          <t>Полностью механическая камера</t>
        </is>
      </c>
      <c r="L222" t="inlineStr">
        <is>
          <t>Механический затвор как сердце камеры</t>
        </is>
      </c>
      <c r="M222" t="inlineStr">
        <is>
          <t>Главная линия / механическая надёжность</t>
        </is>
      </c>
      <c r="N222" t="n">
        <v>5</v>
      </c>
      <c r="O222" t="inlineStr">
        <is>
          <t>PL-022</t>
        </is>
      </c>
      <c r="P222" t="inlineStr">
        <is>
          <t>SRC-168</t>
        </is>
      </c>
      <c r="Q222" t="inlineStr">
        <is>
          <t>Nikon — FM2 Instruction Manual</t>
        </is>
      </c>
      <c r="R222" t="inlineStr">
        <is>
          <t>https://cdn-10.nikon-cdn.com/pdf/manuals/archive/FM2.pdf</t>
        </is>
      </c>
      <c r="S222" t="n">
        <v>5</v>
      </c>
      <c r="T222" t="inlineStr">
        <is>
          <t>Хорошо связать с практикой покупки старой камеры: важно проверять затвор, а не только наличие батареек.</t>
        </is>
      </c>
      <c r="U222" t="inlineStr">
        <is>
          <t>Nikon FM2 на столе, рядом вынутая батарейка и работающий спуск/шторки.</t>
        </is>
      </c>
      <c r="V222" t="inlineStr">
        <is>
          <t>#PL022 #NikonFM2 #mechanical-shutter #battery-free</t>
        </is>
      </c>
      <c r="X222" t="inlineStr">
        <is>
          <t>35.6762, 139.6503</t>
        </is>
      </c>
      <c r="Y222" t="inlineStr">
        <is>
          <t>Механическая камера / автономность</t>
        </is>
      </c>
      <c r="Z222" t="inlineStr">
        <is>
          <t>Инструмент / устройство</t>
        </is>
      </c>
    </row>
    <row r="223" ht="17" customHeight="1" s="72">
      <c r="A223" t="inlineStr">
        <is>
          <t>PL-HIST-0222</t>
        </is>
      </c>
      <c r="B223" t="inlineStr">
        <is>
          <t>XX век</t>
        </is>
      </c>
      <c r="C223" t="inlineStr">
        <is>
          <t>диапазон</t>
        </is>
      </c>
      <c r="D223" t="inlineStr">
        <is>
          <t>глобально</t>
        </is>
      </c>
      <c r="E223" t="inlineStr">
        <is>
          <t>корпус камеры</t>
        </is>
      </c>
      <c r="F223" t="inlineStr">
        <is>
          <t>производители камер</t>
        </is>
      </c>
      <c r="G223" t="inlineStr">
        <is>
          <t>Механический затвор использует пружины, шторки, рычаги и зубчатые передачи, чтобы открыть плёнку ровно на выбранное время.</t>
        </is>
      </c>
      <c r="H223" t="inlineStr">
        <is>
          <t>Оптические инструменты</t>
        </is>
      </c>
      <c r="I223" t="inlineStr">
        <is>
          <t>Mechanical focal-plane shutter</t>
        </is>
      </c>
      <c r="J223" t="inlineStr">
        <is>
          <t>Выдержка становится физическим временем движения механизма: фотограф слышит и чувствует работу камеры.</t>
        </is>
      </c>
      <c r="K223" t="inlineStr">
        <is>
          <t>Автономность без батарей</t>
        </is>
      </c>
      <c r="L223" t="inlineStr">
        <is>
          <t>Диск выдержек и прямое управление</t>
        </is>
      </c>
      <c r="M223" t="inlineStr">
        <is>
          <t>Главная линия / управление временем</t>
        </is>
      </c>
      <c r="N223" t="n">
        <v>5</v>
      </c>
      <c r="O223" t="inlineStr">
        <is>
          <t>PL-022</t>
        </is>
      </c>
      <c r="P223" t="inlineStr">
        <is>
          <t>SRC-168</t>
        </is>
      </c>
      <c r="Q223" t="inlineStr">
        <is>
          <t>Nikon — FM2 Instruction Manual</t>
        </is>
      </c>
      <c r="R223" t="inlineStr">
        <is>
          <t>https://cdn-10.nikon-cdn.com/pdf/manuals/archive/FM2.pdf</t>
        </is>
      </c>
      <c r="S223" t="n">
        <v>5</v>
      </c>
      <c r="T223" t="inlineStr">
        <is>
          <t>Не надо уходить в ремонтную механику; достаточно показать, что выдержка — это реальное движение.</t>
        </is>
      </c>
      <c r="U223" t="inlineStr">
        <is>
          <t>Крупный учебный разрез: две шторки затвора, пружина, шестерёнка, стрелка движения.</t>
        </is>
      </c>
      <c r="V223" t="inlineStr">
        <is>
          <t>#PL022 #mechanical-shutter #focal-plane #shutter-curtains</t>
        </is>
      </c>
      <c r="Y223" t="inlineStr">
        <is>
          <t>Механическая камера / затвор</t>
        </is>
      </c>
      <c r="Z223" t="inlineStr">
        <is>
          <t>Технология / процесс</t>
        </is>
      </c>
    </row>
    <row r="224" ht="17" customHeight="1" s="72">
      <c r="A224" t="inlineStr">
        <is>
          <t>PL-HIST-0223</t>
        </is>
      </c>
      <c r="B224" t="inlineStr">
        <is>
          <t>XX–XXI век</t>
        </is>
      </c>
      <c r="C224" t="inlineStr">
        <is>
          <t>диапазон</t>
        </is>
      </c>
      <c r="D224" t="inlineStr">
        <is>
          <t>Япония</t>
        </is>
      </c>
      <c r="E224" t="inlineStr">
        <is>
          <t>Токио</t>
        </is>
      </c>
      <c r="F224" t="inlineStr">
        <is>
          <t>Nikon</t>
        </is>
      </c>
      <c r="G224" t="inlineStr">
        <is>
          <t>В механической логике диск выдержек связан с затвором физически: поворот диска меняет работу механизма, а не просто отправляет команду процессору.</t>
        </is>
      </c>
      <c r="H224" t="inlineStr">
        <is>
          <t>Оптические инструменты</t>
        </is>
      </c>
      <c r="I224" t="inlineStr">
        <is>
          <t>Mechanical linkage / shutter dial</t>
        </is>
      </c>
      <c r="J224" t="inlineStr">
        <is>
          <t>Настройки становятся ощутимыми: каждое значение выдержки — это положение механизма, а не абстрактный пункт меню.</t>
        </is>
      </c>
      <c r="K224" t="inlineStr">
        <is>
          <t>Механический затвор</t>
        </is>
      </c>
      <c r="L224" t="inlineStr">
        <is>
          <t>Ручная диафрагма и фокус</t>
        </is>
      </c>
      <c r="M224" t="inlineStr">
        <is>
          <t>Главная линия / практическое управление</t>
        </is>
      </c>
      <c r="N224" t="n">
        <v>4</v>
      </c>
      <c r="O224" t="inlineStr">
        <is>
          <t>PL-022</t>
        </is>
      </c>
      <c r="P224" t="inlineStr">
        <is>
          <t>SRC-176</t>
        </is>
      </c>
      <c r="Q224" t="inlineStr">
        <is>
          <t>Nikon — FM3A Camera Chronicle</t>
        </is>
      </c>
      <c r="R224" t="inlineStr">
        <is>
          <t>https://imaging.nikon.com/imaging/information/chronicle/history-fm3a/</t>
        </is>
      </c>
      <c r="S224" t="n">
        <v>5</v>
      </c>
      <c r="T224" t="inlineStr">
        <is>
          <t>Это отличает механическую культуру от цифровой: фотограф видит и чувствует настройки руками.</t>
        </is>
      </c>
      <c r="U224" t="inlineStr">
        <is>
          <t>Диск выдержек в разрезе: от цифр на крышке к шестерням и затвору.</t>
        </is>
      </c>
      <c r="V224" t="inlineStr">
        <is>
          <t>#PL022 #shutter-dial #mechanical-linkage #manual-control</t>
        </is>
      </c>
      <c r="X224" t="inlineStr">
        <is>
          <t>35.6762, 139.6503</t>
        </is>
      </c>
      <c r="Y224" t="inlineStr">
        <is>
          <t>Механическая камера / диск выдержек</t>
        </is>
      </c>
      <c r="Z224" t="inlineStr">
        <is>
          <t>Технология / процесс</t>
        </is>
      </c>
    </row>
    <row r="225" ht="17" customHeight="1" s="72">
      <c r="A225" t="inlineStr">
        <is>
          <t>PL-HIST-0224</t>
        </is>
      </c>
      <c r="B225" t="inlineStr">
        <is>
          <t>XX век</t>
        </is>
      </c>
      <c r="C225" t="inlineStr">
        <is>
          <t>диапазон</t>
        </is>
      </c>
      <c r="D225" t="inlineStr">
        <is>
          <t>глобально</t>
        </is>
      </c>
      <c r="E225" t="inlineStr">
        <is>
          <t>объектив</t>
        </is>
      </c>
      <c r="F225" t="inlineStr">
        <is>
          <t>фотографы</t>
        </is>
      </c>
      <c r="G225" t="inlineStr">
        <is>
          <t>Ручная диафрагма задаётся кольцом на объективе: фотограф сам выбирает, сколько света пустить и какой глубины резкости добиться.</t>
        </is>
      </c>
      <c r="H225" t="inlineStr">
        <is>
          <t>Оптические инструменты</t>
        </is>
      </c>
      <c r="I225" t="inlineStr">
        <is>
          <t>Manual aperture ring</t>
        </is>
      </c>
      <c r="J225" t="inlineStr">
        <is>
          <t>Объектив перестаёт быть «стеклом спереди» и становится активным органом управления экспозицией и рисунком.</t>
        </is>
      </c>
      <c r="K225" t="inlineStr">
        <is>
          <t>Диск выдержек</t>
        </is>
      </c>
      <c r="L225" t="inlineStr">
        <is>
          <t>Ручная фокусировка</t>
        </is>
      </c>
      <c r="M225" t="inlineStr">
        <is>
          <t>Главная линия / практическое управление</t>
        </is>
      </c>
      <c r="N225" t="n">
        <v>5</v>
      </c>
      <c r="O225" t="inlineStr">
        <is>
          <t>PL-022</t>
        </is>
      </c>
      <c r="P225" t="inlineStr">
        <is>
          <t>SRC-175</t>
        </is>
      </c>
      <c r="Q225" t="inlineStr">
        <is>
          <t>Leica — Press Release: Leica M-A</t>
        </is>
      </c>
      <c r="R225" t="inlineStr">
        <is>
          <t>https://leica-camera.com/it-IT/Company/Press-Centre/Press-Releases/Photokina-2014/Press-Release-The-pinnacle-of-mechanical-technology-LEICA-M-A-The-precision-tool-for-lovers-of-decelerated-photography</t>
        </is>
      </c>
      <c r="S225" t="n">
        <v>5</v>
      </c>
      <c r="T225" t="inlineStr">
        <is>
          <t>Связать с будущим PL-039: диафрагма — это не только яркость, но и визуальный язык.</t>
        </is>
      </c>
      <c r="U225" t="inlineStr">
        <is>
          <t>Кольцо диафрагмы с f/2.8–f/16, пальцы поворачивают его на объективе.</t>
        </is>
      </c>
      <c r="V225" t="inlineStr">
        <is>
          <t>#PL022 #aperture-ring #manual-aperture #depth-of-field</t>
        </is>
      </c>
      <c r="Y225" t="inlineStr">
        <is>
          <t>Механическая камера / ручная диафрагма</t>
        </is>
      </c>
      <c r="Z225" t="inlineStr">
        <is>
          <t>Инструмент / устройство</t>
        </is>
      </c>
    </row>
    <row r="226" ht="17" customHeight="1" s="72">
      <c r="A226" t="inlineStr">
        <is>
          <t>PL-HIST-0225</t>
        </is>
      </c>
      <c r="B226" t="inlineStr">
        <is>
          <t>XX век</t>
        </is>
      </c>
      <c r="C226" t="inlineStr">
        <is>
          <t>диапазон</t>
        </is>
      </c>
      <c r="D226" t="inlineStr">
        <is>
          <t>глобально</t>
        </is>
      </c>
      <c r="E226" t="inlineStr">
        <is>
          <t>видоискатель / объектив</t>
        </is>
      </c>
      <c r="F226" t="inlineStr">
        <is>
          <t>фотографы</t>
        </is>
      </c>
      <c r="G226" t="inlineStr">
        <is>
          <t>Ручная фокусировка заставляет фотографа самому совместить плоскость резкости с объектом: камера не ищет фокус за него.</t>
        </is>
      </c>
      <c r="H226" t="inlineStr">
        <is>
          <t>Оптические инструменты</t>
        </is>
      </c>
      <c r="I226" t="inlineStr">
        <is>
          <t>Manual focusing / split-image screen</t>
        </is>
      </c>
      <c r="J226" t="inlineStr">
        <is>
          <t>Фокус становится осознанным выбором: куда именно направить внимание зрителя и что оставить вне резкости.</t>
        </is>
      </c>
      <c r="K226" t="inlineStr">
        <is>
          <t>Ручная диафрагма</t>
        </is>
      </c>
      <c r="L226" t="inlineStr">
        <is>
          <t>Дальномер и зеркальная фокусировка</t>
        </is>
      </c>
      <c r="M226" t="inlineStr">
        <is>
          <t>Главная линия / практическое управление</t>
        </is>
      </c>
      <c r="N226" t="n">
        <v>5</v>
      </c>
      <c r="O226" t="inlineStr">
        <is>
          <t>PL-022</t>
        </is>
      </c>
      <c r="P226" t="inlineStr">
        <is>
          <t>SRC-168</t>
        </is>
      </c>
      <c r="Q226" t="inlineStr">
        <is>
          <t>Nikon — FM2 Instruction Manual</t>
        </is>
      </c>
      <c r="R226" t="inlineStr">
        <is>
          <t>https://cdn-10.nikon-cdn.com/pdf/manuals/archive/FM2.pdf</t>
        </is>
      </c>
      <c r="S226" t="n">
        <v>5</v>
      </c>
      <c r="T226" t="inlineStr">
        <is>
          <t>Показать связь с будущим модулем «Фокус и резкость»: механика тренирует глаз.</t>
        </is>
      </c>
      <c r="U226" t="inlineStr">
        <is>
          <t>Вид в видоискатель со split-image кругом; объект совмещается в центре.</t>
        </is>
      </c>
      <c r="V226" t="inlineStr">
        <is>
          <t>#PL022 #manual-focus #focusing-screen #split-image</t>
        </is>
      </c>
      <c r="Y226" t="inlineStr">
        <is>
          <t>Механическая камера / ручная фокусировка</t>
        </is>
      </c>
      <c r="Z226" t="inlineStr">
        <is>
          <t>Применение / жанр</t>
        </is>
      </c>
    </row>
    <row r="227" ht="17" customHeight="1" s="72">
      <c r="A227" t="inlineStr">
        <is>
          <t>PL-HIST-0226</t>
        </is>
      </c>
      <c r="B227" t="inlineStr">
        <is>
          <t>XX–XXI век</t>
        </is>
      </c>
      <c r="C227" t="inlineStr">
        <is>
          <t>диапазон</t>
        </is>
      </c>
      <c r="D227" t="inlineStr">
        <is>
          <t>Германия</t>
        </is>
      </c>
      <c r="E227" t="inlineStr">
        <is>
          <t>Вецлар</t>
        </is>
      </c>
      <c r="F227" t="inlineStr">
        <is>
          <t>Leica Camera</t>
        </is>
      </c>
      <c r="G227" t="inlineStr">
        <is>
          <t>Механический дальномер измеряет расстояние оптическим способом: фотограф совмещает двойное изображение в видоискателе и наводит объектив.</t>
        </is>
      </c>
      <c r="H227" t="inlineStr">
        <is>
          <t>Оптические инструменты</t>
        </is>
      </c>
      <c r="I227" t="inlineStr">
        <is>
          <t>Mechanical rangefinder focusing</t>
        </is>
      </c>
      <c r="J227" t="inlineStr">
        <is>
          <t>Появляется другой способ точной фокусировки без зеркала: компактная камера остаётся маленькой, а фокусировка — осознанной.</t>
        </is>
      </c>
      <c r="K227" t="inlineStr">
        <is>
          <t>Ручная фокусировка</t>
        </is>
      </c>
      <c r="L227" t="inlineStr">
        <is>
          <t>Зеркальная камера и будущий PL-024</t>
        </is>
      </c>
      <c r="M227" t="inlineStr">
        <is>
          <t>Главная линия / тип камеры</t>
        </is>
      </c>
      <c r="N227" t="n">
        <v>4</v>
      </c>
      <c r="O227" t="inlineStr">
        <is>
          <t>PL-022</t>
        </is>
      </c>
      <c r="P227" t="inlineStr">
        <is>
          <t>SRC-170</t>
        </is>
      </c>
      <c r="Q227" t="inlineStr">
        <is>
          <t>Leica — M-A Technical Specifications</t>
        </is>
      </c>
      <c r="R227" t="inlineStr">
        <is>
          <t>https://leica-camera.com/en-DK/photography/cameras/m/m-a-typ-127-black/technical-specification</t>
        </is>
      </c>
      <c r="S227" t="n">
        <v>5</v>
      </c>
      <c r="T227" t="inlineStr">
        <is>
          <t>Мост к PL-024: дальномер — отдельная большая ветка плёночных камер.</t>
        </is>
      </c>
      <c r="U227" t="inlineStr">
        <is>
          <t>Два изображения объекта в дальномерном пятне постепенно совмещаются.</t>
        </is>
      </c>
      <c r="V227" t="inlineStr">
        <is>
          <t>#PL022 #rangefinder #Leica #manual-focus</t>
        </is>
      </c>
      <c r="X227" t="inlineStr">
        <is>
          <t>50.5586, 8.5030</t>
        </is>
      </c>
      <c r="Y227" t="inlineStr">
        <is>
          <t>Механическая камера / дальномер</t>
        </is>
      </c>
      <c r="Z227" t="inlineStr">
        <is>
          <t>Инструмент / устройство</t>
        </is>
      </c>
    </row>
    <row r="228" ht="17" customHeight="1" s="72">
      <c r="A228" t="inlineStr">
        <is>
          <t>PL-HIST-0227</t>
        </is>
      </c>
      <c r="B228" t="inlineStr">
        <is>
          <t>1959</t>
        </is>
      </c>
      <c r="C228" t="inlineStr">
        <is>
          <t>год</t>
        </is>
      </c>
      <c r="D228" t="inlineStr">
        <is>
          <t>Япония</t>
        </is>
      </c>
      <c r="E228" t="inlineStr">
        <is>
          <t>Токио</t>
        </is>
      </c>
      <c r="F228" t="inlineStr">
        <is>
          <t>Nikon</t>
        </is>
      </c>
      <c r="G228" t="inlineStr">
        <is>
          <t>Механическая зеркальная камера использует зеркало, пентапризму и фокусировочный экран, чтобы фотограф видел кадр через объектив.</t>
        </is>
      </c>
      <c r="H228" t="inlineStr">
        <is>
          <t>Оптические инструменты</t>
        </is>
      </c>
      <c r="I228" t="inlineStr">
        <is>
          <t>Mechanical SLR viewing mechanism</t>
        </is>
      </c>
      <c r="J228" t="inlineStr">
        <is>
          <t>Механика работает не только в затворе: даже процесс наблюдения кадра может быть построен на движении зеркала и оптической схеме.</t>
        </is>
      </c>
      <c r="K228" t="inlineStr">
        <is>
          <t>Механический дальномер</t>
        </is>
      </c>
      <c r="L228" t="inlineStr">
        <is>
          <t>Рычаг взвода и транспорт плёнки</t>
        </is>
      </c>
      <c r="M228" t="inlineStr">
        <is>
          <t>Главная линия / тип камеры</t>
        </is>
      </c>
      <c r="N228" t="n">
        <v>4</v>
      </c>
      <c r="O228" t="inlineStr">
        <is>
          <t>PL-022</t>
        </is>
      </c>
      <c r="P228" t="inlineStr">
        <is>
          <t>SRC-172</t>
        </is>
      </c>
      <c r="Q228" t="inlineStr">
        <is>
          <t>Nikon — Corporate History / Nikon F</t>
        </is>
      </c>
      <c r="R228" t="inlineStr">
        <is>
          <t>https://www.nikon.com/company/corporate/history/</t>
        </is>
      </c>
      <c r="S228" t="n">
        <v>5</v>
      </c>
      <c r="T228" t="inlineStr">
        <is>
          <t>Сравнить с дальномером без утверждения «лучше»: это разные способы видеть кадр.</t>
        </is>
      </c>
      <c r="U228" t="inlineStr">
        <is>
          <t>SLR-разрез: зеркало поднялось, свет пошёл к плёнке; до спуска свет шёл к глазу.</t>
        </is>
      </c>
      <c r="V228" t="inlineStr">
        <is>
          <t>#PL022 #SLR #mirror #pentaprism #mechanical-camera</t>
        </is>
      </c>
      <c r="X228" t="inlineStr">
        <is>
          <t>35.6762, 139.6503</t>
        </is>
      </c>
      <c r="Y228" t="inlineStr">
        <is>
          <t>Механическая камера / зеркальная схема</t>
        </is>
      </c>
      <c r="Z228" t="inlineStr">
        <is>
          <t>Инструмент / устройство</t>
        </is>
      </c>
    </row>
    <row r="229" ht="17" customHeight="1" s="72">
      <c r="A229" t="inlineStr">
        <is>
          <t>PL-HIST-0228</t>
        </is>
      </c>
      <c r="B229" t="inlineStr">
        <is>
          <t>XX век</t>
        </is>
      </c>
      <c r="C229" t="inlineStr">
        <is>
          <t>диапазон</t>
        </is>
      </c>
      <c r="D229" t="inlineStr">
        <is>
          <t>глобально</t>
        </is>
      </c>
      <c r="E229" t="inlineStr">
        <is>
          <t>верхняя панель камеры</t>
        </is>
      </c>
      <c r="F229" t="inlineStr">
        <is>
          <t>производители камер</t>
        </is>
      </c>
      <c r="G229" t="inlineStr">
        <is>
          <t>Рычаг взвода механически протягивает плёнку, переводит следующий кадр к окну и часто одновременно взводит затвор.</t>
        </is>
      </c>
      <c r="H229" t="inlineStr">
        <is>
          <t>Оптические инструменты</t>
        </is>
      </c>
      <c r="I229" t="inlineStr">
        <is>
          <t>Manual winding / cocking shutter</t>
        </is>
      </c>
      <c r="J229" t="inlineStr">
        <is>
          <t>После каждого снимка фотограф физически готовит следующий кадр — поэтому плёнка замедляет и дисциплинирует съёмку.</t>
        </is>
      </c>
      <c r="K229" t="inlineStr">
        <is>
          <t>Зеркальная схема</t>
        </is>
      </c>
      <c r="L229" t="inlineStr">
        <is>
          <t>Счётчик кадров и перемотка</t>
        </is>
      </c>
      <c r="M229" t="inlineStr">
        <is>
          <t>Главная линия / практическое управление</t>
        </is>
      </c>
      <c r="N229" t="n">
        <v>5</v>
      </c>
      <c r="O229" t="inlineStr">
        <is>
          <t>PL-022</t>
        </is>
      </c>
      <c r="P229" t="inlineStr">
        <is>
          <t>SRC-168</t>
        </is>
      </c>
      <c r="Q229" t="inlineStr">
        <is>
          <t>Nikon — FM2 Instruction Manual</t>
        </is>
      </c>
      <c r="R229" t="inlineStr">
        <is>
          <t>https://cdn-10.nikon-cdn.com/pdf/manuals/archive/FM2.pdf</t>
        </is>
      </c>
      <c r="S229" t="n">
        <v>5</v>
      </c>
      <c r="T229" t="inlineStr">
        <is>
          <t>Это можно показать в Reels: щелчок — взвод — следующий кадр.</t>
        </is>
      </c>
      <c r="U229" t="inlineStr">
        <is>
          <t>Рука тянет рычаг взвода; полоса плёнки двигается на один кадр.</t>
        </is>
      </c>
      <c r="V229" t="inlineStr">
        <is>
          <t>#PL022 #film-advance #cocking-shutter #manual-wind</t>
        </is>
      </c>
      <c r="Y229" t="inlineStr">
        <is>
          <t>Механическая камера / взвод и протяжка</t>
        </is>
      </c>
      <c r="Z229" t="inlineStr">
        <is>
          <t>Технология / процесс</t>
        </is>
      </c>
    </row>
    <row r="230" ht="17" customHeight="1" s="72">
      <c r="A230" t="inlineStr">
        <is>
          <t>PL-HIST-0229</t>
        </is>
      </c>
      <c r="B230" t="inlineStr">
        <is>
          <t>XX век</t>
        </is>
      </c>
      <c r="C230" t="inlineStr">
        <is>
          <t>диапазон</t>
        </is>
      </c>
      <c r="D230" t="inlineStr">
        <is>
          <t>глобально</t>
        </is>
      </c>
      <c r="E230" t="inlineStr">
        <is>
          <t>корпус камеры</t>
        </is>
      </c>
      <c r="F230" t="inlineStr">
        <is>
          <t>производители камер</t>
        </is>
      </c>
      <c r="G230" t="inlineStr">
        <is>
          <t>Счётчик кадров, кнопка обратной перемотки и ручка rewind образуют простую механику контроля рулона.</t>
        </is>
      </c>
      <c r="H230" t="inlineStr">
        <is>
          <t>Оптические инструменты</t>
        </is>
      </c>
      <c r="I230" t="inlineStr">
        <is>
          <t>Manual frame counter and rewind</t>
        </is>
      </c>
      <c r="J230" t="inlineStr">
        <is>
          <t>Фотограф учится уважать физический носитель: плёнка имеет начало, конец, натяжение и процедуру безопасного извлечения.</t>
        </is>
      </c>
      <c r="K230" t="inlineStr">
        <is>
          <t>Взвод и протяжка</t>
        </is>
      </c>
      <c r="L230" t="inlineStr">
        <is>
          <t>Экспонометр как вспомогательная электроника</t>
        </is>
      </c>
      <c r="M230" t="inlineStr">
        <is>
          <t>Главная линия / практическое управление</t>
        </is>
      </c>
      <c r="N230" t="n">
        <v>4</v>
      </c>
      <c r="O230" t="inlineStr">
        <is>
          <t>PL-022</t>
        </is>
      </c>
      <c r="P230" t="inlineStr">
        <is>
          <t>SRC-168</t>
        </is>
      </c>
      <c r="Q230" t="inlineStr">
        <is>
          <t>Nikon — FM2 Instruction Manual</t>
        </is>
      </c>
      <c r="R230" t="inlineStr">
        <is>
          <t>https://cdn-10.nikon-cdn.com/pdf/manuals/archive/FM2.pdf</t>
        </is>
      </c>
      <c r="S230" t="n">
        <v>5</v>
      </c>
      <c r="T230" t="inlineStr">
        <is>
          <t>Практический вывод: не открывать камеру до перемотки — базовое правило.</t>
        </is>
      </c>
      <c r="U230" t="inlineStr">
        <is>
          <t>Верх камеры: счётчик кадров, рычаг перемотки, кассета и стрелка обратного движения.</t>
        </is>
      </c>
      <c r="V230" t="inlineStr">
        <is>
          <t>#PL022 #rewind #frame-counter #manual-film-camera</t>
        </is>
      </c>
      <c r="Y230" t="inlineStr">
        <is>
          <t>Механическая камера / контроль рулона</t>
        </is>
      </c>
      <c r="Z230" t="inlineStr">
        <is>
          <t>Инструмент / устройство</t>
        </is>
      </c>
    </row>
    <row r="231" ht="17" customHeight="1" s="72">
      <c r="A231" t="inlineStr">
        <is>
          <t>PL-HIST-0230</t>
        </is>
      </c>
      <c r="B231" t="inlineStr">
        <is>
          <t>XX–XXI век</t>
        </is>
      </c>
      <c r="C231" t="inlineStr">
        <is>
          <t>диапазон</t>
        </is>
      </c>
      <c r="D231" t="inlineStr">
        <is>
          <t>глобально</t>
        </is>
      </c>
      <c r="E231" t="inlineStr">
        <is>
          <t>камера и экспонометр</t>
        </is>
      </c>
      <c r="F231" t="inlineStr">
        <is>
          <t>производители камер / фотографы</t>
        </is>
      </c>
      <c r="G231" t="inlineStr">
        <is>
          <t>Механическая камера может иметь электронный экспонометр, но это не делает её автоматической: измерение света помогает, а решение всё равно остаётся за фотографом.</t>
        </is>
      </c>
      <c r="H231" t="inlineStr">
        <is>
          <t>Оптические инструменты</t>
        </is>
      </c>
      <c r="I231" t="inlineStr">
        <is>
          <t>Meter-assisted manual camera</t>
        </is>
      </c>
      <c r="J231" t="inlineStr">
        <is>
          <t>Разделяется важная логика: «камера подсказывает» и «камера сама выбирает» — это разные уровни автоматизации.</t>
        </is>
      </c>
      <c r="K231" t="inlineStr">
        <is>
          <t>Контроль рулона</t>
        </is>
      </c>
      <c r="L231" t="inlineStr">
        <is>
          <t>Камера с автоматикой PL-023</t>
        </is>
      </c>
      <c r="M231" t="inlineStr">
        <is>
          <t>Связь / переход</t>
        </is>
      </c>
      <c r="N231" t="n">
        <v>5</v>
      </c>
      <c r="O231" t="inlineStr">
        <is>
          <t>PL-022</t>
        </is>
      </c>
      <c r="P231" t="inlineStr">
        <is>
          <t>SRC-168</t>
        </is>
      </c>
      <c r="Q231" t="inlineStr">
        <is>
          <t>Nikon — FM2 Instruction Manual</t>
        </is>
      </c>
      <c r="R231" t="inlineStr">
        <is>
          <t>https://cdn-10.nikon-cdn.com/pdf/manuals/archive/FM2.pdf</t>
        </is>
      </c>
      <c r="S231" t="n">
        <v>5</v>
      </c>
      <c r="T231" t="inlineStr">
        <is>
          <t>Финал PL-022: механика не значит примитивность; это осознанный ручной контроль.</t>
        </is>
      </c>
      <c r="U231" t="inlineStr">
        <is>
          <t>Механическая камера + индикатор экспонометра в видоискателе; рядом карточка «решение — за фотографом».</t>
        </is>
      </c>
      <c r="V231" t="inlineStr">
        <is>
          <t>#PL022 #manual-exposure #light-meter #camera-automation</t>
        </is>
      </c>
      <c r="Y231" t="inlineStr">
        <is>
          <t>Механическая камера / экспонометр без автоматики</t>
        </is>
      </c>
      <c r="Z231" t="inlineStr">
        <is>
          <t>Связь / переход</t>
        </is>
      </c>
    </row>
    <row r="232" ht="17" customHeight="1" s="72">
      <c r="A232" t="inlineStr">
        <is>
          <t>PL-HIST-0231</t>
        </is>
      </c>
      <c r="B232" t="inlineStr">
        <is>
          <t>1976</t>
        </is>
      </c>
      <c r="C232" t="inlineStr">
        <is>
          <t>год</t>
        </is>
      </c>
      <c r="D232" t="inlineStr">
        <is>
          <t>Япония</t>
        </is>
      </c>
      <c r="E232" t="inlineStr">
        <is>
          <t>Токио</t>
        </is>
      </c>
      <c r="F232" t="inlineStr">
        <is>
          <t>Canon</t>
        </is>
      </c>
      <c r="G232" t="inlineStr">
        <is>
          <t>Canon AE-1 показывает поворот к электронной автоматике: 35-мм зеркальная камера получила shutter-priority TTL AE и встроенный CPU.</t>
        </is>
      </c>
      <c r="H232" t="inlineStr">
        <is>
          <t>Оптические инструменты</t>
        </is>
      </c>
      <c r="I232" t="inlineStr">
        <is>
          <t>Shutter-priority AE / CPU-controlled SLR</t>
        </is>
      </c>
      <c r="J232" t="inlineStr">
        <is>
          <t>Камера начинает брать на себя часть расчёта экспозиции: фотограф выбирает один параметр, а камера подбирает второй.</t>
        </is>
      </c>
      <c r="K232" t="inlineStr">
        <is>
          <t>Механическая камера PL-022</t>
        </is>
      </c>
      <c r="L232" t="inlineStr">
        <is>
          <t>Aperture-priority AE и программа</t>
        </is>
      </c>
      <c r="M232" t="inlineStr">
        <is>
          <t>Главная линия / автоматизация</t>
        </is>
      </c>
      <c r="N232" t="n">
        <v>5</v>
      </c>
      <c r="O232" t="inlineStr">
        <is>
          <t>PL-023</t>
        </is>
      </c>
      <c r="P232" t="inlineStr">
        <is>
          <t>SRC-178</t>
        </is>
      </c>
      <c r="Q232" t="inlineStr">
        <is>
          <t>Canon Camera Museum — View by period 1976–1986</t>
        </is>
      </c>
      <c r="R232" t="inlineStr">
        <is>
          <t>https://global.canon/en/c-museum/history/story06.html</t>
        </is>
      </c>
      <c r="S232" t="n">
        <v>5</v>
      </c>
      <c r="T232" t="inlineStr">
        <is>
          <t>Флагман урока: автоматика начинается не с «камера всё делает сама», а с разделения ответственности.</t>
        </is>
      </c>
      <c r="U232" t="inlineStr">
        <is>
          <t>Canon AE-1 на тёмном столе, рядом схема: фотограф выбирает выдержку → камера выбирает диафрагму.</t>
        </is>
      </c>
      <c r="V232" t="inlineStr">
        <is>
          <t>#PL023 #CanonAE1 #automatic-exposure #CPU #TTL</t>
        </is>
      </c>
      <c r="X232" t="inlineStr">
        <is>
          <t>35.6762, 139.6503</t>
        </is>
      </c>
      <c r="Y232" t="inlineStr">
        <is>
          <t>Камера с автоматикой / AE и CPU</t>
        </is>
      </c>
      <c r="Z232" t="inlineStr">
        <is>
          <t>Ключевой исторический узел</t>
        </is>
      </c>
      <c r="AA232" t="inlineStr">
        <is>
          <t>да</t>
        </is>
      </c>
    </row>
    <row r="233" ht="17" customHeight="1" s="72">
      <c r="A233" t="inlineStr">
        <is>
          <t>PL-HIST-0232</t>
        </is>
      </c>
      <c r="B233" t="inlineStr">
        <is>
          <t>1976</t>
        </is>
      </c>
      <c r="C233" t="inlineStr">
        <is>
          <t>год</t>
        </is>
      </c>
      <c r="D233" t="inlineStr">
        <is>
          <t>Япония</t>
        </is>
      </c>
      <c r="E233" t="inlineStr">
        <is>
          <t>Токио</t>
        </is>
      </c>
      <c r="F233" t="inlineStr">
        <is>
          <t>Canon</t>
        </is>
      </c>
      <c r="G233" t="inlineStr">
        <is>
          <t>AE-1 был спроектирован модульно: крупные и малые блоки упрощали производство, ремонт и массовое распространение электронной камеры.</t>
        </is>
      </c>
      <c r="H233" t="inlineStr">
        <is>
          <t>Оптические инструменты</t>
        </is>
      </c>
      <c r="I233" t="inlineStr">
        <is>
          <t>Modular electronic SLR construction</t>
        </is>
      </c>
      <c r="J233" t="inlineStr">
        <is>
          <t>Автоматика становится не только функцией для фотографа, но и промышленной системой: камеру можно производить масштабнее и дешевле.</t>
        </is>
      </c>
      <c r="K233" t="inlineStr">
        <is>
          <t>CPU и shutter-priority AE</t>
        </is>
      </c>
      <c r="L233" t="inlineStr">
        <is>
          <t>Много режимов AE</t>
        </is>
      </c>
      <c r="M233" t="inlineStr">
        <is>
          <t>Распространение / коммерциализация</t>
        </is>
      </c>
      <c r="N233" t="n">
        <v>4</v>
      </c>
      <c r="O233" t="inlineStr">
        <is>
          <t>PL-023</t>
        </is>
      </c>
      <c r="P233" t="inlineStr">
        <is>
          <t>SRC-177</t>
        </is>
      </c>
      <c r="Q233" t="inlineStr">
        <is>
          <t>Canon Camera Museum — AE-1</t>
        </is>
      </c>
      <c r="R233" t="inlineStr">
        <is>
          <t>https://global.canon/en/c-museum/product/film93.html</t>
        </is>
      </c>
      <c r="S233" t="n">
        <v>5</v>
      </c>
      <c r="T233" t="inlineStr">
        <is>
          <t>Хороший узел для карты: автоматика связана с массовым рынком, а не только с электроникой.</t>
        </is>
      </c>
      <c r="U233" t="inlineStr">
        <is>
          <t>Разобранная камера на модули: корпус, затвор, плата, видоискатель, рычаги.</t>
        </is>
      </c>
      <c r="V233" t="inlineStr">
        <is>
          <t>#PL023 #CanonAE1 #camera-industry #modular-design</t>
        </is>
      </c>
      <c r="X233" t="inlineStr">
        <is>
          <t>35.6762, 139.6503</t>
        </is>
      </c>
      <c r="Y233" t="inlineStr">
        <is>
          <t>Камера с автоматикой / модульная конструкция</t>
        </is>
      </c>
      <c r="Z233" t="inlineStr">
        <is>
          <t>Распространение / коммерциализация</t>
        </is>
      </c>
    </row>
    <row r="234" ht="17" customHeight="1" s="72">
      <c r="A234" t="inlineStr">
        <is>
          <t>PL-HIST-0233</t>
        </is>
      </c>
      <c r="B234" t="inlineStr">
        <is>
          <t>1978</t>
        </is>
      </c>
      <c r="C234" t="inlineStr">
        <is>
          <t>год</t>
        </is>
      </c>
      <c r="D234" t="inlineStr">
        <is>
          <t>Япония</t>
        </is>
      </c>
      <c r="E234" t="inlineStr">
        <is>
          <t>Токио</t>
        </is>
      </c>
      <c r="F234" t="inlineStr">
        <is>
          <t>Canon</t>
        </is>
      </c>
      <c r="G234" t="inlineStr">
        <is>
          <t>Canon A-1 расширяет идею автоматической экспозиции: shutter-priority AE, aperture-priority AE, program AE, preset aperture AE и Speedlite AE.</t>
        </is>
      </c>
      <c r="H234" t="inlineStr">
        <is>
          <t>Оптические инструменты</t>
        </is>
      </c>
      <c r="I234" t="inlineStr">
        <is>
          <t>Multi-mode AE / Program AE</t>
        </is>
      </c>
      <c r="J234" t="inlineStr">
        <is>
          <t>Камера превращается в систему режимов: фотограф может выбрать степень контроля — от ручного решения до программной автоматики.</t>
        </is>
      </c>
      <c r="K234" t="inlineStr">
        <is>
          <t>AE-1 и shutter-priority AE</t>
        </is>
      </c>
      <c r="L234" t="inlineStr">
        <is>
          <t>Профессиональная aperture-priority AE</t>
        </is>
      </c>
      <c r="M234" t="inlineStr">
        <is>
          <t>Главная линия / автоматизация</t>
        </is>
      </c>
      <c r="N234" t="n">
        <v>5</v>
      </c>
      <c r="O234" t="inlineStr">
        <is>
          <t>PL-023</t>
        </is>
      </c>
      <c r="P234" t="inlineStr">
        <is>
          <t>SRC-179</t>
        </is>
      </c>
      <c r="Q234" t="inlineStr">
        <is>
          <t>Canon Camera Museum — A-1</t>
        </is>
      </c>
      <c r="R234" t="inlineStr">
        <is>
          <t>https://global.canon/en/c-museum/product/film100.html</t>
        </is>
      </c>
      <c r="S234" t="n">
        <v>5</v>
      </c>
      <c r="T234" t="inlineStr">
        <is>
          <t>Объяснить через будущие PASM: Program, Aperture priority, Shutter priority, Manual — это не цифровая выдумка, корни в плёночной автоматике.</t>
        </is>
      </c>
      <c r="U234" t="inlineStr">
        <is>
          <t>Панель режимов A-1 как карта: Tv, Av, Program, Manual; тонкие линии к диафрагме и затвору.</t>
        </is>
      </c>
      <c r="V234" t="inlineStr">
        <is>
          <t>#PL023 #CanonA1 #ProgramAE #PASM #automatic-exposure</t>
        </is>
      </c>
      <c r="X234" t="inlineStr">
        <is>
          <t>35.6762, 139.6503</t>
        </is>
      </c>
      <c r="Y234" t="inlineStr">
        <is>
          <t>Камера с автоматикой / режимы AE</t>
        </is>
      </c>
      <c r="Z234" t="inlineStr">
        <is>
          <t>Терминология / язык</t>
        </is>
      </c>
    </row>
    <row r="235" ht="17" customHeight="1" s="72">
      <c r="A235" t="inlineStr">
        <is>
          <t>PL-HIST-0234</t>
        </is>
      </c>
      <c r="B235" t="inlineStr">
        <is>
          <t>1980</t>
        </is>
      </c>
      <c r="C235" t="inlineStr">
        <is>
          <t>год</t>
        </is>
      </c>
      <c r="D235" t="inlineStr">
        <is>
          <t>Япония</t>
        </is>
      </c>
      <c r="E235" t="inlineStr">
        <is>
          <t>Токио</t>
        </is>
      </c>
      <c r="F235" t="inlineStr">
        <is>
          <t>Nikon</t>
        </is>
      </c>
      <c r="G235" t="inlineStr">
        <is>
          <t>Nikon F3 переносит электронно-управляемую aperture-priority AE в профессиональную флагманскую SLR-камеру.</t>
        </is>
      </c>
      <c r="H235" t="inlineStr">
        <is>
          <t>Оптические инструменты</t>
        </is>
      </c>
      <c r="I235" t="inlineStr">
        <is>
          <t>Aperture-priority AE professional SLR</t>
        </is>
      </c>
      <c r="J235" t="inlineStr">
        <is>
          <t>Автоматика перестаёт быть только любительским удобством: она входит в профессиональный инструмент, где важны скорость и надёжность.</t>
        </is>
      </c>
      <c r="K235" t="inlineStr">
        <is>
          <t>Много режимов AE</t>
        </is>
      </c>
      <c r="L235" t="inlineStr">
        <is>
          <t>Компактные автофокусные камеры</t>
        </is>
      </c>
      <c r="M235" t="inlineStr">
        <is>
          <t>Главная линия / профессиональная автоматизация</t>
        </is>
      </c>
      <c r="N235" t="n">
        <v>5</v>
      </c>
      <c r="O235" t="inlineStr">
        <is>
          <t>PL-023</t>
        </is>
      </c>
      <c r="P235" t="inlineStr">
        <is>
          <t>SRC-180</t>
        </is>
      </c>
      <c r="Q235" t="inlineStr">
        <is>
          <t>Nikon — Debut of Nikon F3</t>
        </is>
      </c>
      <c r="R235" t="inlineStr">
        <is>
          <t>https://imaging.nikon.com/imaging/information/chronicle/history-f3/index.html</t>
        </is>
      </c>
      <c r="S235" t="n">
        <v>5</v>
      </c>
      <c r="T235" t="inlineStr">
        <is>
          <t>Для объяснения: профессионал не обязан снимать только в ручном режиме; автоматика может быть рабочим инструментом.</t>
        </is>
      </c>
      <c r="U235" t="inlineStr">
        <is>
          <t>Nikon F3 в репортажной сцене; шкала A показывает, что камера подбирает выдержку.</t>
        </is>
      </c>
      <c r="V235" t="inlineStr">
        <is>
          <t>#PL023 #NikonF3 #aperture-priority #professional-SLR</t>
        </is>
      </c>
      <c r="X235" t="inlineStr">
        <is>
          <t>35.6762, 139.6503</t>
        </is>
      </c>
      <c r="Y235" t="inlineStr">
        <is>
          <t>Камера с автоматикой / приоритет диафрагмы</t>
        </is>
      </c>
      <c r="Z235" t="inlineStr">
        <is>
          <t>Инструмент / устройство</t>
        </is>
      </c>
    </row>
    <row r="236" ht="17" customHeight="1" s="72">
      <c r="A236" t="inlineStr">
        <is>
          <t>PL-HIST-0235</t>
        </is>
      </c>
      <c r="B236" t="inlineStr">
        <is>
          <t>1979</t>
        </is>
      </c>
      <c r="C236" t="inlineStr">
        <is>
          <t>год</t>
        </is>
      </c>
      <c r="D236" t="inlineStr">
        <is>
          <t>Япония</t>
        </is>
      </c>
      <c r="E236" t="inlineStr">
        <is>
          <t>Токио</t>
        </is>
      </c>
      <c r="F236" t="inlineStr">
        <is>
          <t>Canon</t>
        </is>
      </c>
      <c r="G236" t="inlineStr">
        <is>
          <t>Canon Sure Shot / AF35M показывает другой путь автоматизации: компактная 35-мм камера получила автофокус, program EE и встроенную вспышку.</t>
        </is>
      </c>
      <c r="H236" t="inlineStr">
        <is>
          <t>Оптические инструменты</t>
        </is>
      </c>
      <c r="I236" t="inlineStr">
        <is>
          <t>Autofocus compact / point-and-shoot automation</t>
        </is>
      </c>
      <c r="J236" t="inlineStr">
        <is>
          <t>Камера начинает снимать барьеры для новичка: меньше настроек, быстрее реакция, больше бытовых снимков.</t>
        </is>
      </c>
      <c r="K236" t="inlineStr">
        <is>
          <t>Профессиональная AE-камера</t>
        </is>
      </c>
      <c r="L236" t="inlineStr">
        <is>
          <t>Автоматическая загрузка и протяжка</t>
        </is>
      </c>
      <c r="M236" t="inlineStr">
        <is>
          <t>Распространение / коммерциализация</t>
        </is>
      </c>
      <c r="N236" t="n">
        <v>5</v>
      </c>
      <c r="O236" t="inlineStr">
        <is>
          <t>PL-023</t>
        </is>
      </c>
      <c r="P236" t="inlineStr">
        <is>
          <t>SRC-181</t>
        </is>
      </c>
      <c r="Q236" t="inlineStr">
        <is>
          <t>Canon Camera Museum — Sure Shot / AF35M</t>
        </is>
      </c>
      <c r="R236" t="inlineStr">
        <is>
          <t>https://global.canon/en/c-museum/product/film102.html</t>
        </is>
      </c>
      <c r="S236" t="n">
        <v>5</v>
      </c>
      <c r="T236" t="inlineStr">
        <is>
          <t>Связать с термином point-and-shoot: автоматика меняет не только технику, но и поведение людей.</t>
        </is>
      </c>
      <c r="U236" t="inlineStr">
        <is>
          <t>Компактная камера в руках семьи; стрелки: навёл → нажал → камера сфокусировалась и экспонировала.</t>
        </is>
      </c>
      <c r="V236" t="inlineStr">
        <is>
          <t>#PL023 #SureShot #Autoboy #autofocus #compact-camera</t>
        </is>
      </c>
      <c r="X236" t="inlineStr">
        <is>
          <t>35.6762, 139.6503</t>
        </is>
      </c>
      <c r="Y236" t="inlineStr">
        <is>
          <t>Камера с автоматикой / автофокусный компакт</t>
        </is>
      </c>
      <c r="Z236" t="inlineStr">
        <is>
          <t>Распространение / коммерциализация</t>
        </is>
      </c>
    </row>
    <row r="237" ht="17" customHeight="1" s="72">
      <c r="A237" t="inlineStr">
        <is>
          <t>PL-HIST-0236</t>
        </is>
      </c>
      <c r="B237" t="inlineStr">
        <is>
          <t>1984</t>
        </is>
      </c>
      <c r="C237" t="inlineStr">
        <is>
          <t>год</t>
        </is>
      </c>
      <c r="D237" t="inlineStr">
        <is>
          <t>Япония</t>
        </is>
      </c>
      <c r="E237" t="inlineStr">
        <is>
          <t>Токио</t>
        </is>
      </c>
      <c r="F237" t="inlineStr">
        <is>
          <t>Canon</t>
        </is>
      </c>
      <c r="G237" t="inlineStr">
        <is>
          <t>Canon T70 объединяет TTL AE, несколько программных режимов и автоматическую загрузку плёнки после закрытия задней крышки.</t>
        </is>
      </c>
      <c r="H237" t="inlineStr">
        <is>
          <t>Оптические инструменты</t>
        </is>
      </c>
      <c r="I237" t="inlineStr">
        <is>
          <t>Multi-program AE / auto film loading</t>
        </is>
      </c>
      <c r="J237" t="inlineStr">
        <is>
          <t>Автоматика переходит от экспозиции к обслуживанию плёнки: камера помогает не только мерить свет, но и готовить рулон к съёмке.</t>
        </is>
      </c>
      <c r="K237" t="inlineStr">
        <is>
          <t>Автофокусный компакт</t>
        </is>
      </c>
      <c r="L237" t="inlineStr">
        <is>
          <t>DX-код и моторная протяжка</t>
        </is>
      </c>
      <c r="M237" t="inlineStr">
        <is>
          <t>Главная линия / автоматизация</t>
        </is>
      </c>
      <c r="N237" t="n">
        <v>4</v>
      </c>
      <c r="O237" t="inlineStr">
        <is>
          <t>PL-023</t>
        </is>
      </c>
      <c r="P237" t="inlineStr">
        <is>
          <t>SRC-182</t>
        </is>
      </c>
      <c r="Q237" t="inlineStr">
        <is>
          <t>Canon Camera Museum — T70</t>
        </is>
      </c>
      <c r="R237" t="inlineStr">
        <is>
          <t>https://global.canon/en/c-museum/product/film112.html</t>
        </is>
      </c>
      <c r="S237" t="n">
        <v>5</v>
      </c>
      <c r="T237" t="inlineStr">
        <is>
          <t>Отличный пример: автоматика — это не одна кнопка, а целая цепочка маленьких удобств.</t>
        </is>
      </c>
      <c r="U237" t="inlineStr">
        <is>
          <t>Открытая задняя крышка T70: лидер плёнки у метки, крышка закрывается, камера сама загружает рулон.</t>
        </is>
      </c>
      <c r="V237" t="inlineStr">
        <is>
          <t>#PL023 #CanonT70 #auto-loading #ProgramAE #film-transport</t>
        </is>
      </c>
      <c r="X237" t="inlineStr">
        <is>
          <t>35.6762, 139.6503</t>
        </is>
      </c>
      <c r="Y237" t="inlineStr">
        <is>
          <t>Камера с автоматикой / автозагрузка плёнки</t>
        </is>
      </c>
      <c r="Z237" t="inlineStr">
        <is>
          <t>Технология / процесс</t>
        </is>
      </c>
    </row>
    <row r="238" ht="17" customHeight="1" s="72">
      <c r="A238" t="inlineStr">
        <is>
          <t>PL-HIST-0237</t>
        </is>
      </c>
      <c r="B238" t="inlineStr">
        <is>
          <t>1985–1986</t>
        </is>
      </c>
      <c r="C238" t="inlineStr">
        <is>
          <t>диапазон</t>
        </is>
      </c>
      <c r="D238" t="inlineStr">
        <is>
          <t>Япония</t>
        </is>
      </c>
      <c r="E238" t="inlineStr">
        <is>
          <t>Токио</t>
        </is>
      </c>
      <c r="F238" t="inlineStr">
        <is>
          <t>Nikon</t>
        </is>
      </c>
      <c r="G238" t="inlineStr">
        <is>
          <t>Nikon F-301/F-501 вводят удобства нового поколения: встроенный мотор протяжки, авто-загрузка, DX-установка чувствительности и CPU-управление функциями камеры.</t>
        </is>
      </c>
      <c r="H238" t="inlineStr">
        <is>
          <t>Оптические инструменты</t>
        </is>
      </c>
      <c r="I238" t="inlineStr">
        <is>
          <t>Motorized film transport / DX coding / CPU control</t>
        </is>
      </c>
      <c r="J238" t="inlineStr">
        <is>
          <t>Плёночная камера становится более похожей на современный инструмент: меньше ручных операций, больше автоматического обслуживания кадра.</t>
        </is>
      </c>
      <c r="K238" t="inlineStr">
        <is>
          <t>Автозагрузка плёнки</t>
        </is>
      </c>
      <c r="L238" t="inlineStr">
        <is>
          <t>Профессиональный автофокус SLR</t>
        </is>
      </c>
      <c r="M238" t="inlineStr">
        <is>
          <t>Главная линия / автоматизация</t>
        </is>
      </c>
      <c r="N238" t="n">
        <v>5</v>
      </c>
      <c r="O238" t="inlineStr">
        <is>
          <t>PL-023</t>
        </is>
      </c>
      <c r="P238" t="inlineStr">
        <is>
          <t>SRC-183</t>
        </is>
      </c>
      <c r="Q238" t="inlineStr">
        <is>
          <t>Nikon — Nikon F-501 and F-301 Camera Chronicle</t>
        </is>
      </c>
      <c r="R238" t="inlineStr">
        <is>
          <t>https://imaging.nikon.com/imaging/information/chronicle/cousins15-e/</t>
        </is>
      </c>
      <c r="S238" t="n">
        <v>5</v>
      </c>
      <c r="T238" t="inlineStr">
        <is>
          <t>Связать с PL-018: DX-код — камера сама считывает ISO с кассеты, но фотограф всё равно должен понимать чувствительность.</t>
        </is>
      </c>
      <c r="U238" t="inlineStr">
        <is>
          <t>Кассета с DX-кодом, контакты в камере и моторная протяжка плёнки.</t>
        </is>
      </c>
      <c r="V238" t="inlineStr">
        <is>
          <t>#PL023 #NikonF301 #NikonF501 #DX-code #motor-wind</t>
        </is>
      </c>
      <c r="X238" t="inlineStr">
        <is>
          <t>35.6762, 139.6503</t>
        </is>
      </c>
      <c r="Y238" t="inlineStr">
        <is>
          <t>Камера с автоматикой / DX и мотор</t>
        </is>
      </c>
      <c r="Z238" t="inlineStr">
        <is>
          <t>Технология / процесс</t>
        </is>
      </c>
    </row>
    <row r="239" ht="17" customHeight="1" s="72">
      <c r="A239" t="inlineStr">
        <is>
          <t>PL-HIST-0238</t>
        </is>
      </c>
      <c r="B239" t="inlineStr">
        <is>
          <t>1985</t>
        </is>
      </c>
      <c r="C239" t="inlineStr">
        <is>
          <t>год</t>
        </is>
      </c>
      <c r="D239" t="inlineStr">
        <is>
          <t>Япония</t>
        </is>
      </c>
      <c r="E239" t="inlineStr">
        <is>
          <t>Осака / Токио</t>
        </is>
      </c>
      <c r="F239" t="inlineStr">
        <is>
          <t>Minolta</t>
        </is>
      </c>
      <c r="G239" t="inlineStr">
        <is>
          <t>Minolta α-7000 / Maxxum 7000 делает автофокус SLR массово значимым: профессиональное качество AF входит в сменную зеркальную систему.</t>
        </is>
      </c>
      <c r="H239" t="inlineStr">
        <is>
          <t>Оптические инструменты</t>
        </is>
      </c>
      <c r="I239" t="inlineStr">
        <is>
          <t>Autofocus SLR / Minolta α-7000</t>
        </is>
      </c>
      <c r="J239" t="inlineStr">
        <is>
          <t>Фокусировка начинает переходить от глаза и руки фотографа к датчикам и мотору; это меняет скорость съёмки людей, спорта и движения.</t>
        </is>
      </c>
      <c r="K239" t="inlineStr">
        <is>
          <t>DX и моторная протяжка</t>
        </is>
      </c>
      <c r="L239" t="inlineStr">
        <is>
          <t>EOS и электронный байонет</t>
        </is>
      </c>
      <c r="M239" t="inlineStr">
        <is>
          <t>Главная линия / автоматизация</t>
        </is>
      </c>
      <c r="N239" t="n">
        <v>5</v>
      </c>
      <c r="O239" t="inlineStr">
        <is>
          <t>PL-023</t>
        </is>
      </c>
      <c r="P239" t="inlineStr">
        <is>
          <t>SRC-184</t>
        </is>
      </c>
      <c r="Q239" t="inlineStr">
        <is>
          <t>Konica Minolta — Corporate History</t>
        </is>
      </c>
      <c r="R239" t="inlineStr">
        <is>
          <t>https://www.konicaminolta.com/global-en/corporate/history-timeline03.html</t>
        </is>
      </c>
      <c r="S239" t="n">
        <v>5</v>
      </c>
      <c r="T239" t="inlineStr">
        <is>
          <t>Сказать аккуратно: не единственная автофокусная попытка, но важнейший массовый поворот AF-SLR.</t>
        </is>
      </c>
      <c r="U239" t="inlineStr">
        <is>
          <t>SLR-камера с подсвеченной AF-точкой; рядом силуэт бегущего человека.</t>
        </is>
      </c>
      <c r="V239" t="inlineStr">
        <is>
          <t>#PL023 #Minolta7000 #Maxxum7000 #autofocus #SLR</t>
        </is>
      </c>
      <c r="X239" t="inlineStr">
        <is>
          <t>34.6937, 135.5023</t>
        </is>
      </c>
      <c r="Y239" t="inlineStr">
        <is>
          <t>Камера с автоматикой / автофокус SLR</t>
        </is>
      </c>
      <c r="Z239" t="inlineStr">
        <is>
          <t>Ключевой исторический узел</t>
        </is>
      </c>
    </row>
    <row r="240" ht="17" customHeight="1" s="72">
      <c r="A240" t="inlineStr">
        <is>
          <t>PL-HIST-0239</t>
        </is>
      </c>
      <c r="B240" t="inlineStr">
        <is>
          <t>1987</t>
        </is>
      </c>
      <c r="C240" t="inlineStr">
        <is>
          <t>год</t>
        </is>
      </c>
      <c r="D240" t="inlineStr">
        <is>
          <t>Япония</t>
        </is>
      </c>
      <c r="E240" t="inlineStr">
        <is>
          <t>Токио</t>
        </is>
      </c>
      <c r="F240" t="inlineStr">
        <is>
          <t>Canon</t>
        </is>
      </c>
      <c r="G240" t="inlineStr">
        <is>
          <t>Canon EOS 650 запускает EOS-систему: электронный байонет, EF-объективы, микрокомпьютер и датчик BASIS стали основой нового поколения AF SLR.</t>
        </is>
      </c>
      <c r="H240" t="inlineStr">
        <is>
          <t>Оптические инструменты</t>
        </is>
      </c>
      <c r="I240" t="inlineStr">
        <is>
          <t>EOS system / electronic mount / AF SLR</t>
        </is>
      </c>
      <c r="J240" t="inlineStr">
        <is>
          <t>Связь корпуса и объектива становится электронной: камера управляет автофокусом и диафрагмой через новую систему контактов.</t>
        </is>
      </c>
      <c r="K240" t="inlineStr">
        <is>
          <t>Minolta α-7000 и AF SLR</t>
        </is>
      </c>
      <c r="L240" t="inlineStr">
        <is>
          <t>Профессиональная электронная AF-камера</t>
        </is>
      </c>
      <c r="M240" t="inlineStr">
        <is>
          <t>Главная линия / системная автоматизация</t>
        </is>
      </c>
      <c r="N240" t="n">
        <v>5</v>
      </c>
      <c r="O240" t="inlineStr">
        <is>
          <t>PL-023</t>
        </is>
      </c>
      <c r="P240" t="inlineStr">
        <is>
          <t>SRC-185</t>
        </is>
      </c>
      <c r="Q240" t="inlineStr">
        <is>
          <t>Canon Camera Museum — EOS 650</t>
        </is>
      </c>
      <c r="R240" t="inlineStr">
        <is>
          <t>https://global.canon/en/c-museum/product/film122.html</t>
        </is>
      </c>
      <c r="S240" t="n">
        <v>5</v>
      </c>
      <c r="T240" t="inlineStr">
        <is>
          <t>Этот узел важно показать как системный: автоматикой становится не отдельная функция, а вся связка корпус–объектив.</t>
        </is>
      </c>
      <c r="U240" t="inlineStr">
        <is>
          <t>EOS 650 и EF-объектив: светящиеся контакты байонета, тонкие линии передачи данных.</t>
        </is>
      </c>
      <c r="V240" t="inlineStr">
        <is>
          <t>#PL023 #CanonEOS650 #EOS #EF-mount #autofocus</t>
        </is>
      </c>
      <c r="X240" t="inlineStr">
        <is>
          <t>35.6762, 139.6503</t>
        </is>
      </c>
      <c r="Y240" t="inlineStr">
        <is>
          <t>Камера с автоматикой / электронный байонет</t>
        </is>
      </c>
      <c r="Z240" t="inlineStr">
        <is>
          <t>Связь / переход</t>
        </is>
      </c>
    </row>
    <row r="241" ht="17" customHeight="1" s="72">
      <c r="A241" t="inlineStr">
        <is>
          <t>PL-HIST-0240</t>
        </is>
      </c>
      <c r="B241" t="inlineStr">
        <is>
          <t>1988</t>
        </is>
      </c>
      <c r="C241" t="inlineStr">
        <is>
          <t>год</t>
        </is>
      </c>
      <c r="D241" t="inlineStr">
        <is>
          <t>Япония</t>
        </is>
      </c>
      <c r="E241" t="inlineStr">
        <is>
          <t>Токио</t>
        </is>
      </c>
      <c r="F241" t="inlineStr">
        <is>
          <t>Nikon</t>
        </is>
      </c>
      <c r="G241" t="inlineStr">
        <is>
          <t>Nikon F4 показывает профессиональную вершину плёночной автоматики конца 1980-х: AF, focus tracking, электронная сеть CPU, моторная протяжка и сложные режимы работы.</t>
        </is>
      </c>
      <c r="H241" t="inlineStr">
        <is>
          <t>Оптические инструменты</t>
        </is>
      </c>
      <c r="I241" t="inlineStr">
        <is>
          <t>Professional AF SLR / focus tracking / CPU network</t>
        </is>
      </c>
      <c r="J241" t="inlineStr">
        <is>
          <t>Автоматика становится инструментом скорости: камера помогает следить за движущимся объектом и удерживать рабочий темп репортажа.</t>
        </is>
      </c>
      <c r="K241" t="inlineStr">
        <is>
          <t>EOS и электронный байонет</t>
        </is>
      </c>
      <c r="L241" t="inlineStr">
        <is>
          <t>Автоматическая плёночная камера как мост к цифровой</t>
        </is>
      </c>
      <c r="M241" t="inlineStr">
        <is>
          <t>Главная линия / профессиональная автоматизация</t>
        </is>
      </c>
      <c r="N241" t="n">
        <v>5</v>
      </c>
      <c r="O241" t="inlineStr">
        <is>
          <t>PL-023</t>
        </is>
      </c>
      <c r="P241" t="inlineStr">
        <is>
          <t>SRC-188</t>
        </is>
      </c>
      <c r="Q241" t="inlineStr">
        <is>
          <t>Nikon — Debut of Nikon F4</t>
        </is>
      </c>
      <c r="R241" t="inlineStr">
        <is>
          <t>https://imaging.nikon.com/history/chronicle/history-f4/</t>
        </is>
      </c>
      <c r="S241" t="n">
        <v>5</v>
      </c>
      <c r="T241" t="inlineStr">
        <is>
          <t>Показать не как «камера стала умнее человека», а как помощник для скорости и повторяемости.</t>
        </is>
      </c>
      <c r="U241" t="inlineStr">
        <is>
          <t>Nikon F4 в спортивной сцене; линии AF tracking идут за движущимся объектом.</t>
        </is>
      </c>
      <c r="V241" t="inlineStr">
        <is>
          <t>#PL023 #NikonF4 #AF #focus-tracking #CPU #motor-drive</t>
        </is>
      </c>
      <c r="X241" t="inlineStr">
        <is>
          <t>35.6762, 139.6503</t>
        </is>
      </c>
      <c r="Y241" t="inlineStr">
        <is>
          <t>Камера с автоматикой / профессиональная AF SLR</t>
        </is>
      </c>
      <c r="Z241" t="inlineStr">
        <is>
          <t>Технология / процесс</t>
        </is>
      </c>
    </row>
    <row r="242" ht="17" customHeight="1" s="72">
      <c r="A242" t="inlineStr">
        <is>
          <t>PL-HIST-0241</t>
        </is>
      </c>
      <c r="B242" t="inlineStr">
        <is>
          <t>конец XX века</t>
        </is>
      </c>
      <c r="C242" t="inlineStr">
        <is>
          <t>диапазон</t>
        </is>
      </c>
      <c r="D242" t="inlineStr">
        <is>
          <t>глобально</t>
        </is>
      </c>
      <c r="E242" t="inlineStr">
        <is>
          <t>плёночные камеры</t>
        </is>
      </c>
      <c r="F242" t="inlineStr">
        <is>
          <t>фотографы / производители камер</t>
        </is>
      </c>
      <c r="G242" t="inlineStr">
        <is>
          <t>Главный вывод PL-023: автоматика не отменяет фотографа — она снимает часть технических операций, но не выбирает смысл кадра, свет, момент и отношение к сцене.</t>
        </is>
      </c>
      <c r="H242" t="inlineStr">
        <is>
          <t>Оптические инструменты</t>
        </is>
      </c>
      <c r="I242" t="inlineStr">
        <is>
          <t>Automation as photographic assistance</t>
        </is>
      </c>
      <c r="J242" t="inlineStr">
        <is>
          <t>Фотограф учится отличать помощь камеры от собственного взгляда: автоматика ускоряет процесс, но не создаёт авторское решение.</t>
        </is>
      </c>
      <c r="K242" t="inlineStr">
        <is>
          <t>Профессиональная AF SLR</t>
        </is>
      </c>
      <c r="L242" t="inlineStr">
        <is>
          <t>PL-024 — дальномерная камера</t>
        </is>
      </c>
      <c r="M242" t="inlineStr">
        <is>
          <t>Связь / переход</t>
        </is>
      </c>
      <c r="N242" t="n">
        <v>5</v>
      </c>
      <c r="O242" t="inlineStr">
        <is>
          <t>PL-023</t>
        </is>
      </c>
      <c r="P242" t="inlineStr">
        <is>
          <t>SRC-186</t>
        </is>
      </c>
      <c r="Q242" t="inlineStr">
        <is>
          <t>Canon Camera Museum — EOS 30th History</t>
        </is>
      </c>
      <c r="R242" t="inlineStr">
        <is>
          <t>https://global.canon/en/c-museum/history/eos30th-1.html</t>
        </is>
      </c>
      <c r="S242" t="n">
        <v>5</v>
      </c>
      <c r="T242" t="inlineStr">
        <is>
          <t>Финал урока: автоматическая камера удобнее, но понимание света и кадра остаётся главным.</t>
        </is>
      </c>
      <c r="U242" t="inlineStr">
        <is>
          <t>Две сцены рядом: автоматическая камера быстро фокусируется; фотограф всё равно выбирает момент и композицию.</t>
        </is>
      </c>
      <c r="V242" t="inlineStr">
        <is>
          <t>#PL023 #automation #photographer #camera-control #film-camera</t>
        </is>
      </c>
      <c r="Y242" t="inlineStr">
        <is>
          <t>Камера с автоматикой / вывод и мост</t>
        </is>
      </c>
      <c r="Z242" t="inlineStr">
        <is>
          <t>Связь / переход</t>
        </is>
      </c>
    </row>
    <row r="243" ht="17" customHeight="1" s="72">
      <c r="A243" s="75" t="inlineStr">
        <is>
          <t>PL-HIST-0242</t>
        </is>
      </c>
      <c r="B243" s="75" t="inlineStr">
        <is>
          <t>конец XIX — начало XX века</t>
        </is>
      </c>
      <c r="C243" s="75" t="inlineStr">
        <is>
          <t>диапазон</t>
        </is>
      </c>
      <c r="D243" s="75" t="inlineStr">
        <is>
          <t>глобально</t>
        </is>
      </c>
      <c r="E243" s="75" t="inlineStr">
        <is>
          <t>фотографическая практика</t>
        </is>
      </c>
      <c r="F243" s="75" t="inlineStr">
        <is>
          <t>конструкторы камер</t>
        </is>
      </c>
      <c r="G243" s="75" t="inlineStr">
        <is>
          <t>Дальномерная логика появляется как ответ на простую задачу: фотографу нужно быстро узнать расстояние до объекта и перевести его в точную фокусировку.</t>
        </is>
      </c>
      <c r="H243" s="75" t="inlineStr">
        <is>
          <t>Оптические инструменты</t>
        </is>
      </c>
      <c r="I243" s="75" t="inlineStr">
        <is>
          <t>Rangefinder focusing principle</t>
        </is>
      </c>
      <c r="J243" s="75" t="inlineStr">
        <is>
          <t>Фокусировка становится измерением расстояния, а не только оценкой «на глаз» по шкале объектива.</t>
        </is>
      </c>
      <c r="K243" s="75" t="inlineStr">
        <is>
          <t>Шкальная фокусировка и матовое стекло</t>
        </is>
      </c>
      <c r="L243" s="75" t="inlineStr">
        <is>
          <t>Связанный дальномер на камере</t>
        </is>
      </c>
      <c r="M243" s="75" t="inlineStr">
        <is>
          <t>Оптическая предпосылка</t>
        </is>
      </c>
      <c r="N243" s="75" t="n">
        <v>5</v>
      </c>
      <c r="O243" s="75" t="inlineStr">
        <is>
          <t>PL-024</t>
        </is>
      </c>
      <c r="P243" s="75" t="inlineStr">
        <is>
          <t>SRC-193</t>
        </is>
      </c>
      <c r="Q243" s="75" t="inlineStr">
        <is>
          <t>Leica Camera UK — The Rangefinder: Advantages Explained</t>
        </is>
      </c>
      <c r="R243" s="75" t="inlineStr">
        <is>
          <t>https://leica-camera.com/en-GB/blog/photography/the-leica-rangefinder-explained</t>
        </is>
      </c>
      <c r="S243" s="75" t="n">
        <v>5</v>
      </c>
      <c r="T243" s="75" t="inlineStr">
        <is>
          <t>Начать урок с простой идеи: дальномер не показывает картинку через объектив, он помогает измерить дистанцию.</t>
        </is>
      </c>
      <c r="U243" s="75" t="inlineStr">
        <is>
          <t>Две картинки объекта совмещаются в одно изображение; рядом шкала расстояния на объективе.</t>
        </is>
      </c>
      <c r="V243" s="75" t="inlineStr">
        <is>
          <t>#PL024 #rangefinder #focusing #distance</t>
        </is>
      </c>
      <c r="W243" s="75" t="n"/>
      <c r="X243" s="75" t="n"/>
      <c r="Y243" s="75" t="inlineStr">
        <is>
          <t>Дальномерная камера / принцип фокусировки</t>
        </is>
      </c>
      <c r="Z243" s="75" t="inlineStr">
        <is>
          <t>Фундаментальная предпосылка</t>
        </is>
      </c>
      <c r="AA243" s="75" t="n"/>
    </row>
    <row r="244" ht="17" customHeight="1" s="72">
      <c r="A244" s="75" t="inlineStr">
        <is>
          <t>PL-HIST-0243</t>
        </is>
      </c>
      <c r="B244" s="75" t="inlineStr">
        <is>
          <t>1916–1917</t>
        </is>
      </c>
      <c r="C244" s="75" t="inlineStr">
        <is>
          <t>примерно</t>
        </is>
      </c>
      <c r="D244" s="75" t="inlineStr">
        <is>
          <t>США</t>
        </is>
      </c>
      <c r="E244" s="75" t="inlineStr">
        <is>
          <t>Рочестер</t>
        </is>
      </c>
      <c r="F244" s="75" t="inlineStr">
        <is>
          <t>Eastman Kodak Company</t>
        </is>
      </c>
      <c r="G244" s="75" t="inlineStr">
        <is>
          <t>No.3A Autographic Kodak Special получает связанный split-image rangefinder: поворот фокусировки связан с дальномером и помогает точнее наводиться.</t>
        </is>
      </c>
      <c r="H244" s="75" t="inlineStr">
        <is>
          <t>Оптические инструменты</t>
        </is>
      </c>
      <c r="I244" s="75" t="inlineStr">
        <is>
          <t>Coupled split-image rangefinder</t>
        </is>
      </c>
      <c r="J244" s="75" t="inlineStr">
        <is>
          <t>Дальномер перестаёт быть отдельной приставкой: он начинает работать вместе с фокусировкой камеры.</t>
        </is>
      </c>
      <c r="K244" s="75" t="inlineStr">
        <is>
          <t>Принцип измерения расстояния</t>
        </is>
      </c>
      <c r="L244" s="75" t="inlineStr">
        <is>
          <t>Leica II и 35-мм дальномерная камера</t>
        </is>
      </c>
      <c r="M244" s="75" t="inlineStr">
        <is>
          <t>Главная линия / ранний связанный дальномер</t>
        </is>
      </c>
      <c r="N244" s="75" t="n">
        <v>4</v>
      </c>
      <c r="O244" s="75" t="inlineStr">
        <is>
          <t>PL-024</t>
        </is>
      </c>
      <c r="P244" s="75" t="inlineStr">
        <is>
          <t>SRC-189</t>
        </is>
      </c>
      <c r="Q244" s="75" t="inlineStr">
        <is>
          <t>Science Museum Group — No.3A Autographic Kodak Special camera</t>
        </is>
      </c>
      <c r="R244" s="75" t="inlineStr">
        <is>
          <t>https://collection.sciencemuseumgroup.org.uk/objects/co8083853/no-3a-autographic-kodak-special-camera</t>
        </is>
      </c>
      <c r="S244" s="75" t="n">
        <v>5</v>
      </c>
      <c r="T244" s="75" t="inlineStr">
        <is>
          <t>Показать как предысторию: связанный дальномер не родился сразу в Leica, идея была шире.</t>
        </is>
      </c>
      <c r="U244" s="75" t="inlineStr">
        <is>
          <t>Складная Kodak-камера, под объективом маленькое окно дальномера и линия связи к фокусировке.</t>
        </is>
      </c>
      <c r="V244" s="75" t="inlineStr">
        <is>
          <t>#PL024 #Kodak #rangefinder #coupled-rangefinder</t>
        </is>
      </c>
      <c r="W244" s="75" t="n"/>
      <c r="X244" s="75" t="inlineStr">
        <is>
          <t>43.1566, -77.6088</t>
        </is>
      </c>
      <c r="Y244" s="75" t="inlineStr">
        <is>
          <t>Дальномерная камера / ранний связанный дальномер</t>
        </is>
      </c>
      <c r="Z244" s="75" t="inlineStr">
        <is>
          <t>Инструмент / устройство</t>
        </is>
      </c>
      <c r="AA244" s="75" t="n"/>
    </row>
    <row r="245" ht="17" customHeight="1" s="72">
      <c r="A245" s="75" t="inlineStr">
        <is>
          <t>PL-HIST-0244</t>
        </is>
      </c>
      <c r="B245" s="75" t="inlineStr">
        <is>
          <t>1932</t>
        </is>
      </c>
      <c r="C245" s="75" t="inlineStr">
        <is>
          <t>год</t>
        </is>
      </c>
      <c r="D245" s="75" t="inlineStr">
        <is>
          <t>Германия</t>
        </is>
      </c>
      <c r="E245" s="75" t="inlineStr">
        <is>
          <t>Вецлар</t>
        </is>
      </c>
      <c r="F245" s="75" t="inlineStr">
        <is>
          <t>Leica / Ernst Leitz</t>
        </is>
      </c>
      <c r="G245" s="75" t="inlineStr">
        <is>
          <t>Дальномер измеряет расстояние через триангуляцию: два окна на определённой базе сводят два вида объекта в одно поле зрения, и точный фокус наступает в момент их совмещения (коинциденции). Чем больше «эффективная база» — физическое расстояние между окнами, умноженное на увеличение видоискателя, — тем точнее замер. Leica II в 1932 году первой связывает этот механизм напрямую с оправой объектива в 35-мм камере.</t>
        </is>
      </c>
      <c r="H245" s="75" t="inlineStr">
        <is>
          <t>Оптические инструменты</t>
        </is>
      </c>
      <c r="I245" s="75" t="inlineStr">
        <is>
          <t>Coincidence rangefinder / effective base length</t>
        </is>
      </c>
      <c r="J245" s="75" t="inlineStr">
        <is>
          <t>Дальномер перестаёт быть отдельным прибором и становится встроенным узлом, механически связанным с фокусировкой: фотограф наводит на резкость, просто совмещая два изображения в одном окне видоискателя, а не измеряя расстояние отдельно.</t>
        </is>
      </c>
      <c r="K245" s="75" t="inlineStr">
        <is>
          <t>Leica I и шкальная фокусировка</t>
        </is>
      </c>
      <c r="L245" s="75" t="inlineStr">
        <is>
          <t>Leica III и развитие дальномерной линии</t>
        </is>
      </c>
      <c r="M245" s="75" t="inlineStr">
        <is>
          <t>Главная линия</t>
        </is>
      </c>
      <c r="N245" s="75" t="n">
        <v>5</v>
      </c>
      <c r="O245" s="75" t="inlineStr">
        <is>
          <t>PL-024</t>
        </is>
      </c>
      <c r="P245" s="75" t="inlineStr">
        <is>
          <t>SRC-238</t>
        </is>
      </c>
      <c r="Q245" s="75" t="inlineStr">
        <is>
          <t>Wikipedia — Coincidence rangefinder</t>
        </is>
      </c>
      <c r="R245" s="75" t="inlineStr">
        <is>
          <t>https://en.wikipedia.org/wiki/Coincidence_rangefinder</t>
        </is>
      </c>
      <c r="S245" s="75" t="n">
        <v>4</v>
      </c>
      <c r="T245" s="75" t="inlineStr">
        <is>
          <t>Флагман урока: точность дальномера — это геометрия, а не магия. Чем шире база между окнами и выше увеличение, тем увереннее камера «видит» мелкую разницу в углах и тем точнее фокус на длинных объективах. Leica II (1932) — первый пример такого встроенного механизма.</t>
        </is>
      </c>
      <c r="U245" s="75" t="inlineStr">
        <is>
          <t>Схема треугольника: два окна дальномера, оптические пути к объекту и точка совмещения — с подписанной «базой» и лучом на объектив.</t>
        </is>
      </c>
      <c r="V245" s="75" t="inlineStr">
        <is>
          <t>#PL024 #rangefinder #coincidence #triangulation #LeicaII</t>
        </is>
      </c>
      <c r="W245" s="75" t="n"/>
      <c r="X245" s="75" t="inlineStr">
        <is>
          <t>50.5558, 8.5034</t>
        </is>
      </c>
      <c r="Y245" s="75" t="inlineStr">
        <is>
          <t>Дальномерная камера / коинциденция и триангуляция</t>
        </is>
      </c>
      <c r="Z245" s="75" t="inlineStr">
        <is>
          <t>Ключевой исторический узел</t>
        </is>
      </c>
      <c r="AA245" s="75" t="inlineStr">
        <is>
          <t>да</t>
        </is>
      </c>
    </row>
    <row r="246" ht="17" customHeight="1" s="72">
      <c r="A246" s="75" t="inlineStr">
        <is>
          <t>PL-HIST-0245</t>
        </is>
      </c>
      <c r="B246" s="75" t="inlineStr">
        <is>
          <t>1936</t>
        </is>
      </c>
      <c r="C246" s="75" t="inlineStr">
        <is>
          <t>год</t>
        </is>
      </c>
      <c r="D246" s="75" t="inlineStr">
        <is>
          <t>Германия</t>
        </is>
      </c>
      <c r="E246" s="75" t="inlineStr">
        <is>
          <t>Дрезден</t>
        </is>
      </c>
      <c r="F246" s="75" t="inlineStr">
        <is>
          <t>Zeiss Ikon</t>
        </is>
      </c>
      <c r="G246" s="75" t="inlineStr">
        <is>
          <t>Contax II развивает 35-мм дальномерную камеру: видоискатель и дальномер объединяются в более удобную систему наведения.</t>
        </is>
      </c>
      <c r="H246" s="75" t="inlineStr">
        <is>
          <t>Оптические инструменты</t>
        </is>
      </c>
      <c r="I246" s="75" t="inlineStr">
        <is>
          <t>Contax II / combined rangefinder-viewfinder</t>
        </is>
      </c>
      <c r="J246" s="75" t="inlineStr">
        <is>
          <t>Фотографу становится легче кадрировать и фокусироваться в одном жесте: дальномерная камера становится быстрее и современнее.</t>
        </is>
      </c>
      <c r="K246" s="75" t="inlineStr">
        <is>
          <t>Leica II</t>
        </is>
      </c>
      <c r="L246" s="75" t="inlineStr">
        <is>
          <t>Leica M3 и яркие рамки</t>
        </is>
      </c>
      <c r="M246" s="75" t="inlineStr">
        <is>
          <t>Главная линия</t>
        </is>
      </c>
      <c r="N246" s="75" t="n">
        <v>5</v>
      </c>
      <c r="O246" s="75" t="inlineStr">
        <is>
          <t>PL-024</t>
        </is>
      </c>
      <c r="P246" s="75" t="inlineStr">
        <is>
          <t>SRC-191</t>
        </is>
      </c>
      <c r="Q246" s="75" t="inlineStr">
        <is>
          <t>Science Museum Group — Contax II 35mm camera</t>
        </is>
      </c>
      <c r="R246" s="75" t="inlineStr">
        <is>
          <t>https://collection.sciencemuseumgroup.org.uk/objects/co8092572/contax-ii-35mm-camera</t>
        </is>
      </c>
      <c r="S246" s="75" t="n">
        <v>4</v>
      </c>
      <c r="T246" s="75" t="inlineStr">
        <is>
          <t>Показать, что развитие 35-мм дальномеров было не только Leica: Contax — важная конкурирующая линия.</t>
        </is>
      </c>
      <c r="U246" s="75" t="inlineStr">
        <is>
          <t>Contax II с двумя фронтальными окнами; внутри схематично наложены два изображения.</t>
        </is>
      </c>
      <c r="V246" s="75" t="inlineStr">
        <is>
          <t>#PL024 #ContaxII #ZeissIkon #rangefinder</t>
        </is>
      </c>
      <c r="W246" s="75" t="n"/>
      <c r="X246" s="75" t="inlineStr">
        <is>
          <t>51.0504, 13.7373</t>
        </is>
      </c>
      <c r="Y246" s="75" t="inlineStr">
        <is>
          <t>Дальномерная камера / Contax line</t>
        </is>
      </c>
      <c r="Z246" s="75" t="inlineStr">
        <is>
          <t>Инструмент / устройство</t>
        </is>
      </c>
      <c r="AA246" s="75" t="n"/>
    </row>
    <row r="247" ht="17" customHeight="1" s="72">
      <c r="A247" s="75" t="inlineStr">
        <is>
          <t>PL-HIST-0246</t>
        </is>
      </c>
      <c r="B247" s="75" t="inlineStr">
        <is>
          <t>1954</t>
        </is>
      </c>
      <c r="C247" s="75" t="inlineStr">
        <is>
          <t>год</t>
        </is>
      </c>
      <c r="D247" s="75" t="inlineStr">
        <is>
          <t>Германия</t>
        </is>
      </c>
      <c r="E247" s="75" t="inlineStr">
        <is>
          <t>Вецлар</t>
        </is>
      </c>
      <c r="F247" s="75" t="inlineStr">
        <is>
          <t>Leica</t>
        </is>
      </c>
      <c r="G247" s="75" t="inlineStr">
        <is>
          <t>Leica M3 закрепляет классический образ дальномерной камеры: яркий видоискатель с рамками, точная фокусировка и новая M-система.</t>
        </is>
      </c>
      <c r="H247" s="75" t="inlineStr">
        <is>
          <t>Оптические инструменты</t>
        </is>
      </c>
      <c r="I247" s="75" t="inlineStr">
        <is>
          <t>Leica M3 / brightline rangefinder</t>
        </is>
      </c>
      <c r="J247" s="75" t="inlineStr">
        <is>
          <t>Дальномерная камера становится не просто компактной, а премиальной рабочей системой для репортажа, улицы и документальной фотографии.</t>
        </is>
      </c>
      <c r="K247" s="75" t="inlineStr">
        <is>
          <t>Contax II и ранние дальномеры</t>
        </is>
      </c>
      <c r="L247" s="75" t="inlineStr">
        <is>
          <t>Параллакс и рамки видоискателя</t>
        </is>
      </c>
      <c r="M247" s="75" t="inlineStr">
        <is>
          <t>Главная линия</t>
        </is>
      </c>
      <c r="N247" s="75" t="n">
        <v>5</v>
      </c>
      <c r="O247" s="75" t="inlineStr">
        <is>
          <t>PL-024</t>
        </is>
      </c>
      <c r="P247" s="75" t="inlineStr">
        <is>
          <t>SRC-192</t>
        </is>
      </c>
      <c r="Q247" s="75" t="inlineStr">
        <is>
          <t>Leica Timeline — 1954 Leica M3</t>
        </is>
      </c>
      <c r="R247" s="75" t="inlineStr">
        <is>
          <t>https://timeline.leica-camera.com/en-US/years/1954</t>
        </is>
      </c>
      <c r="S247" s="75" t="n">
        <v>5</v>
      </c>
      <c r="T247" s="75" t="inlineStr">
        <is>
          <t>M3 — визуально узнаваемый герой, но не флагман урока, чтобы не повторять Leica I/II слишком сильно.</t>
        </is>
      </c>
      <c r="U247" s="75" t="inlineStr">
        <is>
          <t>Яркие рамки в видоискателе Leica M3 поверх уличной сцены.</t>
        </is>
      </c>
      <c r="V247" s="75" t="inlineStr">
        <is>
          <t>#PL024 #LeicaM3 #M-system #rangefinder</t>
        </is>
      </c>
      <c r="W247" s="75" t="n"/>
      <c r="X247" s="75" t="inlineStr">
        <is>
          <t>50.5558, 8.5034</t>
        </is>
      </c>
      <c r="Y247" s="75" t="inlineStr">
        <is>
          <t>Дальномерная камера / Leica M</t>
        </is>
      </c>
      <c r="Z247" s="75" t="inlineStr">
        <is>
          <t>Инструмент / устройство</t>
        </is>
      </c>
      <c r="AA247" s="75" t="n"/>
    </row>
    <row r="248" ht="17" customHeight="1" s="72">
      <c r="A248" s="75" t="inlineStr">
        <is>
          <t>PL-HIST-0247</t>
        </is>
      </c>
      <c r="B248" s="75" t="inlineStr">
        <is>
          <t>1950-е</t>
        </is>
      </c>
      <c r="C248" s="75" t="inlineStr">
        <is>
          <t>диапазон</t>
        </is>
      </c>
      <c r="D248" s="75" t="inlineStr">
        <is>
          <t>Германия / глобально</t>
        </is>
      </c>
      <c r="E248" s="75" t="inlineStr">
        <is>
          <t>Вецлар / рынок дальномерных камер</t>
        </is>
      </c>
      <c r="F248" s="75" t="inlineStr">
        <is>
          <t>Leica / производители дальномерных камер</t>
        </is>
      </c>
      <c r="G248" s="75" t="inlineStr">
        <is>
          <t>У дальномерной камеры видоискатель смотрит не через объектив, поэтому рамки и компенсация параллакса становятся частью работы фотографа.</t>
        </is>
      </c>
      <c r="H248" s="75" t="inlineStr">
        <is>
          <t>Оптические инструменты</t>
        </is>
      </c>
      <c r="I248" s="75" t="inlineStr">
        <is>
          <t>Framelines / parallax compensation</t>
        </is>
      </c>
      <c r="J248" s="75" t="inlineStr">
        <is>
          <t>Фотограф учится видеть не только точку фокуса, но и границы будущего кадра, понимая разницу между видоискателем и объективом.</t>
        </is>
      </c>
      <c r="K248" s="75" t="inlineStr">
        <is>
          <t>Leica M3</t>
        </is>
      </c>
      <c r="L248" s="75" t="inlineStr">
        <is>
          <t>Массовые компактные дальномерные камеры</t>
        </is>
      </c>
      <c r="M248" s="75" t="inlineStr">
        <is>
          <t>Терминология / язык</t>
        </is>
      </c>
      <c r="N248" s="75" t="n">
        <v>5</v>
      </c>
      <c r="O248" s="75" t="inlineStr">
        <is>
          <t>PL-024</t>
        </is>
      </c>
      <c r="P248" s="75" t="inlineStr">
        <is>
          <t>SRC-193</t>
        </is>
      </c>
      <c r="Q248" s="75" t="inlineStr">
        <is>
          <t>Leica Camera UK — The Rangefinder: Advantages Explained</t>
        </is>
      </c>
      <c r="R248" s="75" t="inlineStr">
        <is>
          <t>https://leica-camera.com/en-GB/blog/photography/the-leica-rangefinder-explained</t>
        </is>
      </c>
      <c r="S248" s="75" t="n">
        <v>5</v>
      </c>
      <c r="T248" s="75" t="inlineStr">
        <is>
          <t>Важный учебный момент: дальномер удобен, но видит не совсем так, как объектив.</t>
        </is>
      </c>
      <c r="U248" s="75" t="inlineStr">
        <is>
          <t>Схема: глаз через видоискатель и объектив чуть ниже; близкий объект смещается из-за параллакса.</t>
        </is>
      </c>
      <c r="V248" s="75" t="inlineStr">
        <is>
          <t>#PL024 #parallax #framelines #viewfinder</t>
        </is>
      </c>
      <c r="W248" s="75" t="n"/>
      <c r="X248" s="75" t="n"/>
      <c r="Y248" s="75" t="inlineStr">
        <is>
          <t>Дальномерная камера / параллакс</t>
        </is>
      </c>
      <c r="Z248" s="75" t="inlineStr">
        <is>
          <t>Терминология / язык</t>
        </is>
      </c>
      <c r="AA248" s="75" t="n"/>
    </row>
    <row r="249" ht="17" customHeight="1" s="72">
      <c r="A249" s="75" t="inlineStr">
        <is>
          <t>PL-HIST-0248</t>
        </is>
      </c>
      <c r="B249" s="75" t="inlineStr">
        <is>
          <t>1961</t>
        </is>
      </c>
      <c r="C249" s="75" t="inlineStr">
        <is>
          <t>год</t>
        </is>
      </c>
      <c r="D249" s="75" t="inlineStr">
        <is>
          <t>Япония</t>
        </is>
      </c>
      <c r="E249" s="75" t="inlineStr">
        <is>
          <t>Токио</t>
        </is>
      </c>
      <c r="F249" s="75" t="inlineStr">
        <is>
          <t>Canon</t>
        </is>
      </c>
      <c r="G249" s="75" t="inlineStr">
        <is>
          <t>Canonet показывает массовую ветку дальномерных камер: несменный объектив, компактный корпус и автоматизация делают съёмку проще для широкой аудитории.</t>
        </is>
      </c>
      <c r="H249" s="75" t="inlineStr">
        <is>
          <t>Оптические инструменты</t>
        </is>
      </c>
      <c r="I249" s="75" t="inlineStr">
        <is>
          <t>Canonet / compact rangefinder</t>
        </is>
      </c>
      <c r="J249" s="75" t="inlineStr">
        <is>
          <t>Дальномерная логика выходит из премиального сегмента в повседневную камеру: быстрый фокус и готовый объектив работают для семьи, улицы и путешествий.</t>
        </is>
      </c>
      <c r="K249" s="75" t="inlineStr">
        <is>
          <t>Leica M как премиальная система</t>
        </is>
      </c>
      <c r="L249" s="75" t="inlineStr">
        <is>
          <t>Canonet QL17 и quick loading</t>
        </is>
      </c>
      <c r="M249" s="75" t="inlineStr">
        <is>
          <t>Распространение / коммерциализация</t>
        </is>
      </c>
      <c r="N249" s="75" t="n">
        <v>5</v>
      </c>
      <c r="O249" s="75" t="inlineStr">
        <is>
          <t>PL-024</t>
        </is>
      </c>
      <c r="P249" s="75" t="inlineStr">
        <is>
          <t>SRC-194</t>
        </is>
      </c>
      <c r="Q249" s="75" t="inlineStr">
        <is>
          <t>Canon Camera Museum — Canonet</t>
        </is>
      </c>
      <c r="R249" s="75" t="inlineStr">
        <is>
          <t>https://global.canon/en/c-museum/product/film41.html</t>
        </is>
      </c>
      <c r="S249" s="75" t="n">
        <v>5</v>
      </c>
      <c r="T249" s="75" t="inlineStr">
        <is>
          <t>Связь к PL-026: compact не всегда примитивен; иногда это дальномер с хорошим объективом.</t>
        </is>
      </c>
      <c r="U249" s="75" t="inlineStr">
        <is>
          <t>Canonet в руках обычного пользователя на улице; в углу маленькое окно дальномера.</t>
        </is>
      </c>
      <c r="V249" s="75" t="inlineStr">
        <is>
          <t>#PL024 #Canonet #Canon #compact-rangefinder</t>
        </is>
      </c>
      <c r="W249" s="75" t="n"/>
      <c r="X249" s="75" t="inlineStr">
        <is>
          <t>35.6762, 139.6503</t>
        </is>
      </c>
      <c r="Y249" s="75" t="inlineStr">
        <is>
          <t>Дальномерная камера / массовый compact rangefinder</t>
        </is>
      </c>
      <c r="Z249" s="75" t="inlineStr">
        <is>
          <t>Распространение / коммерциализация</t>
        </is>
      </c>
      <c r="AA249" s="75" t="n"/>
    </row>
    <row r="250" ht="17" customHeight="1" s="72">
      <c r="A250" s="75" t="inlineStr">
        <is>
          <t>PL-HIST-0249</t>
        </is>
      </c>
      <c r="B250" s="75" t="inlineStr">
        <is>
          <t>1965</t>
        </is>
      </c>
      <c r="C250" s="75" t="inlineStr">
        <is>
          <t>год</t>
        </is>
      </c>
      <c r="D250" s="75" t="inlineStr">
        <is>
          <t>Япония</t>
        </is>
      </c>
      <c r="E250" s="75" t="inlineStr">
        <is>
          <t>Токио</t>
        </is>
      </c>
      <c r="F250" s="75" t="inlineStr">
        <is>
          <t>Canon</t>
        </is>
      </c>
      <c r="G250" s="75" t="inlineStr">
        <is>
          <t>Canonet QL17 добавляет Quick Loading: камера упрощает не только фокусировку и экспозицию, но и саму зарядку плёнки.</t>
        </is>
      </c>
      <c r="H250" s="75" t="inlineStr">
        <is>
          <t>Оптические инструменты</t>
        </is>
      </c>
      <c r="I250" s="75" t="inlineStr">
        <is>
          <t>Canonet QL17 / Quick Loading</t>
        </is>
      </c>
      <c r="J250" s="75" t="inlineStr">
        <is>
          <t>Дальномерная камера становится дружелюбнее к новичку: меньше ошибок при зарядке, быстрее начало съёмки.</t>
        </is>
      </c>
      <c r="K250" s="75" t="inlineStr">
        <is>
          <t>Canonet</t>
        </is>
      </c>
      <c r="L250" s="75" t="inlineStr">
        <is>
          <t>Point-and-shoot compact</t>
        </is>
      </c>
      <c r="M250" s="75" t="inlineStr">
        <is>
          <t>Главная линия / пользовательское удобство</t>
        </is>
      </c>
      <c r="N250" s="75" t="n">
        <v>4</v>
      </c>
      <c r="O250" s="75" t="inlineStr">
        <is>
          <t>PL-024</t>
        </is>
      </c>
      <c r="P250" s="75" t="inlineStr">
        <is>
          <t>SRC-195</t>
        </is>
      </c>
      <c r="Q250" s="75" t="inlineStr">
        <is>
          <t>Canon Camera Museum — Canonet QL17</t>
        </is>
      </c>
      <c r="R250" s="75" t="inlineStr">
        <is>
          <t>https://global.canon/en/c-museum/product/film53.html</t>
        </is>
      </c>
      <c r="S250" s="75" t="n">
        <v>5</v>
      </c>
      <c r="T250" s="75" t="inlineStr">
        <is>
          <t>Мост к компактным камерам: удобство постепенно становится главным конкурентным преимуществом.</t>
        </is>
      </c>
      <c r="U250" s="75" t="inlineStr">
        <is>
          <t>Открытая задняя крышка Canonet QL17: плёнка положена в паз Quick Loading.</t>
        </is>
      </c>
      <c r="V250" s="75" t="inlineStr">
        <is>
          <t>#PL024 #CanonetQL17 #quick-loading #film-loading</t>
        </is>
      </c>
      <c r="W250" s="75" t="n"/>
      <c r="X250" s="75" t="inlineStr">
        <is>
          <t>35.6762, 139.6503</t>
        </is>
      </c>
      <c r="Y250" s="75" t="inlineStr">
        <is>
          <t>Дальномерная камера / quick loading</t>
        </is>
      </c>
      <c r="Z250" s="75" t="inlineStr">
        <is>
          <t>Технология / процесс</t>
        </is>
      </c>
      <c r="AA250" s="75" t="n"/>
    </row>
    <row r="251" ht="17" customHeight="1" s="72">
      <c r="A251" s="75" t="inlineStr">
        <is>
          <t>PL-HIST-0250</t>
        </is>
      </c>
      <c r="B251" s="75" t="inlineStr">
        <is>
          <t>XX век</t>
        </is>
      </c>
      <c r="C251" s="75" t="inlineStr">
        <is>
          <t>диапазон</t>
        </is>
      </c>
      <c r="D251" s="75" t="inlineStr">
        <is>
          <t>глобально</t>
        </is>
      </c>
      <c r="E251" s="75" t="inlineStr">
        <is>
          <t>репортаж / улица</t>
        </is>
      </c>
      <c r="F251" s="75" t="inlineStr">
        <is>
          <t>дальномерные фотографы</t>
        </is>
      </c>
      <c r="G251" s="75" t="inlineStr">
        <is>
          <t>Дальномерная камера выигрывает тишиной и непрерывным видением: в ней нет прыгающего зеркала и blackout в момент съёмки.</t>
        </is>
      </c>
      <c r="H251" s="75" t="inlineStr">
        <is>
          <t>Оптические инструменты</t>
        </is>
      </c>
      <c r="I251" s="75" t="inlineStr">
        <is>
          <t>Rangefinder shooting experience</t>
        </is>
      </c>
      <c r="J251" s="75" t="inlineStr">
        <is>
          <t>Фотограф может наблюдать сцену спокойнее, видеть пространство вокруг рамки и меньше мешать моменту.</t>
        </is>
      </c>
      <c r="K251" s="75" t="inlineStr">
        <is>
          <t>Массовые дальномерные камеры</t>
        </is>
      </c>
      <c r="L251" s="75" t="inlineStr">
        <is>
          <t>Среднеформатный дальномер</t>
        </is>
      </c>
      <c r="M251" s="75" t="inlineStr">
        <is>
          <t>Применение / жанр</t>
        </is>
      </c>
      <c r="N251" s="75" t="n">
        <v>5</v>
      </c>
      <c r="O251" s="75" t="inlineStr">
        <is>
          <t>PL-024</t>
        </is>
      </c>
      <c r="P251" s="75" t="inlineStr">
        <is>
          <t>SRC-196</t>
        </is>
      </c>
      <c r="Q251" s="75" t="inlineStr">
        <is>
          <t>B&amp;H Explora — Rangefinder Camera Guide</t>
        </is>
      </c>
      <c r="R251" s="75" t="inlineStr">
        <is>
          <t>https://www.bhphotovideo.com/explora/photography/buying-guide/primer-rangefinder-cameras</t>
        </is>
      </c>
      <c r="S251" s="75" t="n">
        <v>4</v>
      </c>
      <c r="T251" s="75" t="inlineStr">
        <is>
          <t>Дальномер — это камера наблюдения, а не камера контроля через объектив.</t>
        </is>
      </c>
      <c r="U251" s="75" t="inlineStr">
        <is>
          <t>Уличная сцена через яркие рамки видоискателя; человек входит в кадр до нажатия спуска.</t>
        </is>
      </c>
      <c r="V251" s="75" t="inlineStr">
        <is>
          <t>#PL024 #street-photography #quiet-camera #rangefinder</t>
        </is>
      </c>
      <c r="W251" s="75" t="n"/>
      <c r="X251" s="75" t="n"/>
      <c r="Y251" s="75" t="inlineStr">
        <is>
          <t>Дальномерная камера / опыт съёмки</t>
        </is>
      </c>
      <c r="Z251" s="75" t="inlineStr">
        <is>
          <t>Применение / жанр</t>
        </is>
      </c>
      <c r="AA251" s="75" t="n"/>
    </row>
    <row r="252" ht="17" customHeight="1" s="72">
      <c r="A252" s="75" t="inlineStr">
        <is>
          <t>PL-HIST-0251</t>
        </is>
      </c>
      <c r="B252" s="75" t="inlineStr">
        <is>
          <t>1995</t>
        </is>
      </c>
      <c r="C252" s="75" t="inlineStr">
        <is>
          <t>год</t>
        </is>
      </c>
      <c r="D252" s="75" t="inlineStr">
        <is>
          <t>Япония</t>
        </is>
      </c>
      <c r="E252" s="75" t="inlineStr">
        <is>
          <t>Токио</t>
        </is>
      </c>
      <c r="F252" s="75" t="inlineStr">
        <is>
          <t>Mamiya</t>
        </is>
      </c>
      <c r="G252" s="75" t="inlineStr">
        <is>
          <t>Mamiya 7 показывает, что дальномерная логика работает и в среднем формате: большой 6×7 негатив можно получить в относительно мобильной и тихой камере.</t>
        </is>
      </c>
      <c r="H252" s="75" t="inlineStr">
        <is>
          <t>Оптические инструменты</t>
        </is>
      </c>
      <c r="I252" s="75" t="inlineStr">
        <is>
          <t>Mamiya 7 / medium-format rangefinder</t>
        </is>
      </c>
      <c r="J252" s="75" t="inlineStr">
        <is>
          <t>Дальномер перестаёт быть только 35-мм историей: он становится способом сделать крупный формат переносимым.</t>
        </is>
      </c>
      <c r="K252" s="75" t="inlineStr">
        <is>
          <t>Дальномер как уличный инструмент</t>
        </is>
      </c>
      <c r="L252" s="75" t="inlineStr">
        <is>
          <t>PL-027 — средний формат</t>
        </is>
      </c>
      <c r="M252" s="75" t="inlineStr">
        <is>
          <t>Связь / переход</t>
        </is>
      </c>
      <c r="N252" s="75" t="n">
        <v>5</v>
      </c>
      <c r="O252" s="75" t="inlineStr">
        <is>
          <t>PL-024</t>
        </is>
      </c>
      <c r="P252" s="75" t="inlineStr">
        <is>
          <t>SRC-197</t>
        </is>
      </c>
      <c r="Q252" s="75" t="inlineStr">
        <is>
          <t>Mamiya — Mamiya 7</t>
        </is>
      </c>
      <c r="R252" s="75" t="inlineStr">
        <is>
          <t>https://mamiya.co.uk/products_id-7.html</t>
        </is>
      </c>
      <c r="S252" s="75" t="n">
        <v>4</v>
      </c>
      <c r="T252" s="75" t="inlineStr">
        <is>
          <t>Мост к PL-027 и личной практике: Mamiya 7 объясняет, почему средний формат может быть мобильным.</t>
        </is>
      </c>
      <c r="U252" s="75" t="inlineStr">
        <is>
          <t>Mamiya 7 на ремне, рядом крупный негатив 6×7 и тонкий силуэт камеры.</t>
        </is>
      </c>
      <c r="V252" s="75" t="inlineStr">
        <is>
          <t>#PL024 #Mamiya7 #medium-format #rangefinder</t>
        </is>
      </c>
      <c r="W252" s="75" t="n"/>
      <c r="X252" s="75" t="inlineStr">
        <is>
          <t>35.6762, 139.6503</t>
        </is>
      </c>
      <c r="Y252" s="75" t="inlineStr">
        <is>
          <t>Дальномерная камера / среднеформатный дальномер</t>
        </is>
      </c>
      <c r="Z252" s="75" t="inlineStr">
        <is>
          <t>Связь / переход</t>
        </is>
      </c>
      <c r="AA252" s="75" t="n"/>
    </row>
    <row r="253" ht="17" customHeight="1" s="72">
      <c r="A253" s="75" t="inlineStr">
        <is>
          <t>PL-HIST-0252</t>
        </is>
      </c>
      <c r="B253" s="75" t="inlineStr">
        <is>
          <t>XX век</t>
        </is>
      </c>
      <c r="C253" s="75" t="inlineStr">
        <is>
          <t>диапазон</t>
        </is>
      </c>
      <c r="D253" s="75" t="inlineStr">
        <is>
          <t>глобально</t>
        </is>
      </c>
      <c r="E253" s="75" t="inlineStr">
        <is>
          <t>фотографическая практика</t>
        </is>
      </c>
      <c r="F253" s="75" t="inlineStr">
        <is>
          <t>фотографы</t>
        </is>
      </c>
      <c r="G253" s="75" t="inlineStr">
        <is>
          <t>Главный компромисс дальномерной камеры: она быстрая и тихая, но хуже подходит для макро, длинных телеобъективов и точной оценки глубины резкости через объектив.</t>
        </is>
      </c>
      <c r="H253" s="75" t="inlineStr">
        <is>
          <t>Оптические инструменты</t>
        </is>
      </c>
      <c r="I253" s="75" t="inlineStr">
        <is>
          <t>Rangefinder limitations / parallax and lens range</t>
        </is>
      </c>
      <c r="J253" s="75" t="inlineStr">
        <is>
          <t>Фотограф понимает, почему появились и победили SLR-системы в жанрах, где нужно видеть изображение через объектив.</t>
        </is>
      </c>
      <c r="K253" s="75" t="inlineStr">
        <is>
          <t>Среднеформатный дальномер</t>
        </is>
      </c>
      <c r="L253" s="75" t="inlineStr">
        <is>
          <t>PL-025 — зеркальная камера</t>
        </is>
      </c>
      <c r="M253" s="75" t="inlineStr">
        <is>
          <t>Связь / переход</t>
        </is>
      </c>
      <c r="N253" s="75" t="n">
        <v>5</v>
      </c>
      <c r="O253" s="75" t="inlineStr">
        <is>
          <t>PL-024</t>
        </is>
      </c>
      <c r="P253" s="75" t="inlineStr">
        <is>
          <t>SRC-196</t>
        </is>
      </c>
      <c r="Q253" s="75" t="inlineStr">
        <is>
          <t>B&amp;H Explora — Rangefinder Camera Guide</t>
        </is>
      </c>
      <c r="R253" s="75" t="inlineStr">
        <is>
          <t>https://www.bhphotovideo.com/explora/photography/buying-guide/primer-rangefinder-cameras</t>
        </is>
      </c>
      <c r="S253" s="75" t="n">
        <v>4</v>
      </c>
      <c r="T253" s="75" t="inlineStr">
        <is>
          <t>Финал PL-024: дальномер не «лучше» зеркалки; это другой способ видеть.</t>
        </is>
      </c>
      <c r="U253" s="75" t="inlineStr">
        <is>
          <t>Развилка: дальномерная камера для улицы и SLR с телеобъективом/макро на штативе.</t>
        </is>
      </c>
      <c r="V253" s="75" t="inlineStr">
        <is>
          <t>#PL024 #rangefinder #SLR #camera-choice</t>
        </is>
      </c>
      <c r="W253" s="75" t="n"/>
      <c r="X253" s="75" t="n"/>
      <c r="Y253" s="75" t="inlineStr">
        <is>
          <t>Дальномерная камера / компромиссы</t>
        </is>
      </c>
      <c r="Z253" s="75" t="inlineStr">
        <is>
          <t>Связь / переход</t>
        </is>
      </c>
      <c r="AA253" s="75" t="n"/>
    </row>
    <row r="254" ht="17" customHeight="1" s="72">
      <c r="A254" s="75" t="inlineStr">
        <is>
          <t>PL-HIST-0253</t>
        </is>
      </c>
      <c r="B254" s="75" t="inlineStr">
        <is>
          <t>конец XIX — XX век</t>
        </is>
      </c>
      <c r="C254" s="75" t="inlineStr">
        <is>
          <t>диапазон</t>
        </is>
      </c>
      <c r="D254" s="75" t="inlineStr">
        <is>
          <t>глобально</t>
        </is>
      </c>
      <c r="E254" s="75" t="inlineStr">
        <is>
          <t>фотографические мастерские</t>
        </is>
      </c>
      <c r="F254" s="75" t="inlineStr">
        <is>
          <t>конструкторы камер</t>
        </is>
      </c>
      <c r="G254" s="75" t="inlineStr">
        <is>
          <t>Простое зеркало под 45° перевернуло бы кадр слева направо — смотреть через такой видоискатель было бы неудобно. Пентапризма решает именно эту задачу: свет проходит внутри пятигранной призмы через несколько внутренних отражений, и картинка на матовом стекле возвращается фотографу прямой и правильно ориентированной, а не зеркальной.</t>
        </is>
      </c>
      <c r="H254" s="75" t="inlineStr">
        <is>
          <t>Оптические инструменты</t>
        </is>
      </c>
      <c r="I254" s="75" t="inlineStr">
        <is>
          <t>Pentaprism image correction (roof pentaprism)</t>
        </is>
      </c>
      <c r="J254" s="75" t="inlineStr">
        <is>
          <t>Зеркальная камера получает не просто окно «через объектив», а оптически исправленное изображение: фотограф видит сцену так же, как её увидит плёнка, без бокового зеркального переворота, который давало бы простое плоское зеркало.</t>
        </is>
      </c>
      <c r="K254" s="75" t="inlineStr">
        <is>
          <t>Дальномер: видоискатель отдельно от объектива</t>
        </is>
      </c>
      <c r="L254" s="75" t="inlineStr">
        <is>
          <t>35-мм SLR</t>
        </is>
      </c>
      <c r="M254" s="75" t="inlineStr">
        <is>
          <t>Оптическая предпосылка</t>
        </is>
      </c>
      <c r="N254" s="75" t="n">
        <v>5</v>
      </c>
      <c r="O254" s="75" t="inlineStr">
        <is>
          <t>PL-025</t>
        </is>
      </c>
      <c r="P254" s="75" t="inlineStr">
        <is>
          <t>SRC-239</t>
        </is>
      </c>
      <c r="Q254" s="75" t="inlineStr">
        <is>
          <t>Wikipedia — Pentaprism</t>
        </is>
      </c>
      <c r="R254" s="75" t="inlineStr">
        <is>
          <t>https://en.wikipedia.org/wiki/Pentaprism</t>
        </is>
      </c>
      <c r="S254" s="75" t="n">
        <v>4</v>
      </c>
      <c r="T254" s="75" t="inlineStr">
        <is>
          <t>Опорный узел (не флагман): без этой оптической коррекции пентапризма была бы не нужна — обычное зеркало показывало бы кадр зеркально, что мешало бы кадрированию и слежению за движением.</t>
        </is>
      </c>
      <c r="U254" s="75" t="inlineStr">
        <is>
          <t>Ход луча внутри пятигранной призмы с несколькими отражениями: слева зеркальное изображение входит, справа выходит прямым.</t>
        </is>
      </c>
      <c r="V254" s="75" t="inlineStr">
        <is>
          <t>#PL025 #pentaprism #optics #SLR #roof-prism</t>
        </is>
      </c>
      <c r="W254" s="75" t="n"/>
      <c r="X254" s="75" t="n"/>
      <c r="Y254" s="75" t="inlineStr">
        <is>
          <t>Зеркальная камера / оптическая коррекция пентапризмы</t>
        </is>
      </c>
      <c r="Z254" s="75" t="inlineStr">
        <is>
          <t>Фундаментальная предпосылка</t>
        </is>
      </c>
      <c r="AA254" s="75" t="n"/>
    </row>
    <row r="255" ht="17" customHeight="1" s="72">
      <c r="A255" s="75" t="inlineStr">
        <is>
          <t>PL-HIST-0254</t>
        </is>
      </c>
      <c r="B255" s="75" t="inlineStr">
        <is>
          <t>1936</t>
        </is>
      </c>
      <c r="C255" s="75" t="inlineStr">
        <is>
          <t>год</t>
        </is>
      </c>
      <c r="D255" s="75" t="inlineStr">
        <is>
          <t>Германия</t>
        </is>
      </c>
      <c r="E255" s="75" t="inlineStr">
        <is>
          <t>Дрезден</t>
        </is>
      </c>
      <c r="F255" s="75" t="inlineStr">
        <is>
          <t>Ihagee</t>
        </is>
      </c>
      <c r="G255" s="75" t="inlineStr">
        <is>
          <t>Kine Exakta переносит SLR-логику в 35 мм: камера снимает кадр 24×36 на киноплёнке и даёт фокусировку через объектив.</t>
        </is>
      </c>
      <c r="H255" s="75" t="inlineStr">
        <is>
          <t>Оптические инструменты</t>
        </is>
      </c>
      <c r="I255" s="75" t="inlineStr">
        <is>
          <t>Kine Exakta 35mm SLR</t>
        </is>
      </c>
      <c r="J255" s="75" t="inlineStr">
        <is>
          <t>35-мм формат получает зеркальную альтернативу дальномерным камерам: точное видение через объектив становится компактнее.</t>
        </is>
      </c>
      <c r="K255" s="75" t="inlineStr">
        <is>
          <t>Ранние рефлекс-камеры</t>
        </is>
      </c>
      <c r="L255" s="75" t="inlineStr">
        <is>
          <t>Пентапризменная SLR</t>
        </is>
      </c>
      <c r="M255" s="75" t="inlineStr">
        <is>
          <t>Главная линия</t>
        </is>
      </c>
      <c r="N255" s="75" t="n">
        <v>5</v>
      </c>
      <c r="O255" s="75" t="inlineStr">
        <is>
          <t>PL-025</t>
        </is>
      </c>
      <c r="P255" s="75" t="inlineStr">
        <is>
          <t>SRC-198</t>
        </is>
      </c>
      <c r="Q255" s="75" t="inlineStr">
        <is>
          <t>Science Museum Group — Kine Exakta 35mm SLR camera</t>
        </is>
      </c>
      <c r="R255" s="75" t="inlineStr">
        <is>
          <t>https://collection.sciencemuseumgroup.org.uk/objects/co8084029</t>
        </is>
      </c>
      <c r="S255" s="75" t="n">
        <v>5</v>
      </c>
      <c r="T255" s="75" t="inlineStr">
        <is>
          <t>Исторический узел: первая важная 35-мм SLR-линия для объяснения перехода от дальномерки к зеркалке.</t>
        </is>
      </c>
      <c r="U255" s="75" t="inlineStr">
        <is>
          <t>Kine Exakta открыта сверху; видно матовое стекло и шахту.</t>
        </is>
      </c>
      <c r="V255" s="75" t="inlineStr">
        <is>
          <t>#PL025 #KineExakta #SLR #35mm</t>
        </is>
      </c>
      <c r="W255" s="75" t="n"/>
      <c r="X255" s="75" t="inlineStr">
        <is>
          <t>51.0504, 13.7373</t>
        </is>
      </c>
      <c r="Y255" s="75" t="inlineStr">
        <is>
          <t>Зеркальная камера / 35-мм SLR</t>
        </is>
      </c>
      <c r="Z255" s="75" t="inlineStr">
        <is>
          <t>Ключевой исторический узел</t>
        </is>
      </c>
      <c r="AA255" s="75" t="n"/>
    </row>
    <row r="256" ht="17" customHeight="1" s="72">
      <c r="A256" s="75" t="inlineStr">
        <is>
          <t>PL-HIST-0255</t>
        </is>
      </c>
      <c r="B256" s="75" t="inlineStr">
        <is>
          <t>1948</t>
        </is>
      </c>
      <c r="C256" s="75" t="inlineStr">
        <is>
          <t>год</t>
        </is>
      </c>
      <c r="D256" s="75" t="inlineStr">
        <is>
          <t>Германия</t>
        </is>
      </c>
      <c r="E256" s="75" t="inlineStr">
        <is>
          <t>Дрезден</t>
        </is>
      </c>
      <c r="F256" s="75" t="inlineStr">
        <is>
          <t>Zeiss Ikon</t>
        </is>
      </c>
      <c r="G256" s="75" t="inlineStr">
        <is>
          <t>Contax S становится одним из первых пентапризменных SLR: изображение в видоискателе становится удобнее для съёмки на уровне глаз.</t>
        </is>
      </c>
      <c r="H256" s="75" t="inlineStr">
        <is>
          <t>Оптические инструменты</t>
        </is>
      </c>
      <c r="I256" s="75" t="inlineStr">
        <is>
          <t>Pentaprism SLR / Contax S</t>
        </is>
      </c>
      <c r="J256" s="75" t="inlineStr">
        <is>
          <t>Зеркальная камера перестаёт требовать взгляда сверху в шахту: фотограф может работать быстрее и естественнее.</t>
        </is>
      </c>
      <c r="K256" s="75" t="inlineStr">
        <is>
          <t>35-мм SLR с шахтой</t>
        </is>
      </c>
      <c r="L256" s="75" t="inlineStr">
        <is>
          <t>Asahi Pentax и массовая пентапризма</t>
        </is>
      </c>
      <c r="M256" s="75" t="inlineStr">
        <is>
          <t>Главная линия</t>
        </is>
      </c>
      <c r="N256" s="75" t="n">
        <v>5</v>
      </c>
      <c r="O256" s="75" t="inlineStr">
        <is>
          <t>PL-025</t>
        </is>
      </c>
      <c r="P256" s="75" t="inlineStr">
        <is>
          <t>SRC-199</t>
        </is>
      </c>
      <c r="Q256" s="75" t="inlineStr">
        <is>
          <t>Science Museum Group — Contax S camera</t>
        </is>
      </c>
      <c r="R256" s="75" t="inlineStr">
        <is>
          <t>https://collection.sciencemuseumgroup.org.uk/objects/co8210865/contax-s-camera</t>
        </is>
      </c>
      <c r="S256" s="75" t="n">
        <v>5</v>
      </c>
      <c r="T256" s="75" t="inlineStr">
        <is>
          <t>Показать пентапризму как маленькую оптическую революцию внутри камеры.</t>
        </is>
      </c>
      <c r="U256" s="75" t="inlineStr">
        <is>
          <t>Схема пентапризмы: перевёрнутое изображение становится прямым в глазном видоискателе.</t>
        </is>
      </c>
      <c r="V256" s="75" t="inlineStr">
        <is>
          <t>#PL025 #ContaxS #pentaprism #SLR</t>
        </is>
      </c>
      <c r="W256" s="75" t="n"/>
      <c r="X256" s="75" t="inlineStr">
        <is>
          <t>51.0504, 13.7373</t>
        </is>
      </c>
      <c r="Y256" s="75" t="inlineStr">
        <is>
          <t>Зеркальная камера / пентапризма</t>
        </is>
      </c>
      <c r="Z256" s="75" t="inlineStr">
        <is>
          <t>Технология / процесс</t>
        </is>
      </c>
      <c r="AA256" s="75" t="n"/>
    </row>
    <row r="257" ht="17" customHeight="1" s="72">
      <c r="A257" s="75" t="inlineStr">
        <is>
          <t>PL-HIST-0256</t>
        </is>
      </c>
      <c r="B257" s="75" t="inlineStr">
        <is>
          <t>1952</t>
        </is>
      </c>
      <c r="C257" s="75" t="inlineStr">
        <is>
          <t>год</t>
        </is>
      </c>
      <c r="D257" s="75" t="inlineStr">
        <is>
          <t>Япония</t>
        </is>
      </c>
      <c r="E257" s="75" t="inlineStr">
        <is>
          <t>Токио</t>
        </is>
      </c>
      <c r="F257" s="75" t="inlineStr">
        <is>
          <t>Asahi Optical / Pentax</t>
        </is>
      </c>
      <c r="G257" s="75" t="inlineStr">
        <is>
          <t>Asahiflex I открывает японскую линию 35-мм SLR: зеркальная камера становится важным направлением для японской фотопромышленности.</t>
        </is>
      </c>
      <c r="H257" s="75" t="inlineStr">
        <is>
          <t>Оптические инструменты</t>
        </is>
      </c>
      <c r="I257" s="75" t="inlineStr">
        <is>
          <t>Asahiflex I / Japanese 35mm SLR</t>
        </is>
      </c>
      <c r="J257" s="75" t="inlineStr">
        <is>
          <t>Центр развития SLR постепенно смещается к Японии, где позже появятся массовые и профессиональные системы.</t>
        </is>
      </c>
      <c r="K257" s="75" t="inlineStr">
        <is>
          <t>Пентапризменная SLR в Европе</t>
        </is>
      </c>
      <c r="L257" s="75" t="inlineStr">
        <is>
          <t>Asahi Pentax 1957</t>
        </is>
      </c>
      <c r="M257" s="75" t="inlineStr">
        <is>
          <t>Связь / переход</t>
        </is>
      </c>
      <c r="N257" s="75" t="n">
        <v>4</v>
      </c>
      <c r="O257" s="75" t="inlineStr">
        <is>
          <t>PL-025</t>
        </is>
      </c>
      <c r="P257" s="75" t="inlineStr">
        <is>
          <t>SRC-204</t>
        </is>
      </c>
      <c r="Q257" s="75" t="inlineStr">
        <is>
          <t>Ricoh Imaging — Pentax history course</t>
        </is>
      </c>
      <c r="R257" s="75" t="inlineStr">
        <is>
          <t>https://www.ricoh-imaging.co.jp/english/pentax/pentaxhistory/course/</t>
        </is>
      </c>
      <c r="S257" s="75" t="n">
        <v>5</v>
      </c>
      <c r="T257" s="75" t="inlineStr">
        <is>
          <t>Здесь важно показать географическое движение: Германия → Япония.</t>
        </is>
      </c>
      <c r="U257" s="75" t="inlineStr">
        <is>
          <t>Маршрутная линия из Дрездена в Токио; рядом силуэт Asahiflex.</t>
        </is>
      </c>
      <c r="V257" s="75" t="inlineStr">
        <is>
          <t>#PL025 #Asahiflex #Pentax #JapanSLR</t>
        </is>
      </c>
      <c r="W257" s="75" t="n"/>
      <c r="X257" s="75" t="inlineStr">
        <is>
          <t>35.6762, 139.6503</t>
        </is>
      </c>
      <c r="Y257" s="75" t="inlineStr">
        <is>
          <t>Зеркальная камера / японская SLR-линия</t>
        </is>
      </c>
      <c r="Z257" s="75" t="inlineStr">
        <is>
          <t>Связь / переход</t>
        </is>
      </c>
      <c r="AA257" s="75" t="n"/>
    </row>
    <row r="258" ht="17" customHeight="1" s="72">
      <c r="A258" s="75" t="inlineStr">
        <is>
          <t>PL-HIST-0257</t>
        </is>
      </c>
      <c r="B258" s="75" t="inlineStr">
        <is>
          <t>1957</t>
        </is>
      </c>
      <c r="C258" s="75" t="inlineStr">
        <is>
          <t>год</t>
        </is>
      </c>
      <c r="D258" s="75" t="inlineStr">
        <is>
          <t>Япония</t>
        </is>
      </c>
      <c r="E258" s="75" t="inlineStr">
        <is>
          <t>Токио</t>
        </is>
      </c>
      <c r="F258" s="75" t="inlineStr">
        <is>
          <t>Asahi Optical / Pentax</t>
        </is>
      </c>
      <c r="G258" s="75" t="inlineStr">
        <is>
          <t>Asahi Pentax закрепляет привычный образ 35-мм SLR: пентапризма, глазной видоискатель и сменная оптика становятся нормой.</t>
        </is>
      </c>
      <c r="H258" s="75" t="inlineStr">
        <is>
          <t>Оптические инструменты</t>
        </is>
      </c>
      <c r="I258" s="75" t="inlineStr">
        <is>
          <t>Asahi Pentax / eye-level pentaprism SLR</t>
        </is>
      </c>
      <c r="J258" s="75" t="inlineStr">
        <is>
          <t>Зеркальная камера начинает выглядеть как классическая плёночная SLR, которую многие представляют до сих пор.</t>
        </is>
      </c>
      <c r="K258" s="75" t="inlineStr">
        <is>
          <t>Asahiflex I</t>
        </is>
      </c>
      <c r="L258" s="75" t="inlineStr">
        <is>
          <t>Nikon F</t>
        </is>
      </c>
      <c r="M258" s="75" t="inlineStr">
        <is>
          <t>Главная линия</t>
        </is>
      </c>
      <c r="N258" s="75" t="n">
        <v>5</v>
      </c>
      <c r="O258" s="75" t="inlineStr">
        <is>
          <t>PL-025</t>
        </is>
      </c>
      <c r="P258" s="75" t="inlineStr">
        <is>
          <t>SRC-204</t>
        </is>
      </c>
      <c r="Q258" s="75" t="inlineStr">
        <is>
          <t>Ricoh Imaging — Pentax history course</t>
        </is>
      </c>
      <c r="R258" s="75" t="inlineStr">
        <is>
          <t>https://www.ricoh-imaging.co.jp/english/pentax/pentaxhistory/course/</t>
        </is>
      </c>
      <c r="S258" s="75" t="n">
        <v>5</v>
      </c>
      <c r="T258" s="75" t="inlineStr">
        <is>
          <t>Объяснить, почему слово Pentax связано с пентапризмой и образом SLR.</t>
        </is>
      </c>
      <c r="U258" s="75" t="inlineStr">
        <is>
          <t>Классический силуэт SLR с «домиком» пентапризмы над объективом.</t>
        </is>
      </c>
      <c r="V258" s="75" t="inlineStr">
        <is>
          <t>#PL025 #AsahiPentax #pentaprism #SLR</t>
        </is>
      </c>
      <c r="W258" s="75" t="n"/>
      <c r="X258" s="75" t="inlineStr">
        <is>
          <t>35.6762, 139.6503</t>
        </is>
      </c>
      <c r="Y258" s="75" t="inlineStr">
        <is>
          <t>Зеркальная камера / классический силуэт SLR</t>
        </is>
      </c>
      <c r="Z258" s="75" t="inlineStr">
        <is>
          <t>Инструмент / устройство</t>
        </is>
      </c>
      <c r="AA258" s="75" t="n"/>
    </row>
    <row r="259" ht="17" customHeight="1" s="72">
      <c r="A259" s="75" t="inlineStr">
        <is>
          <t>PL-HIST-0258</t>
        </is>
      </c>
      <c r="B259" s="75" t="inlineStr">
        <is>
          <t>1959</t>
        </is>
      </c>
      <c r="C259" s="75" t="inlineStr">
        <is>
          <t>год</t>
        </is>
      </c>
      <c r="D259" s="75" t="inlineStr">
        <is>
          <t>Япония</t>
        </is>
      </c>
      <c r="E259" s="75" t="inlineStr">
        <is>
          <t>Токио</t>
        </is>
      </c>
      <c r="F259" s="75" t="inlineStr">
        <is>
          <t>Nikon</t>
        </is>
      </c>
      <c r="G259" s="75" t="inlineStr">
        <is>
          <t>Nikon F превращает 35-мм SLR в профессиональную систему: сменные объективы, видоискатели, фокусировочные экраны и моторная протяжка делают её рабочей платформой.</t>
        </is>
      </c>
      <c r="H259" s="75" t="inlineStr">
        <is>
          <t>Оптические инструменты</t>
        </is>
      </c>
      <c r="I259" s="75" t="inlineStr">
        <is>
          <t>Nikon F / professional modular SLR system</t>
        </is>
      </c>
      <c r="J259" s="75" t="inlineStr">
        <is>
          <t>SLR становится не просто типом камеры, а системой для репортажа, спорта, науки и профессиональной съёмки.</t>
        </is>
      </c>
      <c r="K259" s="75" t="inlineStr">
        <is>
          <t>Asahi Pentax и массовый SLR-силуэт</t>
        </is>
      </c>
      <c r="L259" s="75" t="inlineStr">
        <is>
          <t>Canonflex и профессиональная конкуренция</t>
        </is>
      </c>
      <c r="M259" s="75" t="inlineStr">
        <is>
          <t>Главная линия</t>
        </is>
      </c>
      <c r="N259" s="75" t="n">
        <v>5</v>
      </c>
      <c r="O259" s="75" t="inlineStr">
        <is>
          <t>PL-025</t>
        </is>
      </c>
      <c r="P259" s="75" t="inlineStr">
        <is>
          <t>SRC-200</t>
        </is>
      </c>
      <c r="Q259" s="75" t="inlineStr">
        <is>
          <t>Nikon Camera Chronicle — Debut of Nikon F</t>
        </is>
      </c>
      <c r="R259" s="75" t="inlineStr">
        <is>
          <t>https://imaging.nikon.com/imaging/information/chronicle/history-f/index.html</t>
        </is>
      </c>
      <c r="S259" s="75" t="n">
        <v>5</v>
      </c>
      <c r="T259" s="75" t="inlineStr">
        <is>
          <t>Флагман PL-025: через Nikon F удобно объяснить, почему зеркалка стала профессиональным стандартом на десятилетия.</t>
        </is>
      </c>
      <c r="U259" s="75" t="inlineStr">
        <is>
          <t>Nikon F разобран на модули: корпус, призма, экран, объектив, моторный привод.</t>
        </is>
      </c>
      <c r="V259" s="75" t="inlineStr">
        <is>
          <t>#PL025 #NikonF #SLR #professional-camera</t>
        </is>
      </c>
      <c r="W259" s="75" t="n"/>
      <c r="X259" s="75" t="inlineStr">
        <is>
          <t>35.6762, 139.6503</t>
        </is>
      </c>
      <c r="Y259" s="75" t="inlineStr">
        <is>
          <t>Зеркальная камера / профессиональная система</t>
        </is>
      </c>
      <c r="Z259" s="75" t="inlineStr">
        <is>
          <t>Ключевой исторический узел</t>
        </is>
      </c>
      <c r="AA259" s="75" t="inlineStr">
        <is>
          <t>да</t>
        </is>
      </c>
    </row>
    <row r="260" ht="17" customHeight="1" s="72">
      <c r="A260" s="75" t="inlineStr">
        <is>
          <t>PL-HIST-0259</t>
        </is>
      </c>
      <c r="B260" s="75" t="inlineStr">
        <is>
          <t>1959</t>
        </is>
      </c>
      <c r="C260" s="75" t="inlineStr">
        <is>
          <t>год</t>
        </is>
      </c>
      <c r="D260" s="75" t="inlineStr">
        <is>
          <t>Япония</t>
        </is>
      </c>
      <c r="E260" s="75" t="inlineStr">
        <is>
          <t>Токио</t>
        </is>
      </c>
      <c r="F260" s="75" t="inlineStr">
        <is>
          <t>Canon</t>
        </is>
      </c>
      <c r="G260" s="75" t="inlineStr">
        <is>
          <t>Canonflex становится первой SLR Canon и показывает, что крупные производители 35-мм камер начинают переходить от дальномерной традиции к зеркальным системам.</t>
        </is>
      </c>
      <c r="H260" s="75" t="inlineStr">
        <is>
          <t>Оптические инструменты</t>
        </is>
      </c>
      <c r="I260" s="75" t="inlineStr">
        <is>
          <t>Canonflex / Canon first SLR</t>
        </is>
      </c>
      <c r="J260" s="75" t="inlineStr">
        <is>
          <t>Конкуренция смещается к SLR: производители строят новые байонеты, линейки объективов и профессиональные экосистемы.</t>
        </is>
      </c>
      <c r="K260" s="75" t="inlineStr">
        <is>
          <t>Nikon F</t>
        </is>
      </c>
      <c r="L260" s="75" t="inlineStr">
        <is>
          <t>TTL-замер и AE в SLR</t>
        </is>
      </c>
      <c r="M260" s="75" t="inlineStr">
        <is>
          <t>Связь / переход</t>
        </is>
      </c>
      <c r="N260" s="75" t="n">
        <v>4</v>
      </c>
      <c r="O260" s="75" t="inlineStr">
        <is>
          <t>PL-025</t>
        </is>
      </c>
      <c r="P260" s="75" t="inlineStr">
        <is>
          <t>SRC-202</t>
        </is>
      </c>
      <c r="Q260" s="75" t="inlineStr">
        <is>
          <t>Canon Camera Museum — Canonflex</t>
        </is>
      </c>
      <c r="R260" s="75" t="inlineStr">
        <is>
          <t>https://global.canon/en/c-museum/product/film38.html</t>
        </is>
      </c>
      <c r="S260" s="75" t="n">
        <v>5</v>
      </c>
      <c r="T260" s="75" t="inlineStr">
        <is>
          <t>Показать не как отдельную модель, а как симптом: зеркалка становится будущим большой системы.</t>
        </is>
      </c>
      <c r="U260" s="75" t="inlineStr">
        <is>
          <t>Canonflex и рядом линейка сменных объективов; стрелка от rangefinder к SLR.</t>
        </is>
      </c>
      <c r="V260" s="75" t="inlineStr">
        <is>
          <t>#PL025 #Canonflex #Canon #SLR</t>
        </is>
      </c>
      <c r="W260" s="75" t="n"/>
      <c r="X260" s="75" t="inlineStr">
        <is>
          <t>35.6762, 139.6503</t>
        </is>
      </c>
      <c r="Y260" s="75" t="inlineStr">
        <is>
          <t>Зеркальная камера / переход производителей к SLR</t>
        </is>
      </c>
      <c r="Z260" s="75" t="inlineStr">
        <is>
          <t>Связь / переход</t>
        </is>
      </c>
      <c r="AA260" s="75" t="n"/>
    </row>
    <row r="261" ht="17" customHeight="1" s="72">
      <c r="A261" s="75" t="inlineStr">
        <is>
          <t>PL-HIST-0260</t>
        </is>
      </c>
      <c r="B261" s="75" t="inlineStr">
        <is>
          <t>1960-е</t>
        </is>
      </c>
      <c r="C261" s="75" t="inlineStr">
        <is>
          <t>диапазон</t>
        </is>
      </c>
      <c r="D261" s="75" t="inlineStr">
        <is>
          <t>Япония / глобально</t>
        </is>
      </c>
      <c r="E261" s="75" t="inlineStr">
        <is>
          <t>рынок SLR</t>
        </is>
      </c>
      <c r="F261" s="75" t="inlineStr">
        <is>
          <t>производители камер</t>
        </is>
      </c>
      <c r="G261" s="75" t="inlineStr">
        <is>
          <t>TTL-замер становится естественным преимуществом SLR: камера может измерять свет через тот же объектив, которым снимает.</t>
        </is>
      </c>
      <c r="H261" s="75" t="inlineStr">
        <is>
          <t>Оптические инструменты</t>
        </is>
      </c>
      <c r="I261" s="75" t="inlineStr">
        <is>
          <t>TTL metering in SLR cameras</t>
        </is>
      </c>
      <c r="J261" s="75" t="inlineStr">
        <is>
          <t>Фотограф получает более точное соответствие между объективом, фильтрами, фокусным расстоянием и измерением экспозиции.</t>
        </is>
      </c>
      <c r="K261" s="75" t="inlineStr">
        <is>
          <t>SLR как система видоискания</t>
        </is>
      </c>
      <c r="L261" s="75" t="inlineStr">
        <is>
          <t>Автоматическая экспозиция в SLR</t>
        </is>
      </c>
      <c r="M261" s="75" t="inlineStr">
        <is>
          <t>Главная линия / экспозиционный контроль</t>
        </is>
      </c>
      <c r="N261" s="75" t="n">
        <v>5</v>
      </c>
      <c r="O261" s="75" t="inlineStr">
        <is>
          <t>PL-025</t>
        </is>
      </c>
      <c r="P261" s="75" t="inlineStr">
        <is>
          <t>SRC-204</t>
        </is>
      </c>
      <c r="Q261" s="75" t="inlineStr">
        <is>
          <t>Ricoh Imaging — Pentax history course</t>
        </is>
      </c>
      <c r="R261" s="75" t="inlineStr">
        <is>
          <t>https://www.ricoh-imaging.co.jp/english/pentax/pentaxhistory/course/</t>
        </is>
      </c>
      <c r="S261" s="75" t="n">
        <v>4</v>
      </c>
      <c r="T261" s="75" t="inlineStr">
        <is>
          <t>Связать с PL-049 в будущем: экспонометр логичнее работает, когда видит через съёмочный объектив.</t>
        </is>
      </c>
      <c r="U261" s="75" t="inlineStr">
        <is>
          <t>Луч проходит через объектив к датчику замера; рядом значок TTL.</t>
        </is>
      </c>
      <c r="V261" s="75" t="inlineStr">
        <is>
          <t>#PL025 #TTL #metering #SLR</t>
        </is>
      </c>
      <c r="W261" s="75" t="inlineStr">
        <is>
          <t>Уточнить конкретный флагман TTL-замера, если делать отдельный расширенный узел.</t>
        </is>
      </c>
      <c r="X261" s="75" t="n"/>
      <c r="Y261" s="75" t="inlineStr">
        <is>
          <t>Зеркальная камера / TTL-замер</t>
        </is>
      </c>
      <c r="Z261" s="75" t="inlineStr">
        <is>
          <t>Технология / процесс</t>
        </is>
      </c>
      <c r="AA261" s="75" t="n"/>
    </row>
    <row r="262" ht="17" customHeight="1" s="72">
      <c r="A262" s="75" t="inlineStr">
        <is>
          <t>PL-HIST-0261</t>
        </is>
      </c>
      <c r="B262" s="75" t="inlineStr">
        <is>
          <t>1970-е</t>
        </is>
      </c>
      <c r="C262" s="75" t="inlineStr">
        <is>
          <t>диапазон</t>
        </is>
      </c>
      <c r="D262" s="75" t="inlineStr">
        <is>
          <t>глобально</t>
        </is>
      </c>
      <c r="E262" s="75" t="inlineStr">
        <is>
          <t>профессиональная фотография</t>
        </is>
      </c>
      <c r="F262" s="75" t="inlineStr">
        <is>
          <t>репортёры / спортивные фотографы</t>
        </is>
      </c>
      <c r="G262" s="75" t="inlineStr">
        <is>
          <t>Профессиональные SLR-системы закрепляют связку: быстрый видоискатель через объектив, сменная оптика, моторы, вспышки и аксессуары.</t>
        </is>
      </c>
      <c r="H262" s="75" t="inlineStr">
        <is>
          <t>Оптические инструменты</t>
        </is>
      </c>
      <c r="I262" s="75" t="inlineStr">
        <is>
          <t>Professional SLR ecosystem</t>
        </is>
      </c>
      <c r="J262" s="75" t="inlineStr">
        <is>
          <t>Зеркалка становится универсальной рабочей машиной: один корпус можно адаптировать под разные задачи.</t>
        </is>
      </c>
      <c r="K262" s="75" t="inlineStr">
        <is>
          <t>TTL-замер</t>
        </is>
      </c>
      <c r="L262" s="75" t="inlineStr">
        <is>
          <t>AF SLR и электронная автоматика</t>
        </is>
      </c>
      <c r="M262" s="75" t="inlineStr">
        <is>
          <t>Главная линия / профессиональная система</t>
        </is>
      </c>
      <c r="N262" s="75" t="n">
        <v>5</v>
      </c>
      <c r="O262" s="75" t="inlineStr">
        <is>
          <t>PL-025</t>
        </is>
      </c>
      <c r="P262" s="75" t="inlineStr">
        <is>
          <t>SRC-203</t>
        </is>
      </c>
      <c r="Q262" s="75" t="inlineStr">
        <is>
          <t>Canon Camera Museum — Canon 1955–1969 story</t>
        </is>
      </c>
      <c r="R262" s="75" t="inlineStr">
        <is>
          <t>https://global.canon/en/c-museum/history/story04.html</t>
        </is>
      </c>
      <c r="S262" s="75" t="n">
        <v>5</v>
      </c>
      <c r="T262" s="75" t="inlineStr">
        <is>
          <t>Можно объяснить через набор: камера перестаёт быть «коробкой», она становится системой.</t>
        </is>
      </c>
      <c r="U262" s="75" t="inlineStr">
        <is>
          <t>Профессиональный кофр: SLR-корпус, 24 мм, 50 мм, 200 мм, вспышка, мотор.</t>
        </is>
      </c>
      <c r="V262" s="75" t="inlineStr">
        <is>
          <t>#PL025 #professionalSLR #camera-system #photojournalism</t>
        </is>
      </c>
      <c r="W262" s="75" t="n"/>
      <c r="X262" s="75" t="n"/>
      <c r="Y262" s="75" t="inlineStr">
        <is>
          <t>Зеркальная камера / профессиональная экосистема</t>
        </is>
      </c>
      <c r="Z262" s="75" t="inlineStr">
        <is>
          <t>Применение / жанр</t>
        </is>
      </c>
      <c r="AA262" s="75" t="n"/>
    </row>
    <row r="263" ht="17" customHeight="1" s="72">
      <c r="A263" s="75" t="inlineStr">
        <is>
          <t>PL-HIST-0262</t>
        </is>
      </c>
      <c r="B263" s="75" t="inlineStr">
        <is>
          <t>1985–1987</t>
        </is>
      </c>
      <c r="C263" s="75" t="inlineStr">
        <is>
          <t>диапазон</t>
        </is>
      </c>
      <c r="D263" s="75" t="inlineStr">
        <is>
          <t>Япония</t>
        </is>
      </c>
      <c r="E263" s="75" t="inlineStr">
        <is>
          <t>Токио / Осака</t>
        </is>
      </c>
      <c r="F263" s="75" t="inlineStr">
        <is>
          <t>Minolta / Canon</t>
        </is>
      </c>
      <c r="G263" s="75" t="inlineStr">
        <is>
          <t>AF SLR соединяет зеркальную схему с автофокусом и электроникой: датчики начинают помогать фокусироваться через сложную систему корпуса и объектива.</t>
        </is>
      </c>
      <c r="H263" s="75" t="inlineStr">
        <is>
          <t>Оптические инструменты</t>
        </is>
      </c>
      <c r="I263" s="75" t="inlineStr">
        <is>
          <t>Autofocus SLR / electronic mount</t>
        </is>
      </c>
      <c r="J263" s="75" t="inlineStr">
        <is>
          <t>Зеркалка сохраняет главное преимущество — работу через объектив — и добавляет скорость автоматической фокусировки.</t>
        </is>
      </c>
      <c r="K263" s="75" t="inlineStr">
        <is>
          <t>Профессиональная SLR-система</t>
        </is>
      </c>
      <c r="L263" s="75" t="inlineStr">
        <is>
          <t>Поздняя электронная плёночная камера</t>
        </is>
      </c>
      <c r="M263" s="75" t="inlineStr">
        <is>
          <t>Главная линия / автоматизация SLR</t>
        </is>
      </c>
      <c r="N263" s="75" t="n">
        <v>5</v>
      </c>
      <c r="O263" s="75" t="inlineStr">
        <is>
          <t>PL-025</t>
        </is>
      </c>
      <c r="P263" s="75" t="inlineStr">
        <is>
          <t>SRC-206</t>
        </is>
      </c>
      <c r="Q263" s="75" t="inlineStr">
        <is>
          <t>Canon Camera Museum — EOS 650</t>
        </is>
      </c>
      <c r="R263" s="75" t="inlineStr">
        <is>
          <t>https://global.canon/en/c-museum/product/film122.html</t>
        </is>
      </c>
      <c r="S263" s="75" t="n">
        <v>5</v>
      </c>
      <c r="T263" s="75" t="inlineStr">
        <is>
          <t>Мост к PL-023 и будущим цифровым камерам: SLR стала базой для DSLR.</t>
        </is>
      </c>
      <c r="U263" s="75" t="inlineStr">
        <is>
          <t>SLR с подсвеченной AF-точкой; электронные контакты между корпусом и объективом.</t>
        </is>
      </c>
      <c r="V263" s="75" t="inlineStr">
        <is>
          <t>#PL025 #AFSLR #EOS #Minolta7000 #electronic-mount</t>
        </is>
      </c>
      <c r="W263" s="75" t="n"/>
      <c r="X263" s="75" t="inlineStr">
        <is>
          <t>35.6762, 139.6503</t>
        </is>
      </c>
      <c r="Y263" s="75" t="inlineStr">
        <is>
          <t>Зеркальная камера / автофокус SLR</t>
        </is>
      </c>
      <c r="Z263" s="75" t="inlineStr">
        <is>
          <t>Связь / переход</t>
        </is>
      </c>
      <c r="AA263" s="75" t="n"/>
    </row>
    <row r="264" ht="17" customHeight="1" s="72">
      <c r="A264" s="75" t="inlineStr">
        <is>
          <t>PL-HIST-0263</t>
        </is>
      </c>
      <c r="B264" s="75" t="inlineStr">
        <is>
          <t>XX век</t>
        </is>
      </c>
      <c r="C264" s="75" t="inlineStr">
        <is>
          <t>диапазон</t>
        </is>
      </c>
      <c r="D264" s="75" t="inlineStr">
        <is>
          <t>глобально</t>
        </is>
      </c>
      <c r="E264" s="75" t="inlineStr">
        <is>
          <t>фотографическая практика</t>
        </is>
      </c>
      <c r="F264" s="75" t="inlineStr">
        <is>
          <t>фотографы</t>
        </is>
      </c>
      <c r="G264" s="75" t="inlineStr">
        <is>
          <t>Главный компромисс зеркальной камеры: она точна через объектив, но зеркало добавляет шум, вибрацию, задержку и blackout в момент съёмки.</t>
        </is>
      </c>
      <c r="H264" s="75" t="inlineStr">
        <is>
          <t>Оптические инструменты</t>
        </is>
      </c>
      <c r="I264" s="75" t="inlineStr">
        <is>
          <t>SLR advantages and trade-offs</t>
        </is>
      </c>
      <c r="J264" s="75" t="inlineStr">
        <is>
          <t>Фотограф понимает выбор системы: SLR удобна для точной оптики, макро и телеобъективов, но не всегда идеальна для тихой и незаметной съёмки.</t>
        </is>
      </c>
      <c r="K264" s="75" t="inlineStr">
        <is>
          <t>AF SLR</t>
        </is>
      </c>
      <c r="L264" s="75" t="inlineStr">
        <is>
          <t>PL-026 — компактная плёночная камера</t>
        </is>
      </c>
      <c r="M264" s="75" t="inlineStr">
        <is>
          <t>Связь / переход</t>
        </is>
      </c>
      <c r="N264" s="75" t="n">
        <v>5</v>
      </c>
      <c r="O264" s="75" t="inlineStr">
        <is>
          <t>PL-025</t>
        </is>
      </c>
      <c r="P264" s="75" t="inlineStr">
        <is>
          <t>SRC-200</t>
        </is>
      </c>
      <c r="Q264" s="75" t="inlineStr">
        <is>
          <t>Nikon Camera Chronicle — Debut of Nikon F</t>
        </is>
      </c>
      <c r="R264" s="75" t="inlineStr">
        <is>
          <t>https://imaging.nikon.com/imaging/information/chronicle/history-f/index.html</t>
        </is>
      </c>
      <c r="S264" s="75" t="n">
        <v>4</v>
      </c>
      <c r="T264" s="75" t="inlineStr">
        <is>
          <t>Финал урока: нет лучшей камеры вообще; есть логика камеры под задачу.</t>
        </is>
      </c>
      <c r="U264" s="75" t="inlineStr">
        <is>
          <t>Два силуэта: SLR с поднятым зеркалом и тихая compact/rangefinder камера.</t>
        </is>
      </c>
      <c r="V264" s="75" t="inlineStr">
        <is>
          <t>#PL025 #SLR #mirror-blackout #camera-choice</t>
        </is>
      </c>
      <c r="W264" s="75" t="n"/>
      <c r="X264" s="75" t="n"/>
      <c r="Y264" s="75" t="inlineStr">
        <is>
          <t>Зеркальная камера / преимущества и компромиссы</t>
        </is>
      </c>
      <c r="Z264" s="75" t="inlineStr">
        <is>
          <t>Связь / переход</t>
        </is>
      </c>
      <c r="AA264" s="75" t="n"/>
    </row>
    <row r="265" ht="17" customHeight="1" s="72">
      <c r="A265" s="75" t="inlineStr">
        <is>
          <t>PL-HIST-0264</t>
        </is>
      </c>
      <c r="B265" s="75" t="inlineStr">
        <is>
          <t>1900</t>
        </is>
      </c>
      <c r="C265" s="75" t="inlineStr">
        <is>
          <t>год</t>
        </is>
      </c>
      <c r="D265" s="75" t="inlineStr">
        <is>
          <t>США</t>
        </is>
      </c>
      <c r="E265" s="75" t="inlineStr">
        <is>
          <t>Рочестер</t>
        </is>
      </c>
      <c r="F265" s="75" t="inlineStr">
        <is>
          <t>Kodak</t>
        </is>
      </c>
      <c r="G265" s="75" t="inlineStr">
        <is>
          <t>Brownie показывает раннюю идею простой камеры: минимум настроек, низкая цена и съёмка повседневной жизни обычными людьми.</t>
        </is>
      </c>
      <c r="H265" s="75" t="inlineStr">
        <is>
          <t>Оптические инструменты</t>
        </is>
      </c>
      <c r="I265" s="75" t="inlineStr">
        <is>
          <t>Simple box camera / mass-market camera</t>
        </is>
      </c>
      <c r="J265" s="75" t="inlineStr">
        <is>
          <t>Компактная логика начинается не с миниатюрности, а с простоты: камера должна быть доступной и понятной.</t>
        </is>
      </c>
      <c r="K265" s="75" t="inlineStr">
        <is>
          <t>Сервисная модель Kodak</t>
        </is>
      </c>
      <c r="L265" s="75" t="inlineStr">
        <is>
          <t>35-мм компактные камеры</t>
        </is>
      </c>
      <c r="M265" s="75" t="inlineStr">
        <is>
          <t>Распространение / коммерциализация</t>
        </is>
      </c>
      <c r="N265" s="75" t="n">
        <v>4</v>
      </c>
      <c r="O265" s="75" t="inlineStr">
        <is>
          <t>PL-026</t>
        </is>
      </c>
      <c r="P265" s="75" t="inlineStr">
        <is>
          <t>SRC-216</t>
        </is>
      </c>
      <c r="Q265" s="75" t="inlineStr">
        <is>
          <t>Kodak — Photography History</t>
        </is>
      </c>
      <c r="R265" s="75" t="inlineStr">
        <is>
          <t>https://www.kodak.com/en/company/page/photography-history/</t>
        </is>
      </c>
      <c r="S265" s="75" t="n">
        <v>5</v>
      </c>
      <c r="T265" s="75" t="inlineStr">
        <is>
          <t>Коротко: компактная камера — это не только размер, это снятие барьера.</t>
        </is>
      </c>
      <c r="U265" s="75" t="inlineStr">
        <is>
          <t>Коробочная Brownie в руках ребёнка; рядом подпись «простая камера».</t>
        </is>
      </c>
      <c r="V265" s="75" t="inlineStr">
        <is>
          <t>#PL026 #Brownie #compact-camera #snapshot</t>
        </is>
      </c>
      <c r="W265" s="75" t="n"/>
      <c r="X265" s="75" t="inlineStr">
        <is>
          <t>43.1566, -77.6088</t>
        </is>
      </c>
      <c r="Y265" s="75" t="inlineStr">
        <is>
          <t>Компактная камера / простота</t>
        </is>
      </c>
      <c r="Z265" s="75" t="inlineStr">
        <is>
          <t>Связь / переход</t>
        </is>
      </c>
      <c r="AA265" s="75" t="n"/>
    </row>
    <row r="266" ht="17" customHeight="1" s="72">
      <c r="A266" s="75" t="inlineStr">
        <is>
          <t>PL-HIST-0265</t>
        </is>
      </c>
      <c r="B266" s="75" t="inlineStr">
        <is>
          <t>1934</t>
        </is>
      </c>
      <c r="C266" s="75" t="inlineStr">
        <is>
          <t>год</t>
        </is>
      </c>
      <c r="D266" s="75" t="inlineStr">
        <is>
          <t>Германия</t>
        </is>
      </c>
      <c r="E266" s="75" t="inlineStr">
        <is>
          <t>Штутгарт</t>
        </is>
      </c>
      <c r="F266" s="75" t="inlineStr">
        <is>
          <t>Kodak AG / August Nagel</t>
        </is>
      </c>
      <c r="G266" s="75" t="inlineStr">
        <is>
          <t>Kodak Retina решает компактность не электроникой, а механикой корпуса: доктор Август Нагель проектирует складную камеру-«раскладушку» с объективом на коротком мехе (bellows), которая складывается в плоский корпус без выступающего объектива — прямое наследие довоенных немецких складных камер Nagel Vollenda.</t>
        </is>
      </c>
      <c r="H266" s="75" t="inlineStr">
        <is>
          <t>Оптические инструменты</t>
        </is>
      </c>
      <c r="I266" s="75" t="inlineStr">
        <is>
          <t>Folding bellows compact body / clamshell design</t>
        </is>
      </c>
      <c r="J266" s="75" t="inlineStr">
        <is>
          <t>Компактность 35-мм камеры впервые решается складным корпусом, а не просто уменьшением деталей: объектив прячется внутрь на мехе, а не остаётся жёстко торчащим блоком.</t>
        </is>
      </c>
      <c r="K266" s="75" t="inlineStr">
        <is>
          <t>35 мм и 135 cartridge</t>
        </is>
      </c>
      <c r="L266" s="75" t="inlineStr">
        <is>
          <t>Olympus Pen</t>
        </is>
      </c>
      <c r="M266" s="75" t="inlineStr">
        <is>
          <t>Главная линия</t>
        </is>
      </c>
      <c r="N266" s="75" t="n">
        <v>5</v>
      </c>
      <c r="O266" s="75" t="inlineStr">
        <is>
          <t>PL-026</t>
        </is>
      </c>
      <c r="P266" s="75" t="inlineStr">
        <is>
          <t>SRC-208</t>
        </is>
      </c>
      <c r="Q266" s="75" t="inlineStr">
        <is>
          <t>Science Museum Group — Kodak Retina Type 117</t>
        </is>
      </c>
      <c r="R266" s="75" t="inlineStr">
        <is>
          <t>https://collection.sciencemuseumgroup.org.uk/objects/co8205056/kodak-retina-type-117-35mm-camera</t>
        </is>
      </c>
      <c r="S266" s="75" t="n">
        <v>4</v>
      </c>
      <c r="T266" s="75" t="inlineStr">
        <is>
          <t>Ретина показывает другой путь к компактности, чем более поздние жёсткие корпуса: складная механика, унаследованная от довоенных камер Nagel Vollenda (135-картридж этой же камеры уже разобран в PL-009).</t>
        </is>
      </c>
      <c r="U266" s="75" t="inlineStr">
        <is>
          <t>Складная Retina: корпус закрыт (плоский) и корпус раскрыт (мех и объектив выдвинуты).</t>
        </is>
      </c>
      <c r="V266" s="75" t="inlineStr">
        <is>
          <t>#PL026 #KodakRetina #folding-camera #bellows #Nagel</t>
        </is>
      </c>
      <c r="W266" s="75" t="n"/>
      <c r="X266" s="75" t="inlineStr">
        <is>
          <t>48.7758, 9.1829</t>
        </is>
      </c>
      <c r="Y266" s="75" t="inlineStr">
        <is>
          <t>Компактная камера / складной корпус и мех</t>
        </is>
      </c>
      <c r="Z266" s="75" t="inlineStr">
        <is>
          <t>Инструмент / устройство</t>
        </is>
      </c>
      <c r="AA266" s="75" t="n"/>
    </row>
    <row r="267" ht="17" customHeight="1" s="72">
      <c r="A267" s="75" t="inlineStr">
        <is>
          <t>PL-HIST-0266</t>
        </is>
      </c>
      <c r="B267" s="75" t="inlineStr">
        <is>
          <t>1959</t>
        </is>
      </c>
      <c r="C267" s="75" t="inlineStr">
        <is>
          <t>год</t>
        </is>
      </c>
      <c r="D267" s="75" t="inlineStr">
        <is>
          <t>Япония</t>
        </is>
      </c>
      <c r="E267" s="75" t="inlineStr">
        <is>
          <t>Токио</t>
        </is>
      </c>
      <c r="F267" s="75" t="inlineStr">
        <is>
          <t>Olympus / Yoshihisa Maitani</t>
        </is>
      </c>
      <c r="G267" s="75" t="inlineStr">
        <is>
          <t>Olympus Pen делает компактность частью философии: half-frame использует 35-мм плёнку экономно и позволяет маленькой камере снимать в два раза больше кадров.</t>
        </is>
      </c>
      <c r="H267" s="75" t="inlineStr">
        <is>
          <t>Оптические инструменты</t>
        </is>
      </c>
      <c r="I267" s="75" t="inlineStr">
        <is>
          <t>Olympus Pen / half-frame compact</t>
        </is>
      </c>
      <c r="J267" s="75" t="inlineStr">
        <is>
          <t>Размер кадра уменьшается ради мобильности, цены и количества снимков: компактная камера становится камерой постоянного ношения.</t>
        </is>
      </c>
      <c r="K267" s="75" t="inlineStr">
        <is>
          <t>Kodak Retina и складной корпус</t>
        </is>
      </c>
      <c r="L267" s="75" t="inlineStr">
        <is>
          <t>Canon Demi и half-frame рынок</t>
        </is>
      </c>
      <c r="M267" s="75" t="inlineStr">
        <is>
          <t>Главная линия</t>
        </is>
      </c>
      <c r="N267" s="75" t="n">
        <v>5</v>
      </c>
      <c r="O267" s="75" t="inlineStr">
        <is>
          <t>PL-026</t>
        </is>
      </c>
      <c r="P267" s="75" t="inlineStr">
        <is>
          <t>SRC-209</t>
        </is>
      </c>
      <c r="Q267" s="75" t="inlineStr">
        <is>
          <t>OM Digital Solutions — Olympus Pen product history</t>
        </is>
      </c>
      <c r="R267" s="75" t="inlineStr">
        <is>
          <t>https://www.om-digitalsolutions.com/en/product-history/olympus_pen/index.html</t>
        </is>
      </c>
      <c r="S267" s="75" t="n">
        <v>5</v>
      </c>
      <c r="T267" s="75" t="inlineStr">
        <is>
          <t>Флагман PL-026: хорошая точка для объяснения, что компактность — это система компромиссов.</t>
        </is>
      </c>
      <c r="U267" s="75" t="inlineStr">
        <is>
          <t>Маленькая Olympus Pen рядом с рулоном 35 мм; кадр 18×24 делит плёнку пополам.</t>
        </is>
      </c>
      <c r="V267" s="75" t="inlineStr">
        <is>
          <t>#PL026 #OlympusPen #half-frame #compact-camera</t>
        </is>
      </c>
      <c r="W267" s="75" t="n"/>
      <c r="X267" s="75" t="inlineStr">
        <is>
          <t>35.6762, 139.6503</t>
        </is>
      </c>
      <c r="Y267" s="75" t="inlineStr">
        <is>
          <t>Компактная камера / half-frame</t>
        </is>
      </c>
      <c r="Z267" s="75" t="inlineStr">
        <is>
          <t>Ключевой исторический узел</t>
        </is>
      </c>
      <c r="AA267" s="75" t="inlineStr">
        <is>
          <t>да</t>
        </is>
      </c>
    </row>
    <row r="268" ht="17" customHeight="1" s="72">
      <c r="A268" s="75" t="inlineStr">
        <is>
          <t>PL-HIST-0267</t>
        </is>
      </c>
      <c r="B268" s="75" t="inlineStr">
        <is>
          <t>1961</t>
        </is>
      </c>
      <c r="C268" s="75" t="inlineStr">
        <is>
          <t>год</t>
        </is>
      </c>
      <c r="D268" s="75" t="inlineStr">
        <is>
          <t>Япония</t>
        </is>
      </c>
      <c r="E268" s="75" t="inlineStr">
        <is>
          <t>Токио</t>
        </is>
      </c>
      <c r="F268" s="75" t="inlineStr">
        <is>
          <t>Canon</t>
        </is>
      </c>
      <c r="G268" s="75" t="inlineStr">
        <is>
          <t>Canonet показывает массовый компактный путь: несменный объектив, дальномер, автоматизированная экспозиция и цена ниже профессиональных систем.</t>
        </is>
      </c>
      <c r="H268" s="75" t="inlineStr">
        <is>
          <t>Оптические инструменты</t>
        </is>
      </c>
      <c r="I268" s="75" t="inlineStr">
        <is>
          <t>Canonet / mass-market compact rangefinder</t>
        </is>
      </c>
      <c r="J268" s="75" t="inlineStr">
        <is>
          <t>Компактная камера становится «камерой для жизни»: не набором объективов, а готовым инструментом на каждый день.</t>
        </is>
      </c>
      <c r="K268" s="75" t="inlineStr">
        <is>
          <t>Olympus Pen</t>
        </is>
      </c>
      <c r="L268" s="75" t="inlineStr">
        <is>
          <t>Canon Demi</t>
        </is>
      </c>
      <c r="M268" s="75" t="inlineStr">
        <is>
          <t>Распространение / коммерциализация</t>
        </is>
      </c>
      <c r="N268" s="75" t="n">
        <v>5</v>
      </c>
      <c r="O268" s="75" t="inlineStr">
        <is>
          <t>PL-026</t>
        </is>
      </c>
      <c r="P268" s="75" t="inlineStr">
        <is>
          <t>SRC-194</t>
        </is>
      </c>
      <c r="Q268" s="75" t="inlineStr">
        <is>
          <t>Canon Camera Museum — Canonet</t>
        </is>
      </c>
      <c r="R268" s="75" t="inlineStr">
        <is>
          <t>https://global.canon/en/c-museum/product/film41.html</t>
        </is>
      </c>
      <c r="S268" s="75" t="n">
        <v>5</v>
      </c>
      <c r="T268" s="75" t="inlineStr">
        <is>
          <t>Можно объяснить: компактная камера выигрывает не характеристиками, а готовностью быть рядом.</t>
        </is>
      </c>
      <c r="U268" s="75" t="inlineStr">
        <is>
          <t>Canonet на ремешке через плечо, человек снимает уличную сцену без кофра.</t>
        </is>
      </c>
      <c r="V268" s="75" t="inlineStr">
        <is>
          <t>#PL026 #Canonet #compact-rangefinder #everyday-camera</t>
        </is>
      </c>
      <c r="W268" s="75" t="n"/>
      <c r="X268" s="75" t="inlineStr">
        <is>
          <t>35.6762, 139.6503</t>
        </is>
      </c>
      <c r="Y268" s="75" t="inlineStr">
        <is>
          <t>Компактная камера / массовый rangefinder</t>
        </is>
      </c>
      <c r="Z268" s="75" t="inlineStr">
        <is>
          <t>Распространение / коммерциализация</t>
        </is>
      </c>
      <c r="AA268" s="75" t="n"/>
    </row>
    <row r="269" ht="17" customHeight="1" s="72">
      <c r="A269" s="75" t="inlineStr">
        <is>
          <t>PL-HIST-0268</t>
        </is>
      </c>
      <c r="B269" s="75" t="inlineStr">
        <is>
          <t>1963</t>
        </is>
      </c>
      <c r="C269" s="75" t="inlineStr">
        <is>
          <t>год</t>
        </is>
      </c>
      <c r="D269" s="75" t="inlineStr">
        <is>
          <t>Япония</t>
        </is>
      </c>
      <c r="E269" s="75" t="inlineStr">
        <is>
          <t>Токио</t>
        </is>
      </c>
      <c r="F269" s="75" t="inlineStr">
        <is>
          <t>Canon</t>
        </is>
      </c>
      <c r="G269" s="75" t="inlineStr">
        <is>
          <t>Canon Demi развивает half-frame как карманный формат: pocket-size корпус и удвоенное количество кадров на обычной 35-мм плёнке.</t>
        </is>
      </c>
      <c r="H269" s="75" t="inlineStr">
        <is>
          <t>Оптические инструменты</t>
        </is>
      </c>
      <c r="I269" s="75" t="inlineStr">
        <is>
          <t>Canon Demi / half-frame pocket camera</t>
        </is>
      </c>
      <c r="J269" s="75" t="inlineStr">
        <is>
          <t>Пользователь получает больше кадров и меньше камеру — ценой меньшего негатива и потенциально более заметного зерна при увеличении.</t>
        </is>
      </c>
      <c r="K269" s="75" t="inlineStr">
        <is>
          <t>Canonet как массовый compact</t>
        </is>
      </c>
      <c r="L269" s="75" t="inlineStr">
        <is>
          <t>Автофокусные компакты</t>
        </is>
      </c>
      <c r="M269" s="75" t="inlineStr">
        <is>
          <t>Главная линия / компактность</t>
        </is>
      </c>
      <c r="N269" s="75" t="n">
        <v>4</v>
      </c>
      <c r="O269" s="75" t="inlineStr">
        <is>
          <t>PL-026</t>
        </is>
      </c>
      <c r="P269" s="75" t="inlineStr">
        <is>
          <t>SRC-210</t>
        </is>
      </c>
      <c r="Q269" s="75" t="inlineStr">
        <is>
          <t>Canon Camera Museum — Canon Demi</t>
        </is>
      </c>
      <c r="R269" s="75" t="inlineStr">
        <is>
          <t>https://global.canon/en/c-museum/product/film44.html</t>
        </is>
      </c>
      <c r="S269" s="75" t="n">
        <v>5</v>
      </c>
      <c r="T269" s="75" t="inlineStr">
        <is>
          <t>Связать с PL-019: маленький негатив требует аккуратнее относиться к зерну и печати.</t>
        </is>
      </c>
      <c r="U269" s="75" t="inlineStr">
        <is>
          <t>Кадровая сетка: из одного рулона получается вдвое больше маленьких кадров.</t>
        </is>
      </c>
      <c r="V269" s="75" t="inlineStr">
        <is>
          <t>#PL026 #CanonDemi #half-frame #pocket-camera</t>
        </is>
      </c>
      <c r="W269" s="75" t="n"/>
      <c r="X269" s="75" t="inlineStr">
        <is>
          <t>35.6762, 139.6503</t>
        </is>
      </c>
      <c r="Y269" s="75" t="inlineStr">
        <is>
          <t>Компактная камера / pocket-size half-frame</t>
        </is>
      </c>
      <c r="Z269" s="75" t="inlineStr">
        <is>
          <t>Технология / процесс</t>
        </is>
      </c>
      <c r="AA269" s="75" t="n"/>
    </row>
    <row r="270" ht="17" customHeight="1" s="72">
      <c r="A270" s="75" t="inlineStr">
        <is>
          <t>PL-HIST-0269</t>
        </is>
      </c>
      <c r="B270" s="75" t="inlineStr">
        <is>
          <t>1977</t>
        </is>
      </c>
      <c r="C270" s="75" t="inlineStr">
        <is>
          <t>год</t>
        </is>
      </c>
      <c r="D270" s="75" t="inlineStr">
        <is>
          <t>Япония</t>
        </is>
      </c>
      <c r="E270" s="75" t="inlineStr">
        <is>
          <t>Токио</t>
        </is>
      </c>
      <c r="F270" s="75" t="inlineStr">
        <is>
          <t>Konica</t>
        </is>
      </c>
      <c r="G270" s="75" t="inlineStr">
        <is>
          <t>Konica C35AF показывает начало массовой автофокусной компактной камеры: фокусировка переходит от руки пользователя к механизму камеры.</t>
        </is>
      </c>
      <c r="H270" s="75" t="inlineStr">
        <is>
          <t>Оптические инструменты</t>
        </is>
      </c>
      <c r="I270" s="75" t="inlineStr">
        <is>
          <t>Konica C35AF / compact autofocus</t>
        </is>
      </c>
      <c r="J270" s="75" t="inlineStr">
        <is>
          <t>Главный барьер новичка — промах по фокусу — начинает решаться самой камерой.</t>
        </is>
      </c>
      <c r="K270" s="75" t="inlineStr">
        <is>
          <t>Half-frame compact cameras</t>
        </is>
      </c>
      <c r="L270" s="75" t="inlineStr">
        <is>
          <t>Canon Sure Shot / AF compact</t>
        </is>
      </c>
      <c r="M270" s="75" t="inlineStr">
        <is>
          <t>Главная линия / автофокусный компакт</t>
        </is>
      </c>
      <c r="N270" s="75" t="n">
        <v>5</v>
      </c>
      <c r="O270" s="75" t="inlineStr">
        <is>
          <t>PL-026</t>
        </is>
      </c>
      <c r="P270" s="75" t="inlineStr">
        <is>
          <t>SRC-214</t>
        </is>
      </c>
      <c r="Q270" s="75" t="inlineStr">
        <is>
          <t>Konica Minolta — Corporate history timeline</t>
        </is>
      </c>
      <c r="R270" s="75" t="inlineStr">
        <is>
          <t>https://www.konicaminolta.com/global-en/corporate/history-timeline02.html</t>
        </is>
      </c>
      <c r="S270" s="75" t="n">
        <v>5</v>
      </c>
      <c r="T270" s="75" t="inlineStr">
        <is>
          <t>Хороший мост к автоматике: компактность плюс автофокус меняют поведение пользователя.</t>
        </is>
      </c>
      <c r="U270" s="75" t="inlineStr">
        <is>
          <t>Компактная камера на столе; линии датчика измеряют дистанцию до человека.</t>
        </is>
      </c>
      <c r="V270" s="75" t="inlineStr">
        <is>
          <t>#PL026 #KonicaC35AF #autofocus #compact-camera</t>
        </is>
      </c>
      <c r="W270" s="75" t="n"/>
      <c r="X270" s="75" t="inlineStr">
        <is>
          <t>35.6762, 139.6503</t>
        </is>
      </c>
      <c r="Y270" s="75" t="inlineStr">
        <is>
          <t>Компактная камера / автофокус</t>
        </is>
      </c>
      <c r="Z270" s="75" t="inlineStr">
        <is>
          <t>Технология / процесс</t>
        </is>
      </c>
      <c r="AA270" s="75" t="n"/>
    </row>
    <row r="271" ht="17" customHeight="1" s="72">
      <c r="A271" s="75" t="inlineStr">
        <is>
          <t>PL-HIST-0270</t>
        </is>
      </c>
      <c r="B271" s="75" t="inlineStr">
        <is>
          <t>1979</t>
        </is>
      </c>
      <c r="C271" s="75" t="inlineStr">
        <is>
          <t>год</t>
        </is>
      </c>
      <c r="D271" s="75" t="inlineStr">
        <is>
          <t>Япония</t>
        </is>
      </c>
      <c r="E271" s="75" t="inlineStr">
        <is>
          <t>Токио</t>
        </is>
      </c>
      <c r="F271" s="75" t="inlineStr">
        <is>
          <t>Canon</t>
        </is>
      </c>
      <c r="G271" s="75" t="inlineStr">
        <is>
          <t>Canon Sure Shot / AF35M закрепляет формулу point-and-shoot: автофокус, program EE, встроенная вспышка и простое нажатие на кнопку.</t>
        </is>
      </c>
      <c r="H271" s="75" t="inlineStr">
        <is>
          <t>Оптические инструменты</t>
        </is>
      </c>
      <c r="I271" s="75" t="inlineStr">
        <is>
          <t>Point-and-shoot AF compact</t>
        </is>
      </c>
      <c r="J271" s="75" t="inlineStr">
        <is>
          <t>Камера начинает сама решать фокус, экспозицию и вспышку: фотографу остаётся выбрать момент.</t>
        </is>
      </c>
      <c r="K271" s="75" t="inlineStr">
        <is>
          <t>Konica C35AF</t>
        </is>
      </c>
      <c r="L271" s="75" t="inlineStr">
        <is>
          <t>Olympus XA и премиальный компакт</t>
        </is>
      </c>
      <c r="M271" s="75" t="inlineStr">
        <is>
          <t>Главная линия / автоматический compact</t>
        </is>
      </c>
      <c r="N271" s="75" t="n">
        <v>5</v>
      </c>
      <c r="O271" s="75" t="inlineStr">
        <is>
          <t>PL-026</t>
        </is>
      </c>
      <c r="P271" s="75" t="inlineStr">
        <is>
          <t>SRC-207</t>
        </is>
      </c>
      <c r="Q271" s="75" t="inlineStr">
        <is>
          <t>Canon Camera Museum — Sure Shot / AF35M</t>
        </is>
      </c>
      <c r="R271" s="75" t="inlineStr">
        <is>
          <t>https://global.canon/en/c-museum/product/film102.html</t>
        </is>
      </c>
      <c r="S271" s="75" t="n">
        <v>5</v>
      </c>
      <c r="T271" s="75" t="inlineStr">
        <is>
          <t>Фраза для урока: point-and-shoot — это не «плохая камера», а камера с другой задачей.</t>
        </is>
      </c>
      <c r="U271" s="75" t="inlineStr">
        <is>
          <t>Рука нажимает на спуск AF35M, рядом пиктограммы AF / AE / flash.</t>
        </is>
      </c>
      <c r="V271" s="75" t="inlineStr">
        <is>
          <t>#PL026 #CanonSureShot #AF35M #point-and-shoot</t>
        </is>
      </c>
      <c r="W271" s="75" t="n"/>
      <c r="X271" s="75" t="inlineStr">
        <is>
          <t>35.6762, 139.6503</t>
        </is>
      </c>
      <c r="Y271" s="75" t="inlineStr">
        <is>
          <t>Компактная камера / point-and-shoot</t>
        </is>
      </c>
      <c r="Z271" s="75" t="inlineStr">
        <is>
          <t>Ключевой исторический узел</t>
        </is>
      </c>
      <c r="AA271" s="75" t="n"/>
    </row>
    <row r="272" ht="17" customHeight="1" s="72">
      <c r="A272" s="75" t="inlineStr">
        <is>
          <t>PL-HIST-0271</t>
        </is>
      </c>
      <c r="B272" s="75" t="inlineStr">
        <is>
          <t>1979</t>
        </is>
      </c>
      <c r="C272" s="75" t="inlineStr">
        <is>
          <t>год</t>
        </is>
      </c>
      <c r="D272" s="75" t="inlineStr">
        <is>
          <t>Япония</t>
        </is>
      </c>
      <c r="E272" s="75" t="inlineStr">
        <is>
          <t>Токио</t>
        </is>
      </c>
      <c r="F272" s="75" t="inlineStr">
        <is>
          <t>Olympus / Yoshihisa Maitani</t>
        </is>
      </c>
      <c r="G272" s="75" t="inlineStr">
        <is>
          <t>Olympus XA показывает другой тип компактности: капсульный корпус с защитной крышкой, встроенный дальномер и aperture-priority AE.</t>
        </is>
      </c>
      <c r="H272" s="75" t="inlineStr">
        <is>
          <t>Оптические инструменты</t>
        </is>
      </c>
      <c r="I272" s="75" t="inlineStr">
        <is>
          <t>Olympus XA / premium capsule compact</t>
        </is>
      </c>
      <c r="J272" s="75" t="inlineStr">
        <is>
          <t>Компактная камера может быть не только полностью автоматической, но и осознанной: фотограф управляет диафрагмой и сохраняет быстрый размер.</t>
        </is>
      </c>
      <c r="K272" s="75" t="inlineStr">
        <is>
          <t>Canon Sure Shot</t>
        </is>
      </c>
      <c r="L272" s="75" t="inlineStr">
        <is>
          <t>Одноразовая камера</t>
        </is>
      </c>
      <c r="M272" s="75" t="inlineStr">
        <is>
          <t>Главная линия / премиальный компакт</t>
        </is>
      </c>
      <c r="N272" s="75" t="n">
        <v>5</v>
      </c>
      <c r="O272" s="75" t="inlineStr">
        <is>
          <t>PL-026</t>
        </is>
      </c>
      <c r="P272" s="75" t="inlineStr">
        <is>
          <t>SRC-211</t>
        </is>
      </c>
      <c r="Q272" s="75" t="inlineStr">
        <is>
          <t>OM Digital Solutions — Olympus XA product history</t>
        </is>
      </c>
      <c r="R272" s="75" t="inlineStr">
        <is>
          <t>https://www.om-digitalsolutions.com/en/product-history/xa/index.html</t>
        </is>
      </c>
      <c r="S272" s="75" t="n">
        <v>5</v>
      </c>
      <c r="T272" s="75" t="inlineStr">
        <is>
          <t>Показать, что компактность не равна примитивности.</t>
        </is>
      </c>
      <c r="U272" s="75" t="inlineStr">
        <is>
          <t>Olympus XA с открытой крышкой-барьером; рядом маленькая шкала диафрагмы.</t>
        </is>
      </c>
      <c r="V272" s="75" t="inlineStr">
        <is>
          <t>#PL026 #OlympusXA #compact-camera #aperture-priority</t>
        </is>
      </c>
      <c r="W272" s="75" t="n"/>
      <c r="X272" s="75" t="inlineStr">
        <is>
          <t>35.6762, 139.6503</t>
        </is>
      </c>
      <c r="Y272" s="75" t="inlineStr">
        <is>
          <t>Компактная камера / премиальный компакт</t>
        </is>
      </c>
      <c r="Z272" s="75" t="inlineStr">
        <is>
          <t>Инструмент / устройство</t>
        </is>
      </c>
      <c r="AA272" s="75" t="n"/>
    </row>
    <row r="273" ht="17" customHeight="1" s="72">
      <c r="A273" s="75" t="inlineStr">
        <is>
          <t>PL-HIST-0272</t>
        </is>
      </c>
      <c r="B273" s="75" t="inlineStr">
        <is>
          <t>1986</t>
        </is>
      </c>
      <c r="C273" s="75" t="inlineStr">
        <is>
          <t>год</t>
        </is>
      </c>
      <c r="D273" s="75" t="inlineStr">
        <is>
          <t>Япония</t>
        </is>
      </c>
      <c r="E273" s="75" t="inlineStr">
        <is>
          <t>Токио</t>
        </is>
      </c>
      <c r="F273" s="75" t="inlineStr">
        <is>
          <t>Fujifilm</t>
        </is>
      </c>
      <c r="G273" s="75" t="inlineStr">
        <is>
          <t>Fujifilm QuickSnap доводит простоту до предела: камера, объектив, затвор и плёнка объединяются в одноразовый готовый инструмент.</t>
        </is>
      </c>
      <c r="H273" s="75" t="inlineStr">
        <is>
          <t>Оптические инструменты</t>
        </is>
      </c>
      <c r="I273" s="75" t="inlineStr">
        <is>
          <t>Single-use camera / QuickSnap</t>
        </is>
      </c>
      <c r="J273" s="75" t="inlineStr">
        <is>
          <t>Фотография становится ещё менее технической: человек может купить камеру уже готовой к съёмке.</t>
        </is>
      </c>
      <c r="K273" s="75" t="inlineStr">
        <is>
          <t>Премиальный компакт</t>
        </is>
      </c>
      <c r="L273" s="75" t="inlineStr">
        <is>
          <t>Zoom compact cameras</t>
        </is>
      </c>
      <c r="M273" s="75" t="inlineStr">
        <is>
          <t>Распространение / коммерциализация</t>
        </is>
      </c>
      <c r="N273" s="75" t="n">
        <v>5</v>
      </c>
      <c r="O273" s="75" t="inlineStr">
        <is>
          <t>PL-026</t>
        </is>
      </c>
      <c r="P273" s="75" t="inlineStr">
        <is>
          <t>SRC-213</t>
        </is>
      </c>
      <c r="Q273" s="75" t="inlineStr">
        <is>
          <t>Fujifilm — QuickSnap History</t>
        </is>
      </c>
      <c r="R273" s="75" t="inlineStr">
        <is>
          <t>https://quicksnap.fujifilm.com/en/history/</t>
        </is>
      </c>
      <c r="S273" s="75" t="n">
        <v>5</v>
      </c>
      <c r="T273" s="75" t="inlineStr">
        <is>
          <t>Связать с культурой путешествий, вечеринок, детских снимков и случайной фотографии.</t>
        </is>
      </c>
      <c r="U273" s="75" t="inlineStr">
        <is>
          <t>QuickSnap на пляже или на столе праздника; стрелка «купил → снял → проявил».</t>
        </is>
      </c>
      <c r="V273" s="75" t="inlineStr">
        <is>
          <t>#PL026 #QuickSnap #Fujifilm #single-use-camera</t>
        </is>
      </c>
      <c r="W273" s="75" t="n"/>
      <c r="X273" s="75" t="inlineStr">
        <is>
          <t>35.6762, 139.6503</t>
        </is>
      </c>
      <c r="Y273" s="75" t="inlineStr">
        <is>
          <t>Компактная камера / одноразовая камера</t>
        </is>
      </c>
      <c r="Z273" s="75" t="inlineStr">
        <is>
          <t>Распространение / коммерциализация</t>
        </is>
      </c>
      <c r="AA273" s="75" t="n"/>
    </row>
    <row r="274" ht="17" customHeight="1" s="72">
      <c r="A274" s="75" t="inlineStr">
        <is>
          <t>PL-HIST-0273</t>
        </is>
      </c>
      <c r="B274" s="75" t="inlineStr">
        <is>
          <t>1989–1990-е</t>
        </is>
      </c>
      <c r="C274" s="75" t="inlineStr">
        <is>
          <t>диапазон</t>
        </is>
      </c>
      <c r="D274" s="75" t="inlineStr">
        <is>
          <t>Япония</t>
        </is>
      </c>
      <c r="E274" s="75" t="inlineStr">
        <is>
          <t>Токио</t>
        </is>
      </c>
      <c r="F274" s="75" t="inlineStr">
        <is>
          <t>Canon / Olympus / производители compact</t>
        </is>
      </c>
      <c r="G274" s="75" t="inlineStr">
        <is>
          <t>Zoom compact добавляет к point-and-shoot ещё один автоматический комфорт: переменное фокусное расстояние без смены объектива.</t>
        </is>
      </c>
      <c r="H274" s="75" t="inlineStr">
        <is>
          <t>Оптические инструменты</t>
        </is>
      </c>
      <c r="I274" s="75" t="inlineStr">
        <is>
          <t>Zoom compact camera</t>
        </is>
      </c>
      <c r="J274" s="75" t="inlineStr">
        <is>
          <t>Пользователь получает простую камеру для путешествий: один маленький корпус заменяет несколько сюжетных расстояний.</t>
        </is>
      </c>
      <c r="K274" s="75" t="inlineStr">
        <is>
          <t>Одноразовая камера и point-and-shoot</t>
        </is>
      </c>
      <c r="L274" s="75" t="inlineStr">
        <is>
          <t>Стильные компактные камеры 1990-х</t>
        </is>
      </c>
      <c r="M274" s="75" t="inlineStr">
        <is>
          <t>Главная линия / потребительская автоматизация</t>
        </is>
      </c>
      <c r="N274" s="75" t="n">
        <v>4</v>
      </c>
      <c r="O274" s="75" t="inlineStr">
        <is>
          <t>PL-026</t>
        </is>
      </c>
      <c r="P274" s="75" t="inlineStr">
        <is>
          <t>SRC-215</t>
        </is>
      </c>
      <c r="Q274" s="75" t="inlineStr">
        <is>
          <t>Canon Camera Museum — Sure Shot Zoom</t>
        </is>
      </c>
      <c r="R274" s="75" t="inlineStr">
        <is>
          <t>https://global.canon/en/c-museum/product/film125.html</t>
        </is>
      </c>
      <c r="S274" s="75" t="n">
        <v>5</v>
      </c>
      <c r="T274" s="75" t="inlineStr">
        <is>
          <t>Объяснить честно: удобство растёт, но светосила и качество могут уступать простым fixed-lens компактам.</t>
        </is>
      </c>
      <c r="U274" s="75" t="inlineStr">
        <is>
          <t>Компактная камера с выдвинутым zoom-объективом; рядом три кадра: общий, средний, крупный.</t>
        </is>
      </c>
      <c r="V274" s="75" t="inlineStr">
        <is>
          <t>#PL026 #zoom-compact #point-and-shoot #travel-camera</t>
        </is>
      </c>
      <c r="W274" s="75" t="n"/>
      <c r="X274" s="75" t="inlineStr">
        <is>
          <t>35.6762, 139.6503</t>
        </is>
      </c>
      <c r="Y274" s="75" t="inlineStr">
        <is>
          <t>Компактная камера / zoom compact</t>
        </is>
      </c>
      <c r="Z274" s="75" t="inlineStr">
        <is>
          <t>Технология / процесс</t>
        </is>
      </c>
      <c r="AA274" s="75" t="n"/>
    </row>
    <row r="275" ht="17" customHeight="1" s="72">
      <c r="A275" s="75" t="inlineStr">
        <is>
          <t>PL-HIST-0274</t>
        </is>
      </c>
      <c r="B275" s="75" t="inlineStr">
        <is>
          <t>1991</t>
        </is>
      </c>
      <c r="C275" s="75" t="inlineStr">
        <is>
          <t>год</t>
        </is>
      </c>
      <c r="D275" s="75" t="inlineStr">
        <is>
          <t>Япония</t>
        </is>
      </c>
      <c r="E275" s="75" t="inlineStr">
        <is>
          <t>Токио</t>
        </is>
      </c>
      <c r="F275" s="75" t="inlineStr">
        <is>
          <t>Olympus</t>
        </is>
      </c>
      <c r="G275" s="75" t="inlineStr">
        <is>
          <t>Olympus μ[mju:] / Infinity Stylus закрепляет компакт как стильный повседневный объект: маленькая камера становится частью личной культуры ношения.</t>
        </is>
      </c>
      <c r="H275" s="75" t="inlineStr">
        <is>
          <t>Оптические инструменты</t>
        </is>
      </c>
      <c r="I275" s="75" t="inlineStr">
        <is>
          <t>Stylish compact / Olympus mju</t>
        </is>
      </c>
      <c r="J275" s="75" t="inlineStr">
        <is>
          <t>Компактная камера выигрывает постоянным присутствием: лучший кадр часто делает та камера, которая оказалась с собой.</t>
        </is>
      </c>
      <c r="K275" s="75" t="inlineStr">
        <is>
          <t>Zoom compact</t>
        </is>
      </c>
      <c r="L275" s="75" t="inlineStr">
        <is>
          <t>PL-027 — средний формат</t>
        </is>
      </c>
      <c r="M275" s="75" t="inlineStr">
        <is>
          <t>Связь / переход</t>
        </is>
      </c>
      <c r="N275" s="75" t="n">
        <v>4</v>
      </c>
      <c r="O275" s="75" t="inlineStr">
        <is>
          <t>PL-026</t>
        </is>
      </c>
      <c r="P275" s="75" t="inlineStr">
        <is>
          <t>SRC-212</t>
        </is>
      </c>
      <c r="Q275" s="75" t="inlineStr">
        <is>
          <t>Olympus Milestones — 1990–2011</t>
        </is>
      </c>
      <c r="R275" s="75" t="inlineStr">
        <is>
          <t>https://www.olympus-global.com/company/milestones/history/05.html</t>
        </is>
      </c>
      <c r="S275" s="75" t="n">
        <v>5</v>
      </c>
      <c r="T275" s="75" t="inlineStr">
        <is>
          <t>Финальный вывод PL-026: компакт — это камера вероятности кадра.</t>
        </is>
      </c>
      <c r="U275" s="75" t="inlineStr">
        <is>
          <t>Маленькая округлая камера в кармане куртки; вокруг — повседневные сцены.</t>
        </is>
      </c>
      <c r="V275" s="75" t="inlineStr">
        <is>
          <t>#PL026 #OlympusMju #compact-camera #everyday-photography</t>
        </is>
      </c>
      <c r="W275" s="75" t="n"/>
      <c r="X275" s="75" t="inlineStr">
        <is>
          <t>35.6762, 139.6503</t>
        </is>
      </c>
      <c r="Y275" s="75" t="inlineStr">
        <is>
          <t>Компактная камера / повседневность</t>
        </is>
      </c>
      <c r="Z275" s="75" t="inlineStr">
        <is>
          <t>Связь / переход</t>
        </is>
      </c>
      <c r="AA275" s="75" t="n"/>
    </row>
    <row r="276" ht="17" customHeight="1" s="72">
      <c r="A276" s="75" t="inlineStr">
        <is>
          <t>PL-HIST-0275</t>
        </is>
      </c>
      <c r="B276" s="75" t="inlineStr">
        <is>
          <t>1901</t>
        </is>
      </c>
      <c r="C276" s="75" t="inlineStr">
        <is>
          <t>год</t>
        </is>
      </c>
      <c r="D276" s="75" t="inlineStr">
        <is>
          <t>США</t>
        </is>
      </c>
      <c r="E276" s="75" t="inlineStr">
        <is>
          <t>Рочестер</t>
        </is>
      </c>
      <c r="F276" s="75" t="inlineStr">
        <is>
          <t>Kodak</t>
        </is>
      </c>
      <c r="G276" s="75" t="inlineStr">
        <is>
          <t>120 roll film решает задачу зарядки при дневном свете не самой плёнкой, а бумажной подложкой: светонепроницаемая бумага оборачивает рулон и несёт на себе напечатанные номера кадров, видимые через маленькое красное окошко на задней стенке камеры — так фотограф вручную отматывал плёнку ровно на следующий кадр, не считая обороты и не рискуя засветкой.</t>
        </is>
      </c>
      <c r="H276" s="75" t="inlineStr">
        <is>
          <t>Оптические инструменты</t>
        </is>
      </c>
      <c r="I276" s="75" t="inlineStr">
        <is>
          <t>120 roll film backing paper / red window frame counting</t>
        </is>
      </c>
      <c r="J276" s="75" t="inlineStr">
        <is>
          <t>Средний формат получает не просто широкий рулон, а практичный способ его использовать без тёмной комнаты: бумажная подложка и красное окошко на десятилетия становятся стандартным способом заряжать и отслеживать кадры на roll-film камерах.</t>
        </is>
      </c>
      <c r="K276" s="75" t="inlineStr">
        <is>
          <t>Brownie и массовая фотография</t>
        </is>
      </c>
      <c r="L276" s="75" t="inlineStr">
        <is>
          <t>Разные размеры кадра на 120</t>
        </is>
      </c>
      <c r="M276" s="75" t="inlineStr">
        <is>
          <t>Главная линия</t>
        </is>
      </c>
      <c r="N276" s="75" t="n">
        <v>5</v>
      </c>
      <c r="O276" s="75" t="inlineStr">
        <is>
          <t>PL-027</t>
        </is>
      </c>
      <c r="P276" s="75" t="inlineStr">
        <is>
          <t>SRC-240</t>
        </is>
      </c>
      <c r="Q276" s="75" t="inlineStr">
        <is>
          <t>Wikipedia — 120 film</t>
        </is>
      </c>
      <c r="R276" s="75" t="inlineStr">
        <is>
          <t>https://en.wikipedia.org/wiki/120_film</t>
        </is>
      </c>
      <c r="S276" s="75" t="n">
        <v>4</v>
      </c>
      <c r="T276" s="75" t="inlineStr">
        <is>
          <t>Флагман урока: 120-плёнка — это не просто более крупный кадр, а первая по-настоящему практичная система дневной зарядки рулонной плёнки (Kodak No.2 Brownie, 1901), на которой держится вся среднеформатная фотография следующих ста лет.</t>
        </is>
      </c>
      <c r="U276" s="75" t="inlineStr">
        <is>
          <t>Катушка 120 с бумажной подложкой, видны напечатанные номера кадров и красное окошко на задней стенке камеры.</t>
        </is>
      </c>
      <c r="V276" s="75" t="inlineStr">
        <is>
          <t>#PL027 #120film #backing-paper #red-window #medium-format</t>
        </is>
      </c>
      <c r="W276" s="75" t="n"/>
      <c r="X276" s="75" t="inlineStr">
        <is>
          <t>43.1566, -77.6088</t>
        </is>
      </c>
      <c r="Y276" s="75" t="inlineStr">
        <is>
          <t>Средний формат / бумажная подложка и красное окошко</t>
        </is>
      </c>
      <c r="Z276" s="75" t="inlineStr">
        <is>
          <t>Ключевой исторический узел</t>
        </is>
      </c>
      <c r="AA276" s="75" t="inlineStr">
        <is>
          <t>да</t>
        </is>
      </c>
    </row>
    <row r="277" ht="17" customHeight="1" s="72">
      <c r="A277" s="75" t="inlineStr">
        <is>
          <t>PL-HIST-0276</t>
        </is>
      </c>
      <c r="B277" s="75" t="inlineStr">
        <is>
          <t>XX век</t>
        </is>
      </c>
      <c r="C277" s="75" t="inlineStr">
        <is>
          <t>диапазон</t>
        </is>
      </c>
      <c r="D277" s="75" t="inlineStr">
        <is>
          <t>глобально</t>
        </is>
      </c>
      <c r="E277" s="75" t="inlineStr">
        <is>
          <t>фотографическая практика</t>
        </is>
      </c>
      <c r="F277" s="75" t="inlineStr">
        <is>
          <t>фотографы</t>
        </is>
      </c>
      <c r="G277" s="75" t="inlineStr">
        <is>
          <t>Средний формат — это не 120 миллиметров: чаще всего это камеры на 120 roll film с кадрами 6×4.5, 6×6, 6×7 или 6×9 см.</t>
        </is>
      </c>
      <c r="H277" s="75" t="inlineStr">
        <is>
          <t>Оптические инструменты</t>
        </is>
      </c>
      <c r="I277" s="75" t="inlineStr">
        <is>
          <t>Medium-format frame sizes on 120 film</t>
        </is>
      </c>
      <c r="J277" s="75" t="inlineStr">
        <is>
          <t>Фотограф начинает понимать формат через размер кадра: больше площадь негатива — больше детализация, тональность и запас для печати.</t>
        </is>
      </c>
      <c r="K277" s="75" t="inlineStr">
        <is>
          <t>120 roll film</t>
        </is>
      </c>
      <c r="L277" s="75" t="inlineStr">
        <is>
          <t>TLR и 6×6</t>
        </is>
      </c>
      <c r="M277" s="75" t="inlineStr">
        <is>
          <t>Терминология / язык</t>
        </is>
      </c>
      <c r="N277" s="75" t="n">
        <v>5</v>
      </c>
      <c r="O277" s="75" t="inlineStr">
        <is>
          <t>PL-027</t>
        </is>
      </c>
      <c r="P277" s="75" t="inlineStr">
        <is>
          <t>SRC-218</t>
        </is>
      </c>
      <c r="Q277" s="75" t="inlineStr">
        <is>
          <t>ILFORD Photo — Choosing your first ILFORD film</t>
        </is>
      </c>
      <c r="R277" s="75" t="inlineStr">
        <is>
          <t>https://www.ilfordphoto.com/choosing-your-first-ilford-film/</t>
        </is>
      </c>
      <c r="S277" s="75" t="n">
        <v>5</v>
      </c>
      <c r="T277" s="75" t="inlineStr">
        <is>
          <t>Очень важный узел: убрать ошибку «120 = 120 мм».</t>
        </is>
      </c>
      <c r="U277" s="75" t="inlineStr">
        <is>
          <t>Инфографика: 35 мм рядом с 6×6 и 6×7; 120 — это катушка, не размер кадра.</t>
        </is>
      </c>
      <c r="V277" s="75" t="inlineStr">
        <is>
          <t>#PL027 #medium-format #120film #format-size</t>
        </is>
      </c>
      <c r="W277" s="75" t="n"/>
      <c r="X277" s="75" t="n"/>
      <c r="Y277" s="75" t="inlineStr">
        <is>
          <t>Средний формат / терминология</t>
        </is>
      </c>
      <c r="Z277" s="75" t="inlineStr">
        <is>
          <t>Терминология / язык</t>
        </is>
      </c>
      <c r="AA277" s="75" t="n"/>
    </row>
    <row r="278" ht="17" customHeight="1" s="72">
      <c r="A278" s="75" t="inlineStr">
        <is>
          <t>PL-HIST-0277</t>
        </is>
      </c>
      <c r="B278" s="75" t="inlineStr">
        <is>
          <t>1929</t>
        </is>
      </c>
      <c r="C278" s="75" t="inlineStr">
        <is>
          <t>год</t>
        </is>
      </c>
      <c r="D278" s="75" t="inlineStr">
        <is>
          <t>Германия</t>
        </is>
      </c>
      <c r="E278" s="75" t="inlineStr">
        <is>
          <t>Брауншвейг</t>
        </is>
      </c>
      <c r="F278" s="75" t="inlineStr">
        <is>
          <t>Franke &amp; Heidecke / Rolleiflex</t>
        </is>
      </c>
      <c r="G278" s="75" t="inlineStr">
        <is>
          <t>Rolleiflex делает TLR одним из символов среднего формата: два объектива, шахтный видоискатель и квадратный кадр формируют особый способ съёмки.</t>
        </is>
      </c>
      <c r="H278" s="75" t="inlineStr">
        <is>
          <t>Оптические инструменты</t>
        </is>
      </c>
      <c r="I278" s="75" t="inlineStr">
        <is>
          <t>Twin-lens reflex / Rolleiflex</t>
        </is>
      </c>
      <c r="J278" s="75" t="inlineStr">
        <is>
          <t>Средний формат становится мобильнее: фотограф смотрит сверху на матовое стекло и снимает спокойнее, чем с большой камерой на штативе.</t>
        </is>
      </c>
      <c r="K278" s="75" t="inlineStr">
        <is>
          <t>120 roll film</t>
        </is>
      </c>
      <c r="L278" s="75" t="inlineStr">
        <is>
          <t>Hasselblad 6×6 SLR</t>
        </is>
      </c>
      <c r="M278" s="75" t="inlineStr">
        <is>
          <t>Главная линия</t>
        </is>
      </c>
      <c r="N278" s="75" t="n">
        <v>5</v>
      </c>
      <c r="O278" s="75" t="inlineStr">
        <is>
          <t>PL-027</t>
        </is>
      </c>
      <c r="P278" s="75" t="inlineStr">
        <is>
          <t>SRC-220</t>
        </is>
      </c>
      <c r="Q278" s="75" t="inlineStr">
        <is>
          <t>Science Museum Group — Rolleiflex camera</t>
        </is>
      </c>
      <c r="R278" s="75" t="inlineStr">
        <is>
          <t>https://collection.sciencemuseumgroup.org.uk/objects/co8204206/rolleiflex-camera</t>
        </is>
      </c>
      <c r="S278" s="75" t="n">
        <v>5</v>
      </c>
      <c r="T278" s="75" t="inlineStr">
        <is>
          <t>Объяснить разницу TLR: верхний объектив — смотреть, нижний — снимать.</t>
        </is>
      </c>
      <c r="U278" s="75" t="inlineStr">
        <is>
          <t>Rolleiflex сверху, фотограф смотрит в шахту; рядом схема двух объективов.</t>
        </is>
      </c>
      <c r="V278" s="75" t="inlineStr">
        <is>
          <t>#PL027 #Rolleiflex #TLR #medium-format</t>
        </is>
      </c>
      <c r="W278" s="75" t="n"/>
      <c r="X278" s="75" t="inlineStr">
        <is>
          <t>52.2689, 10.5268</t>
        </is>
      </c>
      <c r="Y278" s="75" t="inlineStr">
        <is>
          <t>Средний формат / TLR</t>
        </is>
      </c>
      <c r="Z278" s="75" t="inlineStr">
        <is>
          <t>Инструмент / устройство</t>
        </is>
      </c>
      <c r="AA278" s="75" t="n"/>
    </row>
    <row r="279" ht="17" customHeight="1" s="72">
      <c r="A279" s="75" t="inlineStr">
        <is>
          <t>PL-HIST-0278</t>
        </is>
      </c>
      <c r="B279" s="75" t="inlineStr">
        <is>
          <t>1948</t>
        </is>
      </c>
      <c r="C279" s="75" t="inlineStr">
        <is>
          <t>год</t>
        </is>
      </c>
      <c r="D279" s="75" t="inlineStr">
        <is>
          <t>Швеция</t>
        </is>
      </c>
      <c r="E279" s="75" t="inlineStr">
        <is>
          <t>Гётеборг</t>
        </is>
      </c>
      <c r="F279" s="75" t="inlineStr">
        <is>
          <t>Victor Hasselblad</t>
        </is>
      </c>
      <c r="G279" s="75" t="inlineStr">
        <is>
          <t>Hasselblad 1600F вводит гражданскую среднеформатную SLR с модульной логикой: сменные объективы, видоискатели и плёночные магазины.</t>
        </is>
      </c>
      <c r="H279" s="75" t="inlineStr">
        <is>
          <t>Оптические инструменты</t>
        </is>
      </c>
      <c r="I279" s="75" t="inlineStr">
        <is>
          <t>Hasselblad 1600F / modular medium-format SLR</t>
        </is>
      </c>
      <c r="J279" s="75" t="inlineStr">
        <is>
          <t>Средний формат получает профессиональную системность: корпус можно перестраивать под разные задачи.</t>
        </is>
      </c>
      <c r="K279" s="75" t="inlineStr">
        <is>
          <t>TLR как мобильный средний формат</t>
        </is>
      </c>
      <c r="L279" s="75" t="inlineStr">
        <is>
          <t>Hasselblad 500C</t>
        </is>
      </c>
      <c r="M279" s="75" t="inlineStr">
        <is>
          <t>Главная линия / модульная система</t>
        </is>
      </c>
      <c r="N279" s="75" t="n">
        <v>5</v>
      </c>
      <c r="O279" s="75" t="inlineStr">
        <is>
          <t>PL-027</t>
        </is>
      </c>
      <c r="P279" s="75" t="inlineStr">
        <is>
          <t>SRC-221</t>
        </is>
      </c>
      <c r="Q279" s="75" t="inlineStr">
        <is>
          <t>Hasselblad Foundation — The Hasselblad Camera</t>
        </is>
      </c>
      <c r="R279" s="75" t="inlineStr">
        <is>
          <t>https://www.hasselbladfoundation.org/en/history/the-hasselblad-camera/</t>
        </is>
      </c>
      <c r="S279" s="75" t="n">
        <v>5</v>
      </c>
      <c r="T279" s="75" t="inlineStr">
        <is>
          <t>Показать модульность как отличие от простого корпуса: магазин, призма, объектив.</t>
        </is>
      </c>
      <c r="U279" s="75" t="inlineStr">
        <is>
          <t>Hasselblad 1600F разобран на модули на музейном столе.</t>
        </is>
      </c>
      <c r="V279" s="75" t="inlineStr">
        <is>
          <t>#PL027 #Hasselblad1600F #medium-format #modular-camera</t>
        </is>
      </c>
      <c r="W279" s="75" t="n"/>
      <c r="X279" s="75" t="inlineStr">
        <is>
          <t>57.7089, 11.9746</t>
        </is>
      </c>
      <c r="Y279" s="75" t="inlineStr">
        <is>
          <t>Средний формат / модульная SLR</t>
        </is>
      </c>
      <c r="Z279" s="75" t="inlineStr">
        <is>
          <t>Ключевой исторический узел</t>
        </is>
      </c>
      <c r="AA279" s="75" t="n"/>
    </row>
    <row r="280" ht="17" customHeight="1" s="72">
      <c r="A280" s="75" t="inlineStr">
        <is>
          <t>PL-HIST-0279</t>
        </is>
      </c>
      <c r="B280" s="75" t="inlineStr">
        <is>
          <t>1957</t>
        </is>
      </c>
      <c r="C280" s="75" t="inlineStr">
        <is>
          <t>год</t>
        </is>
      </c>
      <c r="D280" s="75" t="inlineStr">
        <is>
          <t>Швеция</t>
        </is>
      </c>
      <c r="E280" s="75" t="inlineStr">
        <is>
          <t>Гётеборг</t>
        </is>
      </c>
      <c r="F280" s="75" t="inlineStr">
        <is>
          <t>Hasselblad</t>
        </is>
      </c>
      <c r="G280" s="75" t="inlineStr">
        <is>
          <t>Hasselblad 500C закрепляет 6×6 модульную систему с центральным затвором в объективе, сменными магазинами и видоискателями.</t>
        </is>
      </c>
      <c r="H280" s="75" t="inlineStr">
        <is>
          <t>Оптические инструменты</t>
        </is>
      </c>
      <c r="I280" s="75" t="inlineStr">
        <is>
          <t>Hasselblad 500C / 6×6 modular system</t>
        </is>
      </c>
      <c r="J280" s="75" t="inlineStr">
        <is>
          <t>Студийная и коммерческая фотография получает гибкую систему высокого качества и синхронизацию со вспышкой.</t>
        </is>
      </c>
      <c r="K280" s="75" t="inlineStr">
        <is>
          <t>Hasselblad 1600F</t>
        </is>
      </c>
      <c r="L280" s="75" t="inlineStr">
        <is>
          <t>Среднеформатная профессиональная студия</t>
        </is>
      </c>
      <c r="M280" s="75" t="inlineStr">
        <is>
          <t>Главная линия</t>
        </is>
      </c>
      <c r="N280" s="75" t="n">
        <v>5</v>
      </c>
      <c r="O280" s="75" t="inlineStr">
        <is>
          <t>PL-027</t>
        </is>
      </c>
      <c r="P280" s="75" t="inlineStr">
        <is>
          <t>SRC-222</t>
        </is>
      </c>
      <c r="Q280" s="75" t="inlineStr">
        <is>
          <t>Hasselblad — 500 Series</t>
        </is>
      </c>
      <c r="R280" s="75" t="inlineStr">
        <is>
          <t>https://www.hasselblad.com/about/history/500-series</t>
        </is>
      </c>
      <c r="S280" s="75" t="n">
        <v>5</v>
      </c>
      <c r="T280" s="75" t="inlineStr">
        <is>
          <t>Это главный визуальный символ среднего формата в премиальной фотографии.</t>
        </is>
      </c>
      <c r="U280" s="75" t="inlineStr">
        <is>
          <t>500C в студии, рядом сменный магазин и квадратный негатив 6×6.</t>
        </is>
      </c>
      <c r="V280" s="75" t="inlineStr">
        <is>
          <t>#PL027 #Hasselblad500C #6x6 #leaf-shutter</t>
        </is>
      </c>
      <c r="W280" s="75" t="n"/>
      <c r="X280" s="75" t="inlineStr">
        <is>
          <t>57.7089, 11.9746</t>
        </is>
      </c>
      <c r="Y280" s="75" t="inlineStr">
        <is>
          <t>Средний формат / Hasselblad 500C</t>
        </is>
      </c>
      <c r="Z280" s="75" t="inlineStr">
        <is>
          <t>Инструмент / устройство</t>
        </is>
      </c>
      <c r="AA280" s="75" t="n"/>
    </row>
    <row r="281" ht="17" customHeight="1" s="72">
      <c r="A281" s="75" t="inlineStr">
        <is>
          <t>PL-HIST-0280</t>
        </is>
      </c>
      <c r="B281" s="75" t="inlineStr">
        <is>
          <t>1960-е–1970-е</t>
        </is>
      </c>
      <c r="C281" s="75" t="inlineStr">
        <is>
          <t>диапазон</t>
        </is>
      </c>
      <c r="D281" s="75" t="inlineStr">
        <is>
          <t>глобально</t>
        </is>
      </c>
      <c r="E281" s="75" t="inlineStr">
        <is>
          <t>студии и журналы</t>
        </is>
      </c>
      <c r="F281" s="75" t="inlineStr">
        <is>
          <t>профессиональные фотографы</t>
        </is>
      </c>
      <c r="G281" s="75" t="inlineStr">
        <is>
          <t>Средний формат становится рабочим стандартом студии: портрет, мода, предметная съёмка и рекламная фотография получают крупный негатив без громоздкости 4×5.</t>
        </is>
      </c>
      <c r="H281" s="75" t="inlineStr">
        <is>
          <t>Оптические инструменты</t>
        </is>
      </c>
      <c r="I281" s="75" t="inlineStr">
        <is>
          <t>Studio medium-format workflow</t>
        </is>
      </c>
      <c r="J281" s="75" t="inlineStr">
        <is>
          <t>Фотограф получает баланс: качество заметно выше 35 мм, но работа быстрее и гибче, чем с большим форматом.</t>
        </is>
      </c>
      <c r="K281" s="75" t="inlineStr">
        <is>
          <t>Модульная 6×6 система</t>
        </is>
      </c>
      <c r="L281" s="75" t="inlineStr">
        <is>
          <t>6×7 и крупный roll-film кадр</t>
        </is>
      </c>
      <c r="M281" s="75" t="inlineStr">
        <is>
          <t>Применение / жанр</t>
        </is>
      </c>
      <c r="N281" s="75" t="n">
        <v>5</v>
      </c>
      <c r="O281" s="75" t="inlineStr">
        <is>
          <t>PL-027</t>
        </is>
      </c>
      <c r="P281" s="75" t="inlineStr">
        <is>
          <t>SRC-219</t>
        </is>
      </c>
      <c r="Q281" s="75" t="inlineStr">
        <is>
          <t>ILFORD Photo — HP5 PLUS 120</t>
        </is>
      </c>
      <c r="R281" s="75" t="inlineStr">
        <is>
          <t>https://www.ilfordphoto.com/hp5-plus-120</t>
        </is>
      </c>
      <c r="S281" s="75" t="n">
        <v>4</v>
      </c>
      <c r="T281" s="75" t="inlineStr">
        <is>
          <t>Важно для VF PRINT BOUTIQUE: большой негатив помогает печатать крупнее и чище.</t>
        </is>
      </c>
      <c r="U281" s="75" t="inlineStr">
        <is>
          <t>Студийная сцена: среднеформатная камера, модель, свет, контактный лист.</t>
        </is>
      </c>
      <c r="V281" s="75" t="inlineStr">
        <is>
          <t>#PL027 #studio #medium-format #portrait</t>
        </is>
      </c>
      <c r="W281" s="75" t="n"/>
      <c r="X281" s="75" t="n"/>
      <c r="Y281" s="75" t="inlineStr">
        <is>
          <t>Средний формат / студийная практика</t>
        </is>
      </c>
      <c r="Z281" s="75" t="inlineStr">
        <is>
          <t>Применение / жанр</t>
        </is>
      </c>
      <c r="AA281" s="75" t="n"/>
    </row>
    <row r="282" ht="17" customHeight="1" s="72">
      <c r="A282" s="75" t="inlineStr">
        <is>
          <t>PL-HIST-0281</t>
        </is>
      </c>
      <c r="B282" s="75" t="inlineStr">
        <is>
          <t>1970-е</t>
        </is>
      </c>
      <c r="C282" s="75" t="inlineStr">
        <is>
          <t>диапазон</t>
        </is>
      </c>
      <c r="D282" s="75" t="inlineStr">
        <is>
          <t>Япония</t>
        </is>
      </c>
      <c r="E282" s="75" t="inlineStr">
        <is>
          <t>Токио / Нагано</t>
        </is>
      </c>
      <c r="F282" s="75" t="inlineStr">
        <is>
          <t>Mamiya</t>
        </is>
      </c>
      <c r="G282" s="75" t="inlineStr">
        <is>
          <t>Mamiya RB67-линия закрепляет 6×7 как крупный профессиональный roll-film формат с вращающейся задней частью и студийной ориентацией.</t>
        </is>
      </c>
      <c r="H282" s="75" t="inlineStr">
        <is>
          <t>Оптические инструменты</t>
        </is>
      </c>
      <c r="I282" s="75" t="inlineStr">
        <is>
          <t>Mamiya RB67 / 6×7 studio SLR</t>
        </is>
      </c>
      <c r="J282" s="75" t="inlineStr">
        <is>
          <t>Средний формат становится особенно удобен для портрета и предметки: кадр крупный, а ориентация меняется без переворота всей камеры.</t>
        </is>
      </c>
      <c r="K282" s="75" t="inlineStr">
        <is>
          <t>Студийный 6×6</t>
        </is>
      </c>
      <c r="L282" s="75" t="inlineStr">
        <is>
          <t>PENTAX 67 и SLR-логика</t>
        </is>
      </c>
      <c r="M282" s="75" t="inlineStr">
        <is>
          <t>Главная линия / студийный средний формат</t>
        </is>
      </c>
      <c r="N282" s="75" t="n">
        <v>5</v>
      </c>
      <c r="O282" s="75" t="inlineStr">
        <is>
          <t>PL-027</t>
        </is>
      </c>
      <c r="P282" s="75" t="inlineStr">
        <is>
          <t>SRC-223</t>
        </is>
      </c>
      <c r="Q282" s="75" t="inlineStr">
        <is>
          <t>Mamiya-OP — Corporate history</t>
        </is>
      </c>
      <c r="R282" s="75" t="inlineStr">
        <is>
          <t>https://www.mamiya-op.co.jp/en/company/history/</t>
        </is>
      </c>
      <c r="S282" s="75" t="n">
        <v>4</v>
      </c>
      <c r="T282" s="75" t="inlineStr">
        <is>
          <t>Уточнить конкретную дату базового RB67 при подготовке отдельной карточки; в таблице оставить как линию.</t>
        </is>
      </c>
      <c r="U282" s="75" t="inlineStr">
        <is>
          <t>Камера RB67 на штативе, задник поворачивается из вертикали в горизонталь.</t>
        </is>
      </c>
      <c r="V282" s="75" t="inlineStr">
        <is>
          <t>#PL027 #MamiyaRB67 #6x7 #studio-camera</t>
        </is>
      </c>
      <c r="W282" s="75" t="inlineStr">
        <is>
          <t>Проверить точную дату первой модели RB67 по более сильному источнику при финальной публикации.</t>
        </is>
      </c>
      <c r="X282" s="75" t="inlineStr">
        <is>
          <t>35.6762, 139.6503</t>
        </is>
      </c>
      <c r="Y282" s="75" t="inlineStr">
        <is>
          <t>Средний формат / 6×7 SLR</t>
        </is>
      </c>
      <c r="Z282" s="75" t="inlineStr">
        <is>
          <t>Инструмент / устройство</t>
        </is>
      </c>
      <c r="AA282" s="75" t="n"/>
    </row>
    <row r="283" ht="17" customHeight="1" s="72">
      <c r="A283" s="75" t="inlineStr">
        <is>
          <t>PL-HIST-0282</t>
        </is>
      </c>
      <c r="B283" s="75" t="inlineStr">
        <is>
          <t>1969–1990-е</t>
        </is>
      </c>
      <c r="C283" s="75" t="inlineStr">
        <is>
          <t>диапазон</t>
        </is>
      </c>
      <c r="D283" s="75" t="inlineStr">
        <is>
          <t>Япония</t>
        </is>
      </c>
      <c r="E283" s="75" t="inlineStr">
        <is>
          <t>Токио</t>
        </is>
      </c>
      <c r="F283" s="75" t="inlineStr">
        <is>
          <t>Asahi Pentax / Pentax</t>
        </is>
      </c>
      <c r="G283" s="75" t="inlineStr">
        <is>
          <t>Pentax 6×7 / 67-линия переносит ощущение большой SLR в средний формат: кадр 6×7, пентапризма и работа от глаза.</t>
        </is>
      </c>
      <c r="H283" s="75" t="inlineStr">
        <is>
          <t>Оптические инструменты</t>
        </is>
      </c>
      <c r="I283" s="75" t="inlineStr">
        <is>
          <t>Pentax 67 / medium-format SLR</t>
        </is>
      </c>
      <c r="J283" s="75" t="inlineStr">
        <is>
          <t>Средний формат становится ближе к репортажной манере, хотя остаётся тяжелее и медленнее 35 мм.</t>
        </is>
      </c>
      <c r="K283" s="75" t="inlineStr">
        <is>
          <t>Mamiya RB67 студийный подход</t>
        </is>
      </c>
      <c r="L283" s="75" t="inlineStr">
        <is>
          <t>Среднеформатный дальномер</t>
        </is>
      </c>
      <c r="M283" s="75" t="inlineStr">
        <is>
          <t>Главная линия / среднеформатная SLR</t>
        </is>
      </c>
      <c r="N283" s="75" t="n">
        <v>4</v>
      </c>
      <c r="O283" s="75" t="inlineStr">
        <is>
          <t>PL-027</t>
        </is>
      </c>
      <c r="P283" s="75" t="inlineStr">
        <is>
          <t>SRC-225</t>
        </is>
      </c>
      <c r="Q283" s="75" t="inlineStr">
        <is>
          <t>Ricoh Imaging — PENTAX 67II</t>
        </is>
      </c>
      <c r="R283" s="75" t="inlineStr">
        <is>
          <t>https://www.ricoh-imaging.co.jp/english/products/filmcamera/medium/672/index.html</t>
        </is>
      </c>
      <c r="S283" s="75" t="n">
        <v>4</v>
      </c>
      <c r="T283" s="75" t="inlineStr">
        <is>
          <t>Для ученика: это «большая зеркалка», но с совсем другим негативом.</t>
        </is>
      </c>
      <c r="U283" s="75" t="inlineStr">
        <is>
          <t>Силуэт Pentax 67 рядом с 35-мм SLR; размер кадра 6×7 подсвечен.</t>
        </is>
      </c>
      <c r="V283" s="75" t="inlineStr">
        <is>
          <t>#PL027 #Pentax67 #medium-format #6x7</t>
        </is>
      </c>
      <c r="W283" s="75" t="inlineStr">
        <is>
          <t>Проверить раннюю дату 1969 по официальному архиву перед публикацией.</t>
        </is>
      </c>
      <c r="X283" s="75" t="inlineStr">
        <is>
          <t>35.6762, 139.6503</t>
        </is>
      </c>
      <c r="Y283" s="75" t="inlineStr">
        <is>
          <t>Средний формат / SLR от глаза</t>
        </is>
      </c>
      <c r="Z283" s="75" t="inlineStr">
        <is>
          <t>Инструмент / устройство</t>
        </is>
      </c>
      <c r="AA283" s="75" t="n"/>
    </row>
    <row r="284" ht="17" customHeight="1" s="72">
      <c r="A284" s="75" t="inlineStr">
        <is>
          <t>PL-HIST-0283</t>
        </is>
      </c>
      <c r="B284" s="75" t="inlineStr">
        <is>
          <t>1995</t>
        </is>
      </c>
      <c r="C284" s="75" t="inlineStr">
        <is>
          <t>год</t>
        </is>
      </c>
      <c r="D284" s="75" t="inlineStr">
        <is>
          <t>Япония</t>
        </is>
      </c>
      <c r="E284" s="75" t="inlineStr">
        <is>
          <t>Токио</t>
        </is>
      </c>
      <c r="F284" s="75" t="inlineStr">
        <is>
          <t>Mamiya</t>
        </is>
      </c>
      <c r="G284" s="75" t="inlineStr">
        <is>
          <t>Mamiya 7 соединяет средний формат и дальномерную мобильность: 6×7 негатив появляется в более тихой и лёгкой системе.</t>
        </is>
      </c>
      <c r="H284" s="75" t="inlineStr">
        <is>
          <t>Оптические инструменты</t>
        </is>
      </c>
      <c r="I284" s="75" t="inlineStr">
        <is>
          <t>Mamiya 7 / 6×7 rangefinder</t>
        </is>
      </c>
      <c r="J284" s="75" t="inlineStr">
        <is>
          <t>Средний формат перестаёт быть только студийным: его можно вынести на улицу, в пейзаж и путешествие.</t>
        </is>
      </c>
      <c r="K284" s="75" t="inlineStr">
        <is>
          <t>Среднеформатная SLR от глаза</t>
        </is>
      </c>
      <c r="L284" s="75" t="inlineStr">
        <is>
          <t>Современный выбор формата</t>
        </is>
      </c>
      <c r="M284" s="75" t="inlineStr">
        <is>
          <t>Главная линия / мобильный средний формат</t>
        </is>
      </c>
      <c r="N284" s="75" t="n">
        <v>5</v>
      </c>
      <c r="O284" s="75" t="inlineStr">
        <is>
          <t>PL-027</t>
        </is>
      </c>
      <c r="P284" s="75" t="inlineStr">
        <is>
          <t>SRC-197</t>
        </is>
      </c>
      <c r="Q284" s="75" t="inlineStr">
        <is>
          <t>Mamiya — Mamiya 7</t>
        </is>
      </c>
      <c r="R284" s="75" t="inlineStr">
        <is>
          <t>https://mamiya.co.uk/products_id-7.html</t>
        </is>
      </c>
      <c r="S284" s="75" t="n">
        <v>4</v>
      </c>
      <c r="T284" s="75" t="inlineStr">
        <is>
          <t>Связать с личным интересом пользователя к Mamiya 7: это очень логичный герой для урока.</t>
        </is>
      </c>
      <c r="U284" s="75" t="inlineStr">
        <is>
          <t>Mamiya 7 на ремне, пейзаж, рядом крупный 6×7 негатив.</t>
        </is>
      </c>
      <c r="V284" s="75" t="inlineStr">
        <is>
          <t>#PL027 #Mamiya7 #6x7 #rangefinder</t>
        </is>
      </c>
      <c r="W284" s="75" t="n"/>
      <c r="X284" s="75" t="inlineStr">
        <is>
          <t>35.6762, 139.6503</t>
        </is>
      </c>
      <c r="Y284" s="75" t="inlineStr">
        <is>
          <t>Средний формат / мобильный 6×7</t>
        </is>
      </c>
      <c r="Z284" s="75" t="inlineStr">
        <is>
          <t>Применение / жанр</t>
        </is>
      </c>
      <c r="AA284" s="75" t="n"/>
    </row>
    <row r="285" ht="17" customHeight="1" s="72">
      <c r="A285" s="75" t="inlineStr">
        <is>
          <t>PL-HIST-0284</t>
        </is>
      </c>
      <c r="B285" s="75" t="inlineStr">
        <is>
          <t>XX–XXI век</t>
        </is>
      </c>
      <c r="C285" s="75" t="inlineStr">
        <is>
          <t>диапазон</t>
        </is>
      </c>
      <c r="D285" s="75" t="inlineStr">
        <is>
          <t>глобально</t>
        </is>
      </c>
      <c r="E285" s="75" t="inlineStr">
        <is>
          <t>печать и сканирование</t>
        </is>
      </c>
      <c r="F285" s="75" t="inlineStr">
        <is>
          <t>фотографы / лаборатории</t>
        </is>
      </c>
      <c r="G285" s="75" t="inlineStr">
        <is>
          <t>Большая площадь среднего формата даёт меньшее видимое зерно при той же печати, больше тональных переходов и выше требования к фокусу.</t>
        </is>
      </c>
      <c r="H285" s="75" t="inlineStr">
        <is>
          <t>Оптические инструменты</t>
        </is>
      </c>
      <c r="I285" s="75" t="inlineStr">
        <is>
          <t>Negative area / tonality / grain visibility</t>
        </is>
      </c>
      <c r="J285" s="75" t="inlineStr">
        <is>
          <t>Формат влияет не только на резкость, но и на ощущение изображения: тон становится спокойнее, а фактура — плотнее.</t>
        </is>
      </c>
      <c r="K285" s="75" t="inlineStr">
        <is>
          <t>Среднеформатные системы</t>
        </is>
      </c>
      <c r="L285" s="75" t="inlineStr">
        <is>
          <t>Большой формат</t>
        </is>
      </c>
      <c r="M285" s="75" t="inlineStr">
        <is>
          <t>Применение / жанр</t>
        </is>
      </c>
      <c r="N285" s="75" t="n">
        <v>5</v>
      </c>
      <c r="O285" s="75" t="inlineStr">
        <is>
          <t>PL-027</t>
        </is>
      </c>
      <c r="P285" s="75" t="inlineStr">
        <is>
          <t>SRC-226</t>
        </is>
      </c>
      <c r="Q285" s="75" t="inlineStr">
        <is>
          <t>Kodak Professional — Tri-X Films</t>
        </is>
      </c>
      <c r="R285" s="75" t="inlineStr">
        <is>
          <t>https://kodakprofessional.com/photographers/film/black-white/kodak-professional-tri-x-films/515</t>
        </is>
      </c>
      <c r="S285" s="75" t="n">
        <v>4</v>
      </c>
      <c r="T285" s="75" t="inlineStr">
        <is>
          <t>Связать с PL-019: зерно зависит не только от плёнки, но и от степени увеличения.</t>
        </is>
      </c>
      <c r="U285" s="75" t="inlineStr">
        <is>
          <t>Три отпечатка одинакового размера из 35 мм, 6×6 и 4×5; на крупном плане зерно разное.</t>
        </is>
      </c>
      <c r="V285" s="75" t="inlineStr">
        <is>
          <t>#PL027 #negative-size #grain #fineart-print</t>
        </is>
      </c>
      <c r="W285" s="75" t="n"/>
      <c r="X285" s="75" t="n"/>
      <c r="Y285" s="75" t="inlineStr">
        <is>
          <t>Средний формат / качество изображения</t>
        </is>
      </c>
      <c r="Z285" s="75" t="inlineStr">
        <is>
          <t>Применение / жанр</t>
        </is>
      </c>
      <c r="AA285" s="75" t="n"/>
    </row>
    <row r="286" ht="17" customHeight="1" s="72">
      <c r="A286" s="75" t="inlineStr">
        <is>
          <t>PL-HIST-0285</t>
        </is>
      </c>
      <c r="B286" s="75" t="inlineStr">
        <is>
          <t>сегодня</t>
        </is>
      </c>
      <c r="C286" s="75" t="inlineStr">
        <is>
          <t>примерно</t>
        </is>
      </c>
      <c r="D286" s="75" t="inlineStr">
        <is>
          <t>глобально</t>
        </is>
      </c>
      <c r="E286" s="75" t="inlineStr">
        <is>
          <t>современная плёночная практика</t>
        </is>
      </c>
      <c r="F286" s="75" t="inlineStr">
        <is>
          <t>фотографы</t>
        </is>
      </c>
      <c r="G286" s="75" t="inlineStr">
        <is>
          <t>Главный выбор среднего формата — баланс: он медленнее и дороже 35 мм, но даёт более крупный негатив без полной тяжести большого формата.</t>
        </is>
      </c>
      <c r="H286" s="75" t="inlineStr">
        <is>
          <t>Оптические инструменты</t>
        </is>
      </c>
      <c r="I286" s="75" t="inlineStr">
        <is>
          <t>Medium format as quality / mobility balance</t>
        </is>
      </c>
      <c r="J286" s="75" t="inlineStr">
        <is>
          <t>Фотограф учится выбирать формат не по престижу, а по задаче: скорость, размер печати, характер зерна, портативность и бюджет.</t>
        </is>
      </c>
      <c r="K286" s="75" t="inlineStr">
        <is>
          <t>Средний формат и негативная площадь</t>
        </is>
      </c>
      <c r="L286" s="75" t="inlineStr">
        <is>
          <t>PL-028 — большой формат</t>
        </is>
      </c>
      <c r="M286" s="75" t="inlineStr">
        <is>
          <t>Связь / переход</t>
        </is>
      </c>
      <c r="N286" s="75" t="n">
        <v>5</v>
      </c>
      <c r="O286" s="75" t="inlineStr">
        <is>
          <t>PL-027</t>
        </is>
      </c>
      <c r="P286" s="75" t="inlineStr">
        <is>
          <t>SRC-218</t>
        </is>
      </c>
      <c r="Q286" s="75" t="inlineStr">
        <is>
          <t>ILFORD Photo — Choosing your first ILFORD film</t>
        </is>
      </c>
      <c r="R286" s="75" t="inlineStr">
        <is>
          <t>https://www.ilfordphoto.com/choosing-your-first-ilford-film/</t>
        </is>
      </c>
      <c r="S286" s="75" t="n">
        <v>5</v>
      </c>
      <c r="T286" s="75" t="inlineStr">
        <is>
          <t>Финал урока: средний формат — не «лучше всегда», а другой ритм работы.</t>
        </is>
      </c>
      <c r="U286" s="75" t="inlineStr">
        <is>
          <t>Весы: слева скорость 35 мм, справа качество 4×5, посередине 120.</t>
        </is>
      </c>
      <c r="V286" s="75" t="inlineStr">
        <is>
          <t>#PL027 #format-choice #120film #workflow</t>
        </is>
      </c>
      <c r="W286" s="75" t="n"/>
      <c r="X286" s="75" t="n"/>
      <c r="Y286" s="75" t="inlineStr">
        <is>
          <t>Средний формат / выбор формата</t>
        </is>
      </c>
      <c r="Z286" s="75" t="inlineStr">
        <is>
          <t>Связь / переход</t>
        </is>
      </c>
      <c r="AA286" s="75" t="n"/>
    </row>
    <row r="287" ht="17" customHeight="1" s="72">
      <c r="A287" s="75" t="inlineStr">
        <is>
          <t>PL-HIST-0286</t>
        </is>
      </c>
      <c r="B287" s="75" t="inlineStr">
        <is>
          <t>XIX век — сегодня</t>
        </is>
      </c>
      <c r="C287" s="75" t="inlineStr">
        <is>
          <t>диапазон</t>
        </is>
      </c>
      <c r="D287" s="75" t="inlineStr">
        <is>
          <t>глобально</t>
        </is>
      </c>
      <c r="E287" s="75" t="inlineStr">
        <is>
          <t>студии / пейзаж / архитектура</t>
        </is>
      </c>
      <c r="F287" s="75" t="inlineStr">
        <is>
          <t>фотографы</t>
        </is>
      </c>
      <c r="G287" s="75" t="inlineStr">
        <is>
          <t>Большой формат работает с отдельными листами плёнки или пластинами: 4×5, 5×7, 8×10 и больше — это уже не рулон, а один кадр как отдельный носитель.</t>
        </is>
      </c>
      <c r="H287" s="75" t="inlineStr">
        <is>
          <t>Оптические инструменты</t>
        </is>
      </c>
      <c r="I287" s="75" t="inlineStr">
        <is>
          <t>Sheet film / large format</t>
        </is>
      </c>
      <c r="J287" s="75" t="inlineStr">
        <is>
          <t>Фотограф переходит к медленному, точному процессу: каждый лист заряжается, экспонируется и проявляется отдельно.</t>
        </is>
      </c>
      <c r="K287" s="75" t="inlineStr">
        <is>
          <t>Средний формат и roll film</t>
        </is>
      </c>
      <c r="L287" s="75" t="inlineStr">
        <is>
          <t>Фахкамера / view camera</t>
        </is>
      </c>
      <c r="M287" s="75" t="inlineStr">
        <is>
          <t>Терминология / язык</t>
        </is>
      </c>
      <c r="N287" s="75" t="n">
        <v>5</v>
      </c>
      <c r="O287" s="75" t="inlineStr">
        <is>
          <t>PL-028</t>
        </is>
      </c>
      <c r="P287" s="75" t="inlineStr">
        <is>
          <t>SRC-227</t>
        </is>
      </c>
      <c r="Q287" s="75" t="inlineStr">
        <is>
          <t>B&amp;H — Large Format Cameras / View Cameras</t>
        </is>
      </c>
      <c r="R287" s="75" t="inlineStr">
        <is>
          <t>https://www.bhphotovideo.com/c/buy/Field-View-Cameras/ci/27</t>
        </is>
      </c>
      <c r="S287" s="75" t="n">
        <v>5</v>
      </c>
      <c r="T287" s="75" t="inlineStr">
        <is>
          <t>Флагман PL-028: главный смысл — листовой кадр и сознательное замедление.</t>
        </is>
      </c>
      <c r="U287" s="75" t="inlineStr">
        <is>
          <t>Кассеты 4×5, лист плёнки в перчатках, рядом 120 и 35 мм для масштаба.</t>
        </is>
      </c>
      <c r="V287" s="75" t="inlineStr">
        <is>
          <t>#PL028 #large-format #sheet-film #4x5</t>
        </is>
      </c>
      <c r="W287" s="75" t="n"/>
      <c r="X287" s="75" t="n"/>
      <c r="Y287" s="75" t="inlineStr">
        <is>
          <t>Большой формат / sheet film</t>
        </is>
      </c>
      <c r="Z287" s="75" t="inlineStr">
        <is>
          <t>Ключевой исторический узел</t>
        </is>
      </c>
      <c r="AA287" s="75" t="inlineStr">
        <is>
          <t>да</t>
        </is>
      </c>
    </row>
    <row r="288" ht="17" customHeight="1" s="72">
      <c r="A288" s="75" t="inlineStr">
        <is>
          <t>PL-HIST-0287</t>
        </is>
      </c>
      <c r="B288" s="75" t="inlineStr">
        <is>
          <t>XIX–XX век</t>
        </is>
      </c>
      <c r="C288" s="75" t="inlineStr">
        <is>
          <t>диапазон</t>
        </is>
      </c>
      <c r="D288" s="75" t="inlineStr">
        <is>
          <t>глобально</t>
        </is>
      </c>
      <c r="E288" s="75" t="inlineStr">
        <is>
          <t>фотографические ателье</t>
        </is>
      </c>
      <c r="F288" s="75" t="inlineStr">
        <is>
          <t>фотографы</t>
        </is>
      </c>
      <c r="G288" s="75" t="inlineStr">
        <is>
          <t>Большой формат наследует ранней фотографии: когда негатив или пластина крупные, отпечаток можно делать с огромной детализацией и даже контактным способом.</t>
        </is>
      </c>
      <c r="H288" s="75" t="inlineStr">
        <is>
          <t>Печать / тиражирование</t>
        </is>
      </c>
      <c r="I288" s="75" t="inlineStr">
        <is>
          <t>Contact printing / large negative</t>
        </is>
      </c>
      <c r="J288" s="75" t="inlineStr">
        <is>
          <t>Размер носителя напрямую влияет на итог: меньше нужно увеличивать, больше сохраняется микродеталь и тон.</t>
        </is>
      </c>
      <c r="K288" s="75" t="inlineStr">
        <is>
          <t>Листовая плёнка</t>
        </is>
      </c>
      <c r="L288" s="75" t="inlineStr">
        <is>
          <t>Камера с матовым стеклом</t>
        </is>
      </c>
      <c r="M288" s="75" t="inlineStr">
        <is>
          <t>Главная линия / печать и детализация</t>
        </is>
      </c>
      <c r="N288" s="75" t="n">
        <v>5</v>
      </c>
      <c r="O288" s="75" t="inlineStr">
        <is>
          <t>PL-028</t>
        </is>
      </c>
      <c r="P288" s="75" t="inlineStr">
        <is>
          <t>SRC-235</t>
        </is>
      </c>
      <c r="Q288" s="75" t="inlineStr">
        <is>
          <t>National Gallery of Australia — Ansel Adams and American Landscape Photography</t>
        </is>
      </c>
      <c r="R288" s="75" t="inlineStr">
        <is>
          <t>https://nga.gov.au/exhibitions/ansel-adams-and-american-landscape-photography/</t>
        </is>
      </c>
      <c r="S288" s="75" t="n">
        <v>4</v>
      </c>
      <c r="T288" s="75" t="inlineStr">
        <is>
          <t>Связать с авторским отпечатком: большой негатив — это не цифра, а физическая площадь изображения.</t>
        </is>
      </c>
      <c r="U288" s="75" t="inlineStr">
        <is>
          <t>Контактный отпечаток 8×10 лежит рядом с негативом такого же размера.</t>
        </is>
      </c>
      <c r="V288" s="75" t="inlineStr">
        <is>
          <t>#PL028 #contact-print #large-negative #fineart</t>
        </is>
      </c>
      <c r="W288" s="75" t="n"/>
      <c r="X288" s="75" t="n"/>
      <c r="Y288" s="75" t="inlineStr">
        <is>
          <t>Большой формат / контактная печать</t>
        </is>
      </c>
      <c r="Z288" s="75" t="inlineStr">
        <is>
          <t>Тиражирование / публикация</t>
        </is>
      </c>
      <c r="AA288" s="75" t="n"/>
    </row>
    <row r="289" ht="17" customHeight="1" s="72">
      <c r="A289" s="75" t="inlineStr">
        <is>
          <t>PL-HIST-0288</t>
        </is>
      </c>
      <c r="B289" s="75" t="inlineStr">
        <is>
          <t>XX век</t>
        </is>
      </c>
      <c r="C289" s="75" t="inlineStr">
        <is>
          <t>диапазон</t>
        </is>
      </c>
      <c r="D289" s="75" t="inlineStr">
        <is>
          <t>глобально</t>
        </is>
      </c>
      <c r="E289" s="75" t="inlineStr">
        <is>
          <t>студии / полевая съёмка</t>
        </is>
      </c>
      <c r="F289" s="75" t="inlineStr">
        <is>
          <t>производители view camera</t>
        </is>
      </c>
      <c r="G289" s="75" t="inlineStr">
        <is>
          <t>View camera состоит из переднего стандарта с объективом, заднего стандарта с плёнкой, меха и матового стекла для фокусировки.</t>
        </is>
      </c>
      <c r="H289" s="75" t="inlineStr">
        <is>
          <t>Оптические инструменты</t>
        </is>
      </c>
      <c r="I289" s="75" t="inlineStr">
        <is>
          <t>View camera / bellows / ground glass</t>
        </is>
      </c>
      <c r="J289" s="75" t="inlineStr">
        <is>
          <t>Камера становится видимой оптической лабораторией: фотограф буквально двигает объектив и плоскость плёнки руками.</t>
        </is>
      </c>
      <c r="K289" s="75" t="inlineStr">
        <is>
          <t>Листовой носитель</t>
        </is>
      </c>
      <c r="L289" s="75" t="inlineStr">
        <is>
          <t>Подвижки камеры</t>
        </is>
      </c>
      <c r="M289" s="75" t="inlineStr">
        <is>
          <t>Главная линия</t>
        </is>
      </c>
      <c r="N289" s="75" t="n">
        <v>5</v>
      </c>
      <c r="O289" s="75" t="inlineStr">
        <is>
          <t>PL-028</t>
        </is>
      </c>
      <c r="P289" s="75" t="inlineStr">
        <is>
          <t>SRC-227</t>
        </is>
      </c>
      <c r="Q289" s="75" t="inlineStr">
        <is>
          <t>B&amp;H — Large Format Cameras / View Cameras</t>
        </is>
      </c>
      <c r="R289" s="75" t="inlineStr">
        <is>
          <t>https://www.bhphotovideo.com/c/buy/Field-View-Cameras/ci/27</t>
        </is>
      </c>
      <c r="S289" s="75" t="n">
        <v>5</v>
      </c>
      <c r="T289" s="75" t="inlineStr">
        <is>
          <t>Объяснить анатомию большого формата как противоположность закрытой компактной камере.</t>
        </is>
      </c>
      <c r="U289" s="75" t="inlineStr">
        <is>
          <t>Разрез field camera: lens standard, bellows, rear standard, ground glass.</t>
        </is>
      </c>
      <c r="V289" s="75" t="inlineStr">
        <is>
          <t>#PL028 #view-camera #bellows #ground-glass</t>
        </is>
      </c>
      <c r="W289" s="75" t="n"/>
      <c r="X289" s="75" t="n"/>
      <c r="Y289" s="75" t="inlineStr">
        <is>
          <t>Большой формат / устройство камеры</t>
        </is>
      </c>
      <c r="Z289" s="75" t="inlineStr">
        <is>
          <t>Инструмент / устройство</t>
        </is>
      </c>
      <c r="AA289" s="75" t="n"/>
    </row>
    <row r="290" ht="17" customHeight="1" s="72">
      <c r="A290" s="75" t="inlineStr">
        <is>
          <t>PL-HIST-0289</t>
        </is>
      </c>
      <c r="B290" s="75" t="inlineStr">
        <is>
          <t>XX век</t>
        </is>
      </c>
      <c r="C290" s="75" t="inlineStr">
        <is>
          <t>диапазон</t>
        </is>
      </c>
      <c r="D290" s="75" t="inlineStr">
        <is>
          <t>глобально</t>
        </is>
      </c>
      <c r="E290" s="75" t="inlineStr">
        <is>
          <t>архитектура / предметка</t>
        </is>
      </c>
      <c r="F290" s="75" t="inlineStr">
        <is>
          <t>фотографы</t>
        </is>
      </c>
      <c r="G290" s="75" t="inlineStr">
        <is>
          <t>Rise, fall и shift позволяют сдвигать объектив или задник без наклона всей камеры, поэтому вертикали зданий можно сохранить прямыми.</t>
        </is>
      </c>
      <c r="H290" s="75" t="inlineStr">
        <is>
          <t>Оптические инструменты</t>
        </is>
      </c>
      <c r="I290" s="75" t="inlineStr">
        <is>
          <t>Rise / fall / shift movements</t>
        </is>
      </c>
      <c r="J290" s="75" t="inlineStr">
        <is>
          <t>Большой формат даёт контроль перспективы на оптическом уровне, ещё до печати или цифровой коррекции.</t>
        </is>
      </c>
      <c r="K290" s="75" t="inlineStr">
        <is>
          <t>View camera anatomy</t>
        </is>
      </c>
      <c r="L290" s="75" t="inlineStr">
        <is>
          <t>Tilt / swing and focus plane</t>
        </is>
      </c>
      <c r="M290" s="75" t="inlineStr">
        <is>
          <t>Главная линия / контроль перспективы</t>
        </is>
      </c>
      <c r="N290" s="75" t="n">
        <v>5</v>
      </c>
      <c r="O290" s="75" t="inlineStr">
        <is>
          <t>PL-028</t>
        </is>
      </c>
      <c r="P290" s="75" t="inlineStr">
        <is>
          <t>SRC-230</t>
        </is>
      </c>
      <c r="Q290" s="75" t="inlineStr">
        <is>
          <t>B&amp;H — Introduction to Large Format, Part II</t>
        </is>
      </c>
      <c r="R290" s="75" t="inlineStr">
        <is>
          <t>https://www.bhphotovideo.com/find/Product_Resources/largeformat2.jsp</t>
        </is>
      </c>
      <c r="S290" s="75" t="n">
        <v>5</v>
      </c>
      <c r="T290" s="75" t="inlineStr">
        <is>
          <t>Показать на фасаде здания: камера стоит ровно, объектив поднят вверх.</t>
        </is>
      </c>
      <c r="U290" s="75" t="inlineStr">
        <is>
          <t>Схема: наклонённая камера даёт сходящиеся вертикали; камера с rise сохраняет вертикали параллельными.</t>
        </is>
      </c>
      <c r="V290" s="75" t="inlineStr">
        <is>
          <t>#PL028 #rise #shift #perspective-control #architecture</t>
        </is>
      </c>
      <c r="W290" s="75" t="n"/>
      <c r="X290" s="75" t="n"/>
      <c r="Y290" s="75" t="inlineStr">
        <is>
          <t>Большой формат / shift и perspective control</t>
        </is>
      </c>
      <c r="Z290" s="75" t="inlineStr">
        <is>
          <t>Технология / процесс</t>
        </is>
      </c>
      <c r="AA290" s="75" t="n"/>
    </row>
    <row r="291" ht="17" customHeight="1" s="72">
      <c r="A291" s="75" t="inlineStr">
        <is>
          <t>PL-HIST-0290</t>
        </is>
      </c>
      <c r="B291" s="75" t="inlineStr">
        <is>
          <t>XX век</t>
        </is>
      </c>
      <c r="C291" s="75" t="inlineStr">
        <is>
          <t>диапазон</t>
        </is>
      </c>
      <c r="D291" s="75" t="inlineStr">
        <is>
          <t>глобально</t>
        </is>
      </c>
      <c r="E291" s="75" t="inlineStr">
        <is>
          <t>предметная и пейзажная съёмка</t>
        </is>
      </c>
      <c r="F291" s="75" t="inlineStr">
        <is>
          <t>фотографы</t>
        </is>
      </c>
      <c r="G291" s="75" t="inlineStr">
        <is>
          <t>Tilt и swing меняют плоскость резкости: фотограф может наклонить фокус так, чтобы резкость легла вдоль стола, поля или предметной сцены.</t>
        </is>
      </c>
      <c r="H291" s="75" t="inlineStr">
        <is>
          <t>Оптические инструменты</t>
        </is>
      </c>
      <c r="I291" s="75" t="inlineStr">
        <is>
          <t>Tilt / swing / Scheimpflug principle</t>
        </is>
      </c>
      <c r="J291" s="75" t="inlineStr">
        <is>
          <t>Фокус перестаёт быть только параллельной стеной перед камерой: большой формат позволяет управлять самой плоскостью резкости.</t>
        </is>
      </c>
      <c r="K291" s="75" t="inlineStr">
        <is>
          <t>Shift и перспектива</t>
        </is>
      </c>
      <c r="L291" s="75" t="inlineStr">
        <is>
          <t>Линхоф и техническая камера</t>
        </is>
      </c>
      <c r="M291" s="75" t="inlineStr">
        <is>
          <t>Главная линия / контроль фокуса</t>
        </is>
      </c>
      <c r="N291" s="75" t="n">
        <v>5</v>
      </c>
      <c r="O291" s="75" t="inlineStr">
        <is>
          <t>PL-028</t>
        </is>
      </c>
      <c r="P291" s="75" t="inlineStr">
        <is>
          <t>SRC-231</t>
        </is>
      </c>
      <c r="Q291" s="75" t="inlineStr">
        <is>
          <t>Cambridge in Colour — Tilt-shift lenses and focus control</t>
        </is>
      </c>
      <c r="R291" s="75" t="inlineStr">
        <is>
          <t>https://www.cambridgeincolour.com/tutorials/tilt-shift-lenses2.htm</t>
        </is>
      </c>
      <c r="S291" s="75" t="n">
        <v>5</v>
      </c>
      <c r="T291" s="75" t="inlineStr">
        <is>
          <t>Связать с будущими уроками по гиперфокалу и глубине резкости.</t>
        </is>
      </c>
      <c r="U291" s="75" t="inlineStr">
        <is>
          <t>Плоскость фокуса нарисована золотой линией, лежащей вдоль стола с предметами.</t>
        </is>
      </c>
      <c r="V291" s="75" t="inlineStr">
        <is>
          <t>#PL028 #tilt #swing #Scheimpflug #focus-plane</t>
        </is>
      </c>
      <c r="W291" s="75" t="n"/>
      <c r="X291" s="75" t="n"/>
      <c r="Y291" s="75" t="inlineStr">
        <is>
          <t>Большой формат / tilt и плоскость фокуса</t>
        </is>
      </c>
      <c r="Z291" s="75" t="inlineStr">
        <is>
          <t>Технология / процесс</t>
        </is>
      </c>
      <c r="AA291" s="75" t="n"/>
    </row>
    <row r="292" ht="17" customHeight="1" s="72">
      <c r="A292" s="75" t="inlineStr">
        <is>
          <t>PL-HIST-0291</t>
        </is>
      </c>
      <c r="B292" s="75" t="inlineStr">
        <is>
          <t>1936</t>
        </is>
      </c>
      <c r="C292" s="75" t="inlineStr">
        <is>
          <t>год</t>
        </is>
      </c>
      <c r="D292" s="75" t="inlineStr">
        <is>
          <t>Германия</t>
        </is>
      </c>
      <c r="E292" s="75" t="inlineStr">
        <is>
          <t>Мюнхен</t>
        </is>
      </c>
      <c r="F292" s="75" t="inlineStr">
        <is>
          <t>Linhof</t>
        </is>
      </c>
      <c r="G292" s="75" t="inlineStr">
        <is>
          <t>Linhof Technika показывает идею технической полевой камеры: большой формат получает складной корпус и подвижки для работы вне студии.</t>
        </is>
      </c>
      <c r="H292" s="75" t="inlineStr">
        <is>
          <t>Оптические инструменты</t>
        </is>
      </c>
      <c r="I292" s="75" t="inlineStr">
        <is>
          <t>Linhof Technika / technical field camera</t>
        </is>
      </c>
      <c r="J292" s="75" t="inlineStr">
        <is>
          <t>Большой формат становится более переносимым: контроль view camera можно брать в архитектуру, пейзаж и выездную работу.</t>
        </is>
      </c>
      <c r="K292" s="75" t="inlineStr">
        <is>
          <t>Tilt / swing control</t>
        </is>
      </c>
      <c r="L292" s="75" t="inlineStr">
        <is>
          <t>Press camera / Speed Graphic</t>
        </is>
      </c>
      <c r="M292" s="75" t="inlineStr">
        <is>
          <t>Главная линия / техническая камера</t>
        </is>
      </c>
      <c r="N292" s="75" t="n">
        <v>4</v>
      </c>
      <c r="O292" s="75" t="inlineStr">
        <is>
          <t>PL-028</t>
        </is>
      </c>
      <c r="P292" s="75" t="inlineStr">
        <is>
          <t>SRC-232</t>
        </is>
      </c>
      <c r="Q292" s="75" t="inlineStr">
        <is>
          <t>Linhof — 1936 Technika</t>
        </is>
      </c>
      <c r="R292" s="75" t="inlineStr">
        <is>
          <t>https://linhof.com/en/1936-linhof-technika/</t>
        </is>
      </c>
      <c r="S292" s="75" t="n">
        <v>5</v>
      </c>
      <c r="T292" s="75" t="inlineStr">
        <is>
          <t>Визуально это хороший мост между большой камерой на штативе и полевой работой.</t>
        </is>
      </c>
      <c r="U292" s="75" t="inlineStr">
        <is>
          <t>Складная Linhof Technika на штативе перед архитектурным фасадом.</t>
        </is>
      </c>
      <c r="V292" s="75" t="inlineStr">
        <is>
          <t>#PL028 #LinhofTechnika #field-camera #large-format</t>
        </is>
      </c>
      <c r="W292" s="75" t="n"/>
      <c r="X292" s="75" t="inlineStr">
        <is>
          <t>48.1351, 11.5820</t>
        </is>
      </c>
      <c r="Y292" s="75" t="inlineStr">
        <is>
          <t>Большой формат / техническая камера</t>
        </is>
      </c>
      <c r="Z292" s="75" t="inlineStr">
        <is>
          <t>Инструмент / устройство</t>
        </is>
      </c>
      <c r="AA292" s="75" t="n"/>
    </row>
    <row r="293" ht="17" customHeight="1" s="72">
      <c r="A293" s="75" t="inlineStr">
        <is>
          <t>PL-HIST-0292</t>
        </is>
      </c>
      <c r="B293" s="75" t="inlineStr">
        <is>
          <t>1940-е–1950-е</t>
        </is>
      </c>
      <c r="C293" s="75" t="inlineStr">
        <is>
          <t>диапазон</t>
        </is>
      </c>
      <c r="D293" s="75" t="inlineStr">
        <is>
          <t>США</t>
        </is>
      </c>
      <c r="E293" s="75" t="inlineStr">
        <is>
          <t>Нью-Йорк / Вашингтон</t>
        </is>
      </c>
      <c r="F293" s="75" t="inlineStr">
        <is>
          <t>Graflex / пресс-фотографы</t>
        </is>
      </c>
      <c r="G293" s="75" t="inlineStr">
        <is>
          <t>Speed Graphic показывает пресс-версию большого формата: 4×5 камера становится переносимым инструментом газетной и событийной фотографии.</t>
        </is>
      </c>
      <c r="H293" s="75" t="inlineStr">
        <is>
          <t>Оптические инструменты</t>
        </is>
      </c>
      <c r="I293" s="75" t="inlineStr">
        <is>
          <t>4x5 press camera / Speed Graphic</t>
        </is>
      </c>
      <c r="J293" s="75" t="inlineStr">
        <is>
          <t>Большой формат оказывается не только студийным: его используют в репортаже, где нужен крупный негатив и профессиональная надёжность.</t>
        </is>
      </c>
      <c r="K293" s="75" t="inlineStr">
        <is>
          <t>Техническая полевая камера</t>
        </is>
      </c>
      <c r="L293" s="75" t="inlineStr">
        <is>
          <t>Документальные 4×5 архивы</t>
        </is>
      </c>
      <c r="M293" s="75" t="inlineStr">
        <is>
          <t>Применение / жанр</t>
        </is>
      </c>
      <c r="N293" s="75" t="n">
        <v>5</v>
      </c>
      <c r="O293" s="75" t="inlineStr">
        <is>
          <t>PL-028</t>
        </is>
      </c>
      <c r="P293" s="75" t="inlineStr">
        <is>
          <t>SRC-233</t>
        </is>
      </c>
      <c r="Q293" s="75" t="inlineStr">
        <is>
          <t>Smithsonian NMAH — Graflex Speed Graphic 4×5 Press Camera</t>
        </is>
      </c>
      <c r="R293" s="75" t="inlineStr">
        <is>
          <t>https://americanhistory.si.edu/collections/object/nmah_1145431</t>
        </is>
      </c>
      <c r="S293" s="75" t="n">
        <v>5</v>
      </c>
      <c r="T293" s="75" t="inlineStr">
        <is>
          <t>Показать с большой вспышкой: образ классической press camera.</t>
        </is>
      </c>
      <c r="U293" s="75" t="inlineStr">
        <is>
          <t>Репортёр 1950-х с 4×5 Speed Graphic и круглой вспышкой у здания суда.</t>
        </is>
      </c>
      <c r="V293" s="75" t="inlineStr">
        <is>
          <t>#PL028 #SpeedGraphic #4x5 #press-camera</t>
        </is>
      </c>
      <c r="W293" s="75" t="n"/>
      <c r="X293" s="75" t="inlineStr">
        <is>
          <t>40.7128, -74.0060</t>
        </is>
      </c>
      <c r="Y293" s="75" t="inlineStr">
        <is>
          <t>Большой формат / press camera</t>
        </is>
      </c>
      <c r="Z293" s="75" t="inlineStr">
        <is>
          <t>Применение / жанр</t>
        </is>
      </c>
      <c r="AA293" s="75" t="n"/>
    </row>
    <row r="294" ht="17" customHeight="1" s="72">
      <c r="A294" s="75" t="inlineStr">
        <is>
          <t>PL-HIST-0293</t>
        </is>
      </c>
      <c r="B294" s="75" t="inlineStr">
        <is>
          <t>1930-е–1940-е</t>
        </is>
      </c>
      <c r="C294" s="75" t="inlineStr">
        <is>
          <t>диапазон</t>
        </is>
      </c>
      <c r="D294" s="75" t="inlineStr">
        <is>
          <t>США</t>
        </is>
      </c>
      <c r="E294" s="75" t="inlineStr">
        <is>
          <t>Вашингтон / США</t>
        </is>
      </c>
      <c r="F294" s="75" t="inlineStr">
        <is>
          <t>FSA/OWI photographers</t>
        </is>
      </c>
      <c r="G294" s="75" t="inlineStr">
        <is>
          <t>Документальные архивы FSA/OWI показывают практическое сосуществование форматов: 35 мм, 2¼ roll film, 3×4, 4×5, 5×7 и 8×10 листы.</t>
        </is>
      </c>
      <c r="H294" s="75" t="inlineStr">
        <is>
          <t>Оптические инструменты</t>
        </is>
      </c>
      <c r="I294" s="75" t="inlineStr">
        <is>
          <t>Documentary large-format negatives</t>
        </is>
      </c>
      <c r="J294" s="75" t="inlineStr">
        <is>
          <t>Формат выбирается под задачу: мобильность, качество, детализация, публикация и архив.</t>
        </is>
      </c>
      <c r="K294" s="75" t="inlineStr">
        <is>
          <t>Press camera 4×5</t>
        </is>
      </c>
      <c r="L294" s="75" t="inlineStr">
        <is>
          <t>Музейное хранение больших негативов</t>
        </is>
      </c>
      <c r="M294" s="75" t="inlineStr">
        <is>
          <t>Научное применение / пример</t>
        </is>
      </c>
      <c r="N294" s="75" t="n">
        <v>4</v>
      </c>
      <c r="O294" s="75" t="inlineStr">
        <is>
          <t>PL-028</t>
        </is>
      </c>
      <c r="P294" s="75" t="inlineStr">
        <is>
          <t>SRC-229</t>
        </is>
      </c>
      <c r="Q294" s="75" t="inlineStr">
        <is>
          <t>Library of Congress — FSA/OWI negatives</t>
        </is>
      </c>
      <c r="R294" s="75" t="inlineStr">
        <is>
          <t>https://www.loc.gov/pictures/collection/fsa/nitrate.html</t>
        </is>
      </c>
      <c r="S294" s="75" t="n">
        <v>5</v>
      </c>
      <c r="T294" s="75" t="inlineStr">
        <is>
          <t>Хороший пример, что реальные фотографы не выбирали один формат навсегда.</t>
        </is>
      </c>
      <c r="U294" s="75" t="inlineStr">
        <is>
          <t>Архивный ящик с негативами разных размеров и контактными листами.</t>
        </is>
      </c>
      <c r="V294" s="75" t="inlineStr">
        <is>
          <t>#PL028 #FSA #OWI #documentary #sheet-film</t>
        </is>
      </c>
      <c r="W294" s="75" t="n"/>
      <c r="X294" s="75" t="inlineStr">
        <is>
          <t>38.9072, -77.0369</t>
        </is>
      </c>
      <c r="Y294" s="75" t="inlineStr">
        <is>
          <t>Большой формат / документальный архив</t>
        </is>
      </c>
      <c r="Z294" s="75" t="inlineStr">
        <is>
          <t>Научное применение / пример</t>
        </is>
      </c>
      <c r="AA294" s="75" t="n"/>
    </row>
    <row r="295" ht="17" customHeight="1" s="72">
      <c r="A295" s="75" t="inlineStr">
        <is>
          <t>PL-HIST-0294</t>
        </is>
      </c>
      <c r="B295" s="75" t="inlineStr">
        <is>
          <t>XX век</t>
        </is>
      </c>
      <c r="C295" s="75" t="inlineStr">
        <is>
          <t>диапазон</t>
        </is>
      </c>
      <c r="D295" s="75" t="inlineStr">
        <is>
          <t>США</t>
        </is>
      </c>
      <c r="E295" s="75" t="inlineStr">
        <is>
          <t>Вашингтон</t>
        </is>
      </c>
      <c r="F295" s="75" t="inlineStr">
        <is>
          <t>Library of Congress / фотоколлекции</t>
        </is>
      </c>
      <c r="G295" s="75" t="inlineStr">
        <is>
          <t>Большие стеклянные и плёночные негативы требуют отдельной архивной логики: размер, хрупкость, нитратная и ацетатная основа влияют на хранение.</t>
        </is>
      </c>
      <c r="H295" s="75" t="inlineStr">
        <is>
          <t>Фотохимия</t>
        </is>
      </c>
      <c r="I295" s="75" t="inlineStr">
        <is>
          <t>Large negatives preservation</t>
        </is>
      </c>
      <c r="J295" s="75" t="inlineStr">
        <is>
          <t>Большой формат — это не только съёмка, но и ответственность за физический объект изображения.</t>
        </is>
      </c>
      <c r="K295" s="75" t="inlineStr">
        <is>
          <t>Документальные большие негативы</t>
        </is>
      </c>
      <c r="L295" s="75" t="inlineStr">
        <is>
          <t>Современная sheet film практика</t>
        </is>
      </c>
      <c r="M295" s="75" t="inlineStr">
        <is>
          <t>Связь / переход</t>
        </is>
      </c>
      <c r="N295" s="75" t="n">
        <v>4</v>
      </c>
      <c r="O295" s="75" t="inlineStr">
        <is>
          <t>PL-028</t>
        </is>
      </c>
      <c r="P295" s="75" t="inlineStr">
        <is>
          <t>SRC-236</t>
        </is>
      </c>
      <c r="Q295" s="75" t="inlineStr">
        <is>
          <t>Library of Congress — Care, Handling, and Storage of Photographs</t>
        </is>
      </c>
      <c r="R295" s="75" t="inlineStr">
        <is>
          <t>https://www.loc.gov/preservation/care/photolea.html</t>
        </is>
      </c>
      <c r="S295" s="75" t="n">
        <v>5</v>
      </c>
      <c r="T295" s="75" t="inlineStr">
        <is>
          <t>Связать с будущим модулем об отпечатке и хранении работ.</t>
        </is>
      </c>
      <c r="U295" s="75" t="inlineStr">
        <is>
          <t>Большой негатив в архивном конверте; рядом предупреждающие значки nitrate/acetate.</t>
        </is>
      </c>
      <c r="V295" s="75" t="inlineStr">
        <is>
          <t>#PL028 #archive #large-negatives #preservation</t>
        </is>
      </c>
      <c r="W295" s="75" t="n"/>
      <c r="X295" s="75" t="inlineStr">
        <is>
          <t>38.9072, -77.0369</t>
        </is>
      </c>
      <c r="Y295" s="75" t="inlineStr">
        <is>
          <t>Большой формат / архивное хранение</t>
        </is>
      </c>
      <c r="Z295" s="75" t="inlineStr">
        <is>
          <t>Связь / переход</t>
        </is>
      </c>
      <c r="AA295" s="75" t="n"/>
    </row>
    <row r="296" ht="17" customHeight="1" s="72">
      <c r="A296" s="75" t="inlineStr">
        <is>
          <t>PL-HIST-0295</t>
        </is>
      </c>
      <c r="B296" s="75" t="inlineStr">
        <is>
          <t>сегодня</t>
        </is>
      </c>
      <c r="C296" s="75" t="inlineStr">
        <is>
          <t>примерно</t>
        </is>
      </c>
      <c r="D296" s="75" t="inlineStr">
        <is>
          <t>глобально</t>
        </is>
      </c>
      <c r="E296" s="75" t="inlineStr">
        <is>
          <t>современная аналоговая фотография</t>
        </is>
      </c>
      <c r="F296" s="75" t="inlineStr">
        <is>
          <t>ILFORD / Kodak / фотографы</t>
        </is>
      </c>
      <c r="G296" s="75" t="inlineStr">
        <is>
          <t>Sheet film продолжает выпускаться: 4×5 и 8×10 остаются живыми форматами для тех, кому нужен максимальный контроль и медленный процесс.</t>
        </is>
      </c>
      <c r="H296" s="75" t="inlineStr">
        <is>
          <t>Фотохимия</t>
        </is>
      </c>
      <c r="I296" s="75" t="inlineStr">
        <is>
          <t>Modern sheet film availability</t>
        </is>
      </c>
      <c r="J296" s="75" t="inlineStr">
        <is>
          <t>Большой формат не исчезает полностью: он становится осознанным выбором для fine art, архитектуры, пейзажа и лабораторного опыта.</t>
        </is>
      </c>
      <c r="K296" s="75" t="inlineStr">
        <is>
          <t>Архивное хранение больших негативов</t>
        </is>
      </c>
      <c r="L296" s="75" t="inlineStr">
        <is>
          <t>Авторская печать</t>
        </is>
      </c>
      <c r="M296" s="75" t="inlineStr">
        <is>
          <t>Исторически важная ограниченная ветка / художественное возрождение</t>
        </is>
      </c>
      <c r="N296" s="75" t="n">
        <v>4</v>
      </c>
      <c r="O296" s="75" t="inlineStr">
        <is>
          <t>PL-028</t>
        </is>
      </c>
      <c r="P296" s="75" t="inlineStr">
        <is>
          <t>SRC-228</t>
        </is>
      </c>
      <c r="Q296" s="75" t="inlineStr">
        <is>
          <t>ILFORD Photo — FP4 PLUS Sheet Film</t>
        </is>
      </c>
      <c r="R296" s="75" t="inlineStr">
        <is>
          <t>https://www.ilfordphoto.com/fp4-plus-sheet-film</t>
        </is>
      </c>
      <c r="S296" s="75" t="n">
        <v>5</v>
      </c>
      <c r="T296" s="75" t="inlineStr">
        <is>
          <t>Для проекта важно: это мост к fine art print и лабораторной практике.</t>
        </is>
      </c>
      <c r="U296" s="75" t="inlineStr">
        <is>
          <t>Современная коробка sheet film 4×5, тёмная палатка, штатив и видоискатель-лупа.</t>
        </is>
      </c>
      <c r="V296" s="75" t="inlineStr">
        <is>
          <t>#PL028 #sheet-film #4x5 #8x10 #fineart</t>
        </is>
      </c>
      <c r="W296" s="75" t="n"/>
      <c r="X296" s="75" t="n"/>
      <c r="Y296" s="75" t="inlineStr">
        <is>
          <t>Большой формат / современная практика</t>
        </is>
      </c>
      <c r="Z296" s="75" t="inlineStr">
        <is>
          <t>Применение / жанр</t>
        </is>
      </c>
      <c r="AA296" s="75" t="n"/>
    </row>
    <row r="297" ht="17" customHeight="1" s="72">
      <c r="A297" s="75" t="inlineStr">
        <is>
          <t>PL-HIST-0296</t>
        </is>
      </c>
      <c r="B297" s="75" t="inlineStr">
        <is>
          <t>сегодня</t>
        </is>
      </c>
      <c r="C297" s="75" t="inlineStr">
        <is>
          <t>примерно</t>
        </is>
      </c>
      <c r="D297" s="75" t="inlineStr">
        <is>
          <t>глобально</t>
        </is>
      </c>
      <c r="E297" s="75" t="inlineStr">
        <is>
          <t>фотографическая практика</t>
        </is>
      </c>
      <c r="F297" s="75" t="inlineStr">
        <is>
          <t>фотографы</t>
        </is>
      </c>
      <c r="G297" s="75" t="inlineStr">
        <is>
          <t>Главный вывод PL-028: большой формат учит не спешить — сначала построить кадр, фокус, перспективу и свет, потом потратить один лист плёнки.</t>
        </is>
      </c>
      <c r="H297" s="75" t="inlineStr">
        <is>
          <t>Оптические инструменты</t>
        </is>
      </c>
      <c r="I297" s="75" t="inlineStr">
        <is>
          <t>Large format deliberate workflow</t>
        </is>
      </c>
      <c r="J297" s="75" t="inlineStr">
        <is>
          <t>Фотограф получает максимальный контроль, но платит скоростью, весом, стоимостью и сложностью подготовки.</t>
        </is>
      </c>
      <c r="K297" s="75" t="inlineStr">
        <is>
          <t>Современная sheet film практика</t>
        </is>
      </c>
      <c r="L297" s="75" t="inlineStr">
        <is>
          <t>PL-029 — как выбрать первую плёночную камеру</t>
        </is>
      </c>
      <c r="M297" s="75" t="inlineStr">
        <is>
          <t>Связь / переход</t>
        </is>
      </c>
      <c r="N297" s="75" t="n">
        <v>5</v>
      </c>
      <c r="O297" s="75" t="inlineStr">
        <is>
          <t>PL-028</t>
        </is>
      </c>
      <c r="P297" s="75" t="inlineStr">
        <is>
          <t>SRC-237</t>
        </is>
      </c>
      <c r="Q297" s="75" t="inlineStr">
        <is>
          <t>ILFORD Photo — Shooting large format film</t>
        </is>
      </c>
      <c r="R297" s="75" t="inlineStr">
        <is>
          <t>https://www.ilfordphoto.com/shooting-large-format-film/</t>
        </is>
      </c>
      <c r="S297" s="75" t="n">
        <v>5</v>
      </c>
      <c r="T297" s="75" t="inlineStr">
        <is>
          <t>Финал модуля по типам камер: каждая камера формирует темп и мышление фотографа.</t>
        </is>
      </c>
      <c r="U297" s="75" t="inlineStr">
        <is>
          <t>Фотограф под тёмной тканью настраивает 4×5 на штативе; вокруг тишина и медленный свет.</t>
        </is>
      </c>
      <c r="V297" s="75" t="inlineStr">
        <is>
          <t>#PL028 #large-format #slow-photography #camera-choice</t>
        </is>
      </c>
      <c r="W297" s="75" t="n"/>
      <c r="X297" s="75" t="n"/>
      <c r="Y297" s="75" t="inlineStr">
        <is>
          <t>Большой формат / медленный рабочий процесс</t>
        </is>
      </c>
      <c r="Z297" s="75" t="inlineStr">
        <is>
          <t>Связь / переход</t>
        </is>
      </c>
      <c r="AA297" s="75" t="n"/>
    </row>
    <row r="298" ht="17" customHeight="1" s="72">
      <c r="A298" t="inlineStr">
        <is>
          <t>PL-HIST-0297</t>
        </is>
      </c>
      <c r="B298" t="inlineStr">
        <is>
          <t>сегодня</t>
        </is>
      </c>
      <c r="C298" t="inlineStr">
        <is>
          <t>примерно</t>
        </is>
      </c>
      <c r="D298" t="inlineStr">
        <is>
          <t>глобально</t>
        </is>
      </c>
      <c r="E298" t="inlineStr">
        <is>
          <t>вторичный рынок / фотомагазины</t>
        </is>
      </c>
      <c r="F298" t="inlineStr">
        <is>
          <t>новичок / фотограф</t>
        </is>
      </c>
      <c r="G298" t="inlineStr">
        <is>
          <t>Выбор первой плёночной камеры начинается не с легендарной модели, а с понятной задачи: какой формат, какой тип камеры, сколько контроля и насколько легко ей пользоваться.</t>
        </is>
      </c>
      <c r="H298" t="inlineStr">
        <is>
          <t>Оптические инструменты</t>
        </is>
      </c>
      <c r="I298" t="inlineStr">
        <is>
          <t>First film camera choice</t>
        </is>
      </c>
      <c r="J298" t="inlineStr">
        <is>
          <t>Камера становится учебным инструментом: она должна помогать понять кадр, экспозицию и плёнку, а не мешать сложностью или ремонтом.</t>
        </is>
      </c>
      <c r="K298" t="inlineStr">
        <is>
          <t>Большой формат / медленный рабочий процесс</t>
        </is>
      </c>
      <c r="L298" t="inlineStr">
        <is>
          <t>Формат плёнки и доступность сервиса</t>
        </is>
      </c>
      <c r="M298" t="inlineStr">
        <is>
          <t>Связь / переход</t>
        </is>
      </c>
      <c r="N298" t="n">
        <v>5</v>
      </c>
      <c r="O298" t="inlineStr">
        <is>
          <t>PL-029</t>
        </is>
      </c>
      <c r="P298" t="inlineStr">
        <is>
          <t>SRC-241</t>
        </is>
      </c>
      <c r="Q298" t="inlineStr">
        <is>
          <t>B&amp;H eXplora — Tips for Buying Your First Film Camera</t>
        </is>
      </c>
      <c r="R298" t="inlineStr">
        <is>
          <t>https://www.bhphotovideo.com/explora/photography/tips-and-solutions/tips-for-buying-your-first-film-camera</t>
        </is>
      </c>
      <c r="S298" t="n">
        <v>5</v>
      </c>
      <c r="T298" t="inlineStr">
        <is>
          <t>Флагман PL-029: выбрать не «самую красивую», а рабочую и понятную камеру под первый опыт.</t>
        </is>
      </c>
      <c r="U298" t="inlineStr">
        <is>
          <t>На столе три камеры: 35mm SLR, compact и rangefinder; рядом карточка с вопросами «что снимаю? где проявляю? сколько готов контролировать?»</t>
        </is>
      </c>
      <c r="V298" t="inlineStr">
        <is>
          <t>#PL029 #first-film-camera #camera-choice</t>
        </is>
      </c>
      <c r="Y298" t="inlineStr">
        <is>
          <t>Выбор первой камеры / критерии</t>
        </is>
      </c>
      <c r="Z298" t="inlineStr">
        <is>
          <t>Ключевой исторический узел</t>
        </is>
      </c>
      <c r="AA298" t="inlineStr">
        <is>
          <t>да</t>
        </is>
      </c>
    </row>
    <row r="299" ht="17" customHeight="1" s="72">
      <c r="A299" t="inlineStr">
        <is>
          <t>PL-HIST-0298</t>
        </is>
      </c>
      <c r="B299" t="inlineStr">
        <is>
          <t>сегодня</t>
        </is>
      </c>
      <c r="C299" t="inlineStr">
        <is>
          <t>примерно</t>
        </is>
      </c>
      <c r="D299" t="inlineStr">
        <is>
          <t>глобально</t>
        </is>
      </c>
      <c r="E299" t="inlineStr">
        <is>
          <t>магазины плёнки / лаборатории</t>
        </is>
      </c>
      <c r="F299" t="inlineStr">
        <is>
          <t>ILFORD / лаборатории / фотографы</t>
        </is>
      </c>
      <c r="G299" t="inlineStr">
        <is>
          <t>Первый фильтр выбора — формат плёнки: 35 мм проще найти, дешевле пробовать и легче проявлять; 120 даёт больший кадр, но дороже и медленнее; листовая плёнка требует опыта.</t>
        </is>
      </c>
      <c r="H299" t="inlineStr">
        <is>
          <t>Фотохимия</t>
        </is>
      </c>
      <c r="I299" t="inlineStr">
        <is>
          <t>Film format availability</t>
        </is>
      </c>
      <c r="J299" t="inlineStr">
        <is>
          <t>Новичок выбирает не только камеру, но и весь рабочий цикл: купить плёнку, отснять, проявить, отсканировать и повторить.</t>
        </is>
      </c>
      <c r="K299" t="inlineStr">
        <is>
          <t>PL-029 / общий выбор камеры</t>
        </is>
      </c>
      <c r="L299" t="inlineStr">
        <is>
          <t>Тип камеры</t>
        </is>
      </c>
      <c r="M299" t="inlineStr">
        <is>
          <t>Главная линия / пользовательское удобство</t>
        </is>
      </c>
      <c r="N299" t="n">
        <v>5</v>
      </c>
      <c r="O299" t="inlineStr">
        <is>
          <t>PL-029</t>
        </is>
      </c>
      <c r="P299" t="inlineStr">
        <is>
          <t>SRC-218</t>
        </is>
      </c>
      <c r="Q299" t="inlineStr">
        <is>
          <t>ILFORD Photo — Choosing your first ILFORD film</t>
        </is>
      </c>
      <c r="R299" t="inlineStr">
        <is>
          <t>https://www.ilfordphoto.com/choosing-your-first-ilford-film/</t>
        </is>
      </c>
      <c r="S299" t="n">
        <v>5</v>
      </c>
      <c r="T299" t="inlineStr">
        <is>
          <t>Сделать практическое правило: для старта чаще всего 35 мм, если цель — учиться чаще и дешевле.</t>
        </is>
      </c>
      <c r="U299" t="inlineStr">
        <is>
          <t>Инфографика: 35mm canister → 120 roll → 4×5 sheet; рядом стоимость/доступность/сложность.</t>
        </is>
      </c>
      <c r="V299" t="inlineStr">
        <is>
          <t>#PL029 #film-format #35mm #120film #sheetfilm</t>
        </is>
      </c>
      <c r="Y299" t="inlineStr">
        <is>
          <t>Выбор первой камеры / формат плёнки</t>
        </is>
      </c>
      <c r="Z299" t="inlineStr">
        <is>
          <t>Связь / переход</t>
        </is>
      </c>
    </row>
    <row r="300" ht="17" customHeight="1" s="72">
      <c r="A300" t="inlineStr">
        <is>
          <t>PL-HIST-0299</t>
        </is>
      </c>
      <c r="B300" t="inlineStr">
        <is>
          <t>сегодня</t>
        </is>
      </c>
      <c r="C300" t="inlineStr">
        <is>
          <t>примерно</t>
        </is>
      </c>
      <c r="D300" t="inlineStr">
        <is>
          <t>глобально</t>
        </is>
      </c>
      <c r="E300" t="inlineStr">
        <is>
          <t>вторичный рынок</t>
        </is>
      </c>
      <c r="F300" t="inlineStr">
        <is>
          <t>покупатель / мастер</t>
        </is>
      </c>
      <c r="G300" t="inlineStr">
        <is>
          <t>Перед покупкой нужно проверять состояние: затвор, выдержки, протяжку и обратную перемотку, светоуплотнители, батарейный отсек, экспонометр, объектив и следы плесени.</t>
        </is>
      </c>
      <c r="H300" t="inlineStr">
        <is>
          <t>Оптические инструменты</t>
        </is>
      </c>
      <c r="I300" t="inlineStr">
        <is>
          <t>Used camera condition checklist</t>
        </is>
      </c>
      <c r="J300" t="inlineStr">
        <is>
          <t>Камера перестаёт быть просто предметом желания: она становится механизмом, который должен стабильно работать на каждом кадре.</t>
        </is>
      </c>
      <c r="K300" t="inlineStr">
        <is>
          <t>Формат плёнки</t>
        </is>
      </c>
      <c r="L300" t="inlineStr">
        <is>
          <t>Ремонтопригодность</t>
        </is>
      </c>
      <c r="M300" t="inlineStr">
        <is>
          <t>Главная линия / проверка перед покупкой</t>
        </is>
      </c>
      <c r="N300" t="n">
        <v>5</v>
      </c>
      <c r="O300" t="inlineStr">
        <is>
          <t>PL-029</t>
        </is>
      </c>
      <c r="P300" t="inlineStr">
        <is>
          <t>SRC-243</t>
        </is>
      </c>
      <c r="Q300" t="inlineStr">
        <is>
          <t>B&amp;H eXplora — Buying Guide for the Film Photography Student</t>
        </is>
      </c>
      <c r="R300" t="inlineStr">
        <is>
          <t>https://www.bhphotovideo.com/explora/photography/buying-guide/buying-guide-for-the-film-photography-student</t>
        </is>
      </c>
      <c r="S300" t="n">
        <v>5</v>
      </c>
      <c r="T300" t="inlineStr">
        <is>
          <t>Хороший узел для чек-листа перед Avito/eBay/магазином.</t>
        </is>
      </c>
      <c r="U300" t="inlineStr">
        <is>
          <t>Крупный план: открытая задняя крышка камеры, фонарик, тестовая батарейка, список проверок.</t>
        </is>
      </c>
      <c r="V300" t="inlineStr">
        <is>
          <t>#PL029 #used-camera #checklist #repair</t>
        </is>
      </c>
      <c r="Y300" t="inlineStr">
        <is>
          <t>Выбор первой камеры / проверка состояния</t>
        </is>
      </c>
      <c r="Z300" t="inlineStr">
        <is>
          <t>Технология / процесс</t>
        </is>
      </c>
    </row>
    <row r="301" ht="17" customHeight="1" s="72">
      <c r="A301" t="inlineStr">
        <is>
          <t>PL-HIST-0300</t>
        </is>
      </c>
      <c r="B301" t="inlineStr">
        <is>
          <t>сегодня</t>
        </is>
      </c>
      <c r="C301" t="inlineStr">
        <is>
          <t>примерно</t>
        </is>
      </c>
      <c r="D301" t="inlineStr">
        <is>
          <t>глобально</t>
        </is>
      </c>
      <c r="E301" t="inlineStr">
        <is>
          <t>обучение / фотошкола</t>
        </is>
      </c>
      <c r="F301" t="inlineStr">
        <is>
          <t>новичок / преподаватель</t>
        </is>
      </c>
      <c r="G301" t="inlineStr">
        <is>
          <t>Ручная 35-мм SLR часто удобна для обучения: через неё видно, как связаны фокус, диафрагма, выдержка, объектив и кадр.</t>
        </is>
      </c>
      <c r="H301" t="inlineStr">
        <is>
          <t>Оптические инструменты</t>
        </is>
      </c>
      <c r="I301" t="inlineStr">
        <is>
          <t>Manual 35mm SLR for learning</t>
        </is>
      </c>
      <c r="J301" t="inlineStr">
        <is>
          <t>Новичок получает максимум учебного контроля в относительно доступном формате.</t>
        </is>
      </c>
      <c r="K301" t="inlineStr">
        <is>
          <t>Проверка состояния</t>
        </is>
      </c>
      <c r="L301" t="inlineStr">
        <is>
          <t>Механическая независимость</t>
        </is>
      </c>
      <c r="M301" t="inlineStr">
        <is>
          <t>Главная линия / учебная камера</t>
        </is>
      </c>
      <c r="N301" t="n">
        <v>5</v>
      </c>
      <c r="O301" t="inlineStr">
        <is>
          <t>PL-029</t>
        </is>
      </c>
      <c r="P301" t="inlineStr">
        <is>
          <t>SRC-168</t>
        </is>
      </c>
      <c r="Q301" t="inlineStr">
        <is>
          <t>Nikon — FM2 Instruction Manual</t>
        </is>
      </c>
      <c r="R301" t="inlineStr">
        <is>
          <t>https://cdn-10.nikon-cdn.com/pdf/manuals/archive/FM2.pdf</t>
        </is>
      </c>
      <c r="S301" t="n">
        <v>5</v>
      </c>
      <c r="T301" t="inlineStr">
        <is>
          <t>Можно использовать Nikon FM2 как пример, но не как единственный правильный выбор.</t>
        </is>
      </c>
      <c r="U301" t="inlineStr">
        <is>
          <t>35-мм SLR сверху, вокруг подписи: shutter, aperture, focus, film advance.</t>
        </is>
      </c>
      <c r="V301" t="inlineStr">
        <is>
          <t>#PL029 #35mmSLR #manual-camera #learning</t>
        </is>
      </c>
      <c r="Y301" t="inlineStr">
        <is>
          <t>Выбор первой камеры / 35mm SLR</t>
        </is>
      </c>
      <c r="Z301" t="inlineStr">
        <is>
          <t>Инструмент / устройство</t>
        </is>
      </c>
    </row>
    <row r="302" ht="17" customHeight="1" s="72">
      <c r="A302" t="inlineStr">
        <is>
          <t>PL-HIST-0301</t>
        </is>
      </c>
      <c r="B302" t="inlineStr">
        <is>
          <t>сегодня</t>
        </is>
      </c>
      <c r="C302" t="inlineStr">
        <is>
          <t>примерно</t>
        </is>
      </c>
      <c r="D302" t="inlineStr">
        <is>
          <t>глобально</t>
        </is>
      </c>
      <c r="E302" t="inlineStr">
        <is>
          <t>город / улица</t>
        </is>
      </c>
      <c r="F302" t="inlineStr">
        <is>
          <t>фотографы / дальномерные системы</t>
        </is>
      </c>
      <c r="G302" t="inlineStr">
        <is>
          <t>Дальномерная камера хороша для тихой и быстрой съёмки, но требует привыкнуть к отдельному видоискателю, совмещению пятна фокусировки и параллаксу.</t>
        </is>
      </c>
      <c r="H302" t="inlineStr">
        <is>
          <t>Оптические инструменты</t>
        </is>
      </c>
      <c r="I302" t="inlineStr">
        <is>
          <t>Rangefinder as first camera</t>
        </is>
      </c>
      <c r="J302" t="inlineStr">
        <is>
          <t>Выбор камеры зависит от стиля: дальномер даёт наблюдение и компактность, но не показывает кадр через объектив.</t>
        </is>
      </c>
      <c r="K302" t="inlineStr">
        <is>
          <t>35mm SLR</t>
        </is>
      </c>
      <c r="L302" t="inlineStr">
        <is>
          <t>Compact camera</t>
        </is>
      </c>
      <c r="M302" t="inlineStr">
        <is>
          <t>Главная линия / осознанный выбор</t>
        </is>
      </c>
      <c r="N302" t="n">
        <v>4</v>
      </c>
      <c r="O302" t="inlineStr">
        <is>
          <t>PL-029</t>
        </is>
      </c>
      <c r="P302" t="inlineStr">
        <is>
          <t>SRC-196</t>
        </is>
      </c>
      <c r="Q302" t="inlineStr">
        <is>
          <t>B&amp;H Explora — Rangefinder Camera Guide</t>
        </is>
      </c>
      <c r="R302" t="inlineStr">
        <is>
          <t>https://www.bhphotovideo.com/explora/photography/buying-guide/primer-rangefinder-cameras</t>
        </is>
      </c>
      <c r="S302" t="n">
        <v>5</v>
      </c>
      <c r="T302" t="inlineStr">
        <is>
          <t>Уточнить: дальномер может быть прекрасным стартом, но не для всех новичков.</t>
        </is>
      </c>
      <c r="U302" t="inlineStr">
        <is>
          <t>Сцена на улице: фотограф смотрит в рамочный видоискатель, рядом маленькая схема параллакса.</t>
        </is>
      </c>
      <c r="V302" t="inlineStr">
        <is>
          <t>#PL029 #rangefinder #Leica #parallax</t>
        </is>
      </c>
      <c r="Y302" t="inlineStr">
        <is>
          <t>Выбор первой камеры / дальномер</t>
        </is>
      </c>
      <c r="Z302" t="inlineStr">
        <is>
          <t>Инструмент / устройство</t>
        </is>
      </c>
    </row>
    <row r="303" ht="17" customHeight="1" s="72">
      <c r="A303" t="inlineStr">
        <is>
          <t>PL-HIST-0302</t>
        </is>
      </c>
      <c r="B303" t="inlineStr">
        <is>
          <t>сегодня</t>
        </is>
      </c>
      <c r="C303" t="inlineStr">
        <is>
          <t>примерно</t>
        </is>
      </c>
      <c r="D303" t="inlineStr">
        <is>
          <t>глобально</t>
        </is>
      </c>
      <c r="E303" t="inlineStr">
        <is>
          <t>семья / путешествие / улица</t>
        </is>
      </c>
      <c r="F303" t="inlineStr">
        <is>
          <t>новичок / пользователи compact</t>
        </is>
      </c>
      <c r="G303" t="inlineStr">
        <is>
          <t>Компактная point-and-shoot камера снимает быстро и просто: автофокус, автоэкспозиция и встроенная вспышка убирают часть решений, но уменьшают контроль автора.</t>
        </is>
      </c>
      <c r="H303" t="inlineStr">
        <is>
          <t>Оптические инструменты</t>
        </is>
      </c>
      <c r="I303" t="inlineStr">
        <is>
          <t>Point-and-shoot as first camera</t>
        </is>
      </c>
      <c r="J303" t="inlineStr">
        <is>
          <t>Камера становится входом без страха перед настройками, но ученик должен понимать её ограничения.</t>
        </is>
      </c>
      <c r="K303" t="inlineStr">
        <is>
          <t>Дальномерный выбор</t>
        </is>
      </c>
      <c r="L303" t="inlineStr">
        <is>
          <t>Автоматизация / электроника</t>
        </is>
      </c>
      <c r="M303" t="inlineStr">
        <is>
          <t>Главная линия / простота входа</t>
        </is>
      </c>
      <c r="N303" t="n">
        <v>4</v>
      </c>
      <c r="O303" t="inlineStr">
        <is>
          <t>PL-029</t>
        </is>
      </c>
      <c r="P303" t="inlineStr">
        <is>
          <t>SRC-181</t>
        </is>
      </c>
      <c r="Q303" t="inlineStr">
        <is>
          <t>Canon Camera Museum — Sure Shot / AF35M</t>
        </is>
      </c>
      <c r="R303" t="inlineStr">
        <is>
          <t>https://global.canon/en/c-museum/product/film102.html</t>
        </is>
      </c>
      <c r="S303" t="n">
        <v>5</v>
      </c>
      <c r="T303" t="inlineStr">
        <is>
          <t>Хорошая ветка для тех, кто хочет начать с личного дневника, семьи и путешествий.</t>
        </is>
      </c>
      <c r="U303" t="inlineStr">
        <is>
          <t>Компактная камера лежит на билете/карте; на фоне маленькая встроенная вспышка.</t>
        </is>
      </c>
      <c r="V303" t="inlineStr">
        <is>
          <t>#PL029 #compactcamera #pointandshoot #autofocus</t>
        </is>
      </c>
      <c r="Y303" t="inlineStr">
        <is>
          <t>Выбор первой камеры / компакт</t>
        </is>
      </c>
      <c r="Z303" t="inlineStr">
        <is>
          <t>Инструмент / устройство</t>
        </is>
      </c>
    </row>
    <row r="304" ht="17" customHeight="1" s="72">
      <c r="A304" t="inlineStr">
        <is>
          <t>PL-HIST-0303</t>
        </is>
      </c>
      <c r="B304" t="inlineStr">
        <is>
          <t>сегодня</t>
        </is>
      </c>
      <c r="C304" t="inlineStr">
        <is>
          <t>примерно</t>
        </is>
      </c>
      <c r="D304" t="inlineStr">
        <is>
          <t>глобально</t>
        </is>
      </c>
      <c r="E304" t="inlineStr">
        <is>
          <t>студия / пейзаж / fine art</t>
        </is>
      </c>
      <c r="F304" t="inlineStr">
        <is>
          <t>среднеформатные и крупноформатные фотографы</t>
        </is>
      </c>
      <c r="G304" t="inlineStr">
        <is>
          <t>Средний и большой формат могут дать больше площади кадра и детализации, но для первой камеры часто усложняют старт: меньше кадров, выше цена ошибки, медленнее процесс.</t>
        </is>
      </c>
      <c r="H304" t="inlineStr">
        <is>
          <t>Оптические инструменты</t>
        </is>
      </c>
      <c r="I304" t="inlineStr">
        <is>
          <t>Medium and large format as advanced choice</t>
        </is>
      </c>
      <c r="J304" t="inlineStr">
        <is>
          <t>Формат — это компромисс между качеством, скоростью, стоимостью и количеством практики.</t>
        </is>
      </c>
      <c r="K304" t="inlineStr">
        <is>
          <t>Compact camera</t>
        </is>
      </c>
      <c r="L304" t="inlineStr">
        <is>
          <t>Цена владения</t>
        </is>
      </c>
      <c r="M304" t="inlineStr">
        <is>
          <t>Связь / переход</t>
        </is>
      </c>
      <c r="N304" t="n">
        <v>4</v>
      </c>
      <c r="O304" t="inlineStr">
        <is>
          <t>PL-029</t>
        </is>
      </c>
      <c r="P304" t="inlineStr">
        <is>
          <t>SRC-237</t>
        </is>
      </c>
      <c r="Q304" t="inlineStr">
        <is>
          <t>ILFORD Photo — Shooting large format film</t>
        </is>
      </c>
      <c r="R304" t="inlineStr">
        <is>
          <t>https://www.ilfordphoto.com/shooting-large-format-film/</t>
        </is>
      </c>
      <c r="S304" t="n">
        <v>5</v>
      </c>
      <c r="T304" t="inlineStr">
        <is>
          <t>Связать с уроками PL-027/028: не запрещать, а объяснить цену выбора.</t>
        </is>
      </c>
      <c r="U304" t="inlineStr">
        <is>
          <t>Три стопки: 36 кадров 35 мм, 12 кадров 120, один лист 4×5; подпись «скорость / цена / контроль».</t>
        </is>
      </c>
      <c r="V304" t="inlineStr">
        <is>
          <t>#PL029 #mediumformat #largeformat #learning-curve</t>
        </is>
      </c>
      <c r="Y304" t="inlineStr">
        <is>
          <t>Выбор первой камеры / формат и цена ошибки</t>
        </is>
      </c>
      <c r="Z304" t="inlineStr">
        <is>
          <t>Связь / переход</t>
        </is>
      </c>
    </row>
    <row r="305" ht="17" customHeight="1" s="72">
      <c r="A305" t="inlineStr">
        <is>
          <t>PL-HIST-0304</t>
        </is>
      </c>
      <c r="B305" t="inlineStr">
        <is>
          <t>сегодня</t>
        </is>
      </c>
      <c r="C305" t="inlineStr">
        <is>
          <t>примерно</t>
        </is>
      </c>
      <c r="D305" t="inlineStr">
        <is>
          <t>глобально</t>
        </is>
      </c>
      <c r="E305" t="inlineStr">
        <is>
          <t>вторичный рынок объективов</t>
        </is>
      </c>
      <c r="F305" t="inlineStr">
        <is>
          <t>фотограф / продавец</t>
        </is>
      </c>
      <c r="G305" t="inlineStr">
        <is>
          <t>При выборе системы важен объектив: байонет, доступность 50 мм или 35 мм, цена оптики и возможность ремонта часто важнее редкости корпуса.</t>
        </is>
      </c>
      <c r="H305" t="inlineStr">
        <is>
          <t>Оптические инструменты</t>
        </is>
      </c>
      <c r="I305" t="inlineStr">
        <is>
          <t>Lens and mount ecosystem</t>
        </is>
      </c>
      <c r="J305" t="inlineStr">
        <is>
          <t>Новичок выбирает не корпус отдельно, а систему: камера + объектив + расходники + сервис.</t>
        </is>
      </c>
      <c r="K305" t="inlineStr">
        <is>
          <t>Формат и цена ошибки</t>
        </is>
      </c>
      <c r="L305" t="inlineStr">
        <is>
          <t>Батарейки и экспонометр</t>
        </is>
      </c>
      <c r="M305" t="inlineStr">
        <is>
          <t>Главная линия / системный выбор</t>
        </is>
      </c>
      <c r="N305" t="n">
        <v>5</v>
      </c>
      <c r="O305" t="inlineStr">
        <is>
          <t>PL-029</t>
        </is>
      </c>
      <c r="P305" t="inlineStr">
        <is>
          <t>SRC-241</t>
        </is>
      </c>
      <c r="Q305" t="inlineStr">
        <is>
          <t>B&amp;H eXplora — Tips for Buying Your First Film Camera</t>
        </is>
      </c>
      <c r="R305" t="inlineStr">
        <is>
          <t>https://www.bhphotovideo.com/explora/photography/tips-and-solutions/tips-for-buying-your-first-film-camera</t>
        </is>
      </c>
      <c r="S305" t="n">
        <v>5</v>
      </c>
      <c r="T305" t="inlineStr">
        <is>
          <t>Подвести к Модулю 4: объектив будет следующим большим разделом курса.</t>
        </is>
      </c>
      <c r="U305" t="inlineStr">
        <is>
          <t>Камера без объектива и три объектива рядом; золотая линия показывает совместимость байонета.</t>
        </is>
      </c>
      <c r="V305" t="inlineStr">
        <is>
          <t>#PL029 #lensmount #50mm #system-choice</t>
        </is>
      </c>
      <c r="Y305" t="inlineStr">
        <is>
          <t>Выбор первой камеры / система и объектив</t>
        </is>
      </c>
      <c r="Z305" t="inlineStr">
        <is>
          <t>Связь / переход</t>
        </is>
      </c>
    </row>
    <row r="306" ht="17" customHeight="1" s="72">
      <c r="A306" t="inlineStr">
        <is>
          <t>PL-HIST-0305</t>
        </is>
      </c>
      <c r="B306" t="inlineStr">
        <is>
          <t>сегодня</t>
        </is>
      </c>
      <c r="C306" t="inlineStr">
        <is>
          <t>примерно</t>
        </is>
      </c>
      <c r="D306" t="inlineStr">
        <is>
          <t>глобально</t>
        </is>
      </c>
      <c r="E306" t="inlineStr">
        <is>
          <t>вторичный рынок</t>
        </is>
      </c>
      <c r="F306" t="inlineStr">
        <is>
          <t>покупатель / мастер</t>
        </is>
      </c>
      <c r="G306" t="inlineStr">
        <is>
          <t>Батарейки и экспонометр нужно проверять отдельно: одни камеры полностью механические, другие без питания теряют замер, автоматику или вообще работоспособность.</t>
        </is>
      </c>
      <c r="H306" t="inlineStr">
        <is>
          <t>Оптические инструменты</t>
        </is>
      </c>
      <c r="I306" t="inlineStr">
        <is>
          <t>Battery / light meter dependency</t>
        </is>
      </c>
      <c r="J306" t="inlineStr">
        <is>
          <t>Выбор камеры становится вопросом надёжности: чем больше электроники, тем важнее состояние питания и контактов.</t>
        </is>
      </c>
      <c r="K306" t="inlineStr">
        <is>
          <t>Система и объектив</t>
        </is>
      </c>
      <c r="L306" t="inlineStr">
        <is>
          <t>Цена владения</t>
        </is>
      </c>
      <c r="M306" t="inlineStr">
        <is>
          <t>Главная линия / эксплуатационная проверка</t>
        </is>
      </c>
      <c r="N306" t="n">
        <v>5</v>
      </c>
      <c r="O306" t="inlineStr">
        <is>
          <t>PL-029</t>
        </is>
      </c>
      <c r="P306" t="inlineStr">
        <is>
          <t>SRC-169</t>
        </is>
      </c>
      <c r="Q306" t="inlineStr">
        <is>
          <t>Leica — M-A (Typ 127)</t>
        </is>
      </c>
      <c r="R306" t="inlineStr">
        <is>
          <t>https://leica-camera.com/en-US/photography/cameras/m/m-a-typ-127-black</t>
        </is>
      </c>
      <c r="S306" t="n">
        <v>5</v>
      </c>
      <c r="T306" t="inlineStr">
        <is>
          <t>Leica M-A — пример полностью механической камеры; AE/AF compact — пример зависимости от электроники.</t>
        </is>
      </c>
      <c r="U306" t="inlineStr">
        <is>
          <t>Две камеры: механическая без батарейки и compact с открытым батарейным отсеком.</t>
        </is>
      </c>
      <c r="V306" t="inlineStr">
        <is>
          <t>#PL029 #battery #lightmeter #mechanicalcamera</t>
        </is>
      </c>
      <c r="Y306" t="inlineStr">
        <is>
          <t>Выбор первой камеры / батарейки и экспонометр</t>
        </is>
      </c>
      <c r="Z306" t="inlineStr">
        <is>
          <t>Технология / процесс</t>
        </is>
      </c>
    </row>
    <row r="307" ht="17" customHeight="1" s="72">
      <c r="A307" t="inlineStr">
        <is>
          <t>PL-HIST-0306</t>
        </is>
      </c>
      <c r="B307" t="inlineStr">
        <is>
          <t>сегодня</t>
        </is>
      </c>
      <c r="C307" t="inlineStr">
        <is>
          <t>примерно</t>
        </is>
      </c>
      <c r="D307" t="inlineStr">
        <is>
          <t>глобально</t>
        </is>
      </c>
      <c r="E307" t="inlineStr">
        <is>
          <t>покупка / лаборатория</t>
        </is>
      </c>
      <c r="F307" t="inlineStr">
        <is>
          <t>новичок</t>
        </is>
      </c>
      <c r="G307" t="inlineStr">
        <is>
          <t>Реальная цена первой плёночной камеры — это не только корпус: объектив, батарейки, ремень, плёнка, проявка, сканирование, возможный ремонт и первые испорченные кадры.</t>
        </is>
      </c>
      <c r="H307" t="inlineStr">
        <is>
          <t>Печать / тиражирование</t>
        </is>
      </c>
      <c r="I307" t="inlineStr">
        <is>
          <t>Total cost of film camera ownership</t>
        </is>
      </c>
      <c r="J307" t="inlineStr">
        <is>
          <t>Плёночная фотография становится циклом расходов и повторений; чем проще цикл, тем быстрее растёт навык.</t>
        </is>
      </c>
      <c r="K307" t="inlineStr">
        <is>
          <t>Батарейки и экспонометр</t>
        </is>
      </c>
      <c r="L307" t="inlineStr">
        <is>
          <t>Матрица выбора</t>
        </is>
      </c>
      <c r="M307" t="inlineStr">
        <is>
          <t>Главная линия / практическая экономика</t>
        </is>
      </c>
      <c r="N307" t="n">
        <v>5</v>
      </c>
      <c r="O307" t="inlineStr">
        <is>
          <t>PL-029</t>
        </is>
      </c>
      <c r="P307" t="inlineStr">
        <is>
          <t>SRC-243</t>
        </is>
      </c>
      <c r="Q307" t="inlineStr">
        <is>
          <t>B&amp;H eXplora — Buying Guide for the Film Photography Student</t>
        </is>
      </c>
      <c r="R307" t="inlineStr">
        <is>
          <t>https://www.bhphotovideo.com/explora/photography/buying-guide/buying-guide-for-the-film-photography-student</t>
        </is>
      </c>
      <c r="S307" t="n">
        <v>5</v>
      </c>
      <c r="T307" t="inlineStr">
        <is>
          <t>Сделать честный блок: лучше рабочая простая камера + плёнка, чем дорогая легенда без практики.</t>
        </is>
      </c>
      <c r="U307" t="inlineStr">
        <is>
          <t>Чек-лист бюджета: body / lens / film / dev / scan / repair.</t>
        </is>
      </c>
      <c r="V307" t="inlineStr">
        <is>
          <t>#PL029 #budget #film-cost #devscan</t>
        </is>
      </c>
      <c r="Y307" t="inlineStr">
        <is>
          <t>Выбор первой камеры / цена владения</t>
        </is>
      </c>
      <c r="Z307" t="inlineStr">
        <is>
          <t>Распространение / коммерциализация</t>
        </is>
      </c>
    </row>
    <row r="308" ht="17" customHeight="1" s="72">
      <c r="A308" t="inlineStr">
        <is>
          <t>PL-HIST-0307</t>
        </is>
      </c>
      <c r="B308" t="inlineStr">
        <is>
          <t>сегодня</t>
        </is>
      </c>
      <c r="C308" t="inlineStr">
        <is>
          <t>примерно</t>
        </is>
      </c>
      <c r="D308" t="inlineStr">
        <is>
          <t>глобально</t>
        </is>
      </c>
      <c r="E308" t="inlineStr">
        <is>
          <t>PHOTO LAB / обучение</t>
        </is>
      </c>
      <c r="F308" t="inlineStr">
        <is>
          <t>PHOTO LAB by VF</t>
        </is>
      </c>
      <c r="G308" t="inlineStr">
        <is>
          <t>Итоговый выбор можно свести к матрице: хочу учиться настройкам — 35-мм SLR; хочу лёгкий дневник — compact; хочу тихую улицу — rangefinder; хочу качество и медленный ритм — средний формат.</t>
        </is>
      </c>
      <c r="H308" t="inlineStr">
        <is>
          <t>Оптические инструменты</t>
        </is>
      </c>
      <c r="I308" t="inlineStr">
        <is>
          <t>First camera decision matrix</t>
        </is>
      </c>
      <c r="J308" t="inlineStr">
        <is>
          <t>Камера выбирается под поведение фотографа, а не под статус модели.</t>
        </is>
      </c>
      <c r="K308" t="inlineStr">
        <is>
          <t>Цена владения</t>
        </is>
      </c>
      <c r="L308" t="inlineStr">
        <is>
          <t>PL-030 — роль автора</t>
        </is>
      </c>
      <c r="M308" t="inlineStr">
        <is>
          <t>Связь / переход</t>
        </is>
      </c>
      <c r="N308" t="n">
        <v>5</v>
      </c>
      <c r="O308" t="inlineStr">
        <is>
          <t>PL-029</t>
        </is>
      </c>
      <c r="P308" t="inlineStr">
        <is>
          <t>SRC-242</t>
        </is>
      </c>
      <c r="Q308" t="inlineStr">
        <is>
          <t>B&amp;H eXplora — Best Film and Camera Combos: A Guide for Beginners</t>
        </is>
      </c>
      <c r="R308" t="inlineStr">
        <is>
          <t>https://www.bhphotovideo.com/explora/videos/photography/best-film-and-camera-combos-a-guide-for-beginners</t>
        </is>
      </c>
      <c r="S308" t="n">
        <v>5</v>
      </c>
      <c r="T308" t="inlineStr">
        <is>
          <t>Финал PL-029 и мост к PL-030: камера помогает, но не делает фотографа.</t>
        </is>
      </c>
      <c r="U308" t="inlineStr">
        <is>
          <t>Четыре карточки выбора с иконками: учёба / дневник / улица / медленный fine art.</t>
        </is>
      </c>
      <c r="V308" t="inlineStr">
        <is>
          <t>#PL029 #decision-matrix #first-camera #photolab</t>
        </is>
      </c>
      <c r="Y308" t="inlineStr">
        <is>
          <t>Выбор первой камеры / матрица решения</t>
        </is>
      </c>
      <c r="Z308" t="inlineStr">
        <is>
          <t>Связь / переход</t>
        </is>
      </c>
    </row>
    <row r="309" ht="17" customHeight="1" s="72">
      <c r="A309" t="inlineStr">
        <is>
          <t>PL-HIST-0308</t>
        </is>
      </c>
      <c r="B309" t="inlineStr">
        <is>
          <t>сегодня</t>
        </is>
      </c>
      <c r="C309" t="inlineStr">
        <is>
          <t>примерно</t>
        </is>
      </c>
      <c r="D309" t="inlineStr">
        <is>
          <t>глобально</t>
        </is>
      </c>
      <c r="E309" t="inlineStr">
        <is>
          <t>фотографическая практика</t>
        </is>
      </c>
      <c r="F309" t="inlineStr">
        <is>
          <t>фотограф</t>
        </is>
      </c>
      <c r="G309" t="inlineStr">
        <is>
          <t>Камера не делает фотографию за автора: она фиксирует свет, но не выбирает тему, момент, дистанцию, свет, рамку и смысл кадра.</t>
        </is>
      </c>
      <c r="H309" t="inlineStr">
        <is>
          <t>Оптические инструменты</t>
        </is>
      </c>
      <c r="I309" t="inlineStr">
        <is>
          <t>Camera as tool, not author</t>
        </is>
      </c>
      <c r="J309" t="inlineStr">
        <is>
          <t>Фокус обучения смещается с покупки техники на зрение, решение и ответственность фотографа.</t>
        </is>
      </c>
      <c r="K309" t="inlineStr">
        <is>
          <t>PL-029 — выбор камеры</t>
        </is>
      </c>
      <c r="L309" t="inlineStr">
        <is>
          <t>Куда смотреть и когда нажать</t>
        </is>
      </c>
      <c r="M309" t="inlineStr">
        <is>
          <t>Связь / переход</t>
        </is>
      </c>
      <c r="N309" t="n">
        <v>5</v>
      </c>
      <c r="O309" t="inlineStr">
        <is>
          <t>PL-030</t>
        </is>
      </c>
      <c r="P309" t="inlineStr">
        <is>
          <t>SRC-250</t>
        </is>
      </c>
      <c r="Q309" t="inlineStr">
        <is>
          <t>B&amp;H eXplora — Introduction to Learning Photography</t>
        </is>
      </c>
      <c r="R309" t="inlineStr">
        <is>
          <t>https://www.bhphotovideo.com/explora/photography/tips-and-solutions/introduction-to-learning-photography</t>
        </is>
      </c>
      <c r="S309" t="n">
        <v>5</v>
      </c>
      <c r="T309" t="inlineStr">
        <is>
          <t>Флагман PL-030: идеальный финал модуля камер — камера важна, но автор важнее.</t>
        </is>
      </c>
      <c r="U309" t="inlineStr">
        <is>
          <t>Камера лежит на столе, а рядом пустая рамка кадра; за рамкой видна сцена, которую ещё надо заметить.</t>
        </is>
      </c>
      <c r="V309" t="inlineStr">
        <is>
          <t>#PL030 #camera-is-tool #photographer #visual-thinking</t>
        </is>
      </c>
      <c r="Y309" t="inlineStr">
        <is>
          <t>Автор и камера / инструмент</t>
        </is>
      </c>
      <c r="Z309" t="inlineStr">
        <is>
          <t>Ключевой исторический узел</t>
        </is>
      </c>
      <c r="AA309" t="inlineStr">
        <is>
          <t>да</t>
        </is>
      </c>
    </row>
    <row r="310" ht="17" customHeight="1" s="72">
      <c r="A310" t="inlineStr">
        <is>
          <t>PL-HIST-0309</t>
        </is>
      </c>
      <c r="B310" t="inlineStr">
        <is>
          <t>сегодня</t>
        </is>
      </c>
      <c r="C310" t="inlineStr">
        <is>
          <t>примерно</t>
        </is>
      </c>
      <c r="D310" t="inlineStr">
        <is>
          <t>глобально</t>
        </is>
      </c>
      <c r="E310" t="inlineStr">
        <is>
          <t>любой сюжет</t>
        </is>
      </c>
      <c r="F310" t="inlineStr">
        <is>
          <t>фотограф</t>
        </is>
      </c>
      <c r="G310" t="inlineStr">
        <is>
          <t>Перед кадром фотограф принимает три главных решения: где стоять, что включить в рамку и в какой момент нажать спуск.</t>
        </is>
      </c>
      <c r="H310" t="inlineStr">
        <is>
          <t>Оптические инструменты</t>
        </is>
      </c>
      <c r="I310" t="inlineStr">
        <is>
          <t>Position / frame / moment</t>
        </is>
      </c>
      <c r="J310" t="inlineStr">
        <is>
          <t>Фотография появляется не из настроек, а из последовательности авторских решений.</t>
        </is>
      </c>
      <c r="K310" t="inlineStr">
        <is>
          <t>Камера как инструмент</t>
        </is>
      </c>
      <c r="L310" t="inlineStr">
        <is>
          <t>Свет как выбор</t>
        </is>
      </c>
      <c r="M310" t="inlineStr">
        <is>
          <t>Главная линия / визуальное решение</t>
        </is>
      </c>
      <c r="N310" t="n">
        <v>5</v>
      </c>
      <c r="O310" t="inlineStr">
        <is>
          <t>PL-030</t>
        </is>
      </c>
      <c r="P310" t="inlineStr">
        <is>
          <t>SRC-250</t>
        </is>
      </c>
      <c r="Q310" t="inlineStr">
        <is>
          <t>B&amp;H eXplora — Introduction to Learning Photography</t>
        </is>
      </c>
      <c r="R310" t="inlineStr">
        <is>
          <t>https://www.bhphotovideo.com/explora/photography/tips-and-solutions/introduction-to-learning-photography</t>
        </is>
      </c>
      <c r="S310" t="n">
        <v>5</v>
      </c>
      <c r="T310" t="inlineStr">
        <is>
          <t>Хорошее практическое правило: место, рамка, момент.</t>
        </is>
      </c>
      <c r="U310" t="inlineStr">
        <is>
          <t>Схема из трёх золотых точек: позиция → рамка → момент.</t>
        </is>
      </c>
      <c r="V310" t="inlineStr">
        <is>
          <t>#PL030 #frame #moment #position</t>
        </is>
      </c>
      <c r="Y310" t="inlineStr">
        <is>
          <t>Автор и камера / место-рамка-момент</t>
        </is>
      </c>
      <c r="Z310" t="inlineStr">
        <is>
          <t>Технология / процесс</t>
        </is>
      </c>
    </row>
    <row r="311" ht="17" customHeight="1" s="72">
      <c r="A311" t="inlineStr">
        <is>
          <t>PL-HIST-0310</t>
        </is>
      </c>
      <c r="B311" t="inlineStr">
        <is>
          <t>сегодня</t>
        </is>
      </c>
      <c r="C311" t="inlineStr">
        <is>
          <t>примерно</t>
        </is>
      </c>
      <c r="D311" t="inlineStr">
        <is>
          <t>глобально</t>
        </is>
      </c>
      <c r="E311" t="inlineStr">
        <is>
          <t>улица / интерьер / портрет</t>
        </is>
      </c>
      <c r="F311" t="inlineStr">
        <is>
          <t>фотограф</t>
        </is>
      </c>
      <c r="G311" t="inlineStr">
        <is>
          <t>Один и тот же фотоаппарат даст разный результат при разном свете: мягком, жёстком, боковом, контровом или плоском.</t>
        </is>
      </c>
      <c r="H311" t="inlineStr">
        <is>
          <t>Оптические инструменты</t>
        </is>
      </c>
      <c r="I311" t="inlineStr">
        <is>
          <t>Seeing light before settings</t>
        </is>
      </c>
      <c r="J311" t="inlineStr">
        <is>
          <t>Фотограф учится сначала видеть свет, а уже потом крутить настройки.</t>
        </is>
      </c>
      <c r="K311" t="inlineStr">
        <is>
          <t>Место-рамка-момент</t>
        </is>
      </c>
      <c r="L311" t="inlineStr">
        <is>
          <t>Композиция</t>
        </is>
      </c>
      <c r="M311" t="inlineStr">
        <is>
          <t>Главная линия / визуальное мышление</t>
        </is>
      </c>
      <c r="N311" t="n">
        <v>5</v>
      </c>
      <c r="O311" t="inlineStr">
        <is>
          <t>PL-030</t>
        </is>
      </c>
      <c r="P311" t="inlineStr">
        <is>
          <t>SRC-250</t>
        </is>
      </c>
      <c r="Q311" t="inlineStr">
        <is>
          <t>B&amp;H eXplora — Introduction to Learning Photography</t>
        </is>
      </c>
      <c r="R311" t="inlineStr">
        <is>
          <t>https://www.bhphotovideo.com/explora/photography/tips-and-solutions/introduction-to-learning-photography</t>
        </is>
      </c>
      <c r="S311" t="n">
        <v>5</v>
      </c>
      <c r="T311" t="inlineStr">
        <is>
          <t>Связать с будущим модулем «Свет и композиция».</t>
        </is>
      </c>
      <c r="U311" t="inlineStr">
        <is>
          <t>Одна камера, четыре маленьких сцены света: боковой, контровой, мягкий, жёсткий.</t>
        </is>
      </c>
      <c r="V311" t="inlineStr">
        <is>
          <t>#PL030 #light #seeing #visual-thinking</t>
        </is>
      </c>
      <c r="Y311" t="inlineStr">
        <is>
          <t>Автор и камера / видеть свет</t>
        </is>
      </c>
      <c r="Z311" t="inlineStr">
        <is>
          <t>Применение / жанр</t>
        </is>
      </c>
    </row>
    <row r="312" ht="17" customHeight="1" s="72">
      <c r="A312" t="inlineStr">
        <is>
          <t>PL-HIST-0311</t>
        </is>
      </c>
      <c r="B312" t="inlineStr">
        <is>
          <t>сегодня</t>
        </is>
      </c>
      <c r="C312" t="inlineStr">
        <is>
          <t>примерно</t>
        </is>
      </c>
      <c r="D312" t="inlineStr">
        <is>
          <t>глобально</t>
        </is>
      </c>
      <c r="E312" t="inlineStr">
        <is>
          <t>кадр / сцена</t>
        </is>
      </c>
      <c r="F312" t="inlineStr">
        <is>
          <t>фотограф</t>
        </is>
      </c>
      <c r="G312" t="inlineStr">
        <is>
          <t>Композиция — это не сетка в видоискателе, а решение, что оставить внутри кадра, что убрать и как элементы будут работать друг с другом.</t>
        </is>
      </c>
      <c r="H312" t="inlineStr">
        <is>
          <t>Оптические инструменты</t>
        </is>
      </c>
      <c r="I312" t="inlineStr">
        <is>
          <t>Framing and composition</t>
        </is>
      </c>
      <c r="J312" t="inlineStr">
        <is>
          <t>Камера записывает всё внутри рамки, но рамку строит фотограф.</t>
        </is>
      </c>
      <c r="K312" t="inlineStr">
        <is>
          <t>Видеть свет</t>
        </is>
      </c>
      <c r="L312" t="inlineStr">
        <is>
          <t>Момент</t>
        </is>
      </c>
      <c r="M312" t="inlineStr">
        <is>
          <t>Главная линия / композиционное решение</t>
        </is>
      </c>
      <c r="N312" t="n">
        <v>5</v>
      </c>
      <c r="O312" t="inlineStr">
        <is>
          <t>PL-030</t>
        </is>
      </c>
      <c r="P312" t="inlineStr">
        <is>
          <t>SRC-245</t>
        </is>
      </c>
      <c r="Q312" t="inlineStr">
        <is>
          <t>The Metropolitan Museum of Art — Henri Cartier-Bresson, Seville</t>
        </is>
      </c>
      <c r="R312" t="inlineStr">
        <is>
          <t>https://www.metmuseum.org/art/collection/search/283312</t>
        </is>
      </c>
      <c r="S312" t="n">
        <v>5</v>
      </c>
      <c r="T312" t="inlineStr">
        <is>
          <t>Использовать пример Картье-Брессона как мост: форма и событие сходятся в одном кадре.</t>
        </is>
      </c>
      <c r="U312" t="inlineStr">
        <is>
          <t>Через видоискатель видны линии улицы и фигура; часть хаоса остаётся за рамкой.</t>
        </is>
      </c>
      <c r="V312" t="inlineStr">
        <is>
          <t>#PL030 #composition #framing #CartierBresson</t>
        </is>
      </c>
      <c r="Y312" t="inlineStr">
        <is>
          <t>Автор и камера / композиция</t>
        </is>
      </c>
      <c r="Z312" t="inlineStr">
        <is>
          <t>Применение / жанр</t>
        </is>
      </c>
    </row>
    <row r="313" ht="17" customHeight="1" s="72">
      <c r="A313" t="inlineStr">
        <is>
          <t>PL-HIST-0312</t>
        </is>
      </c>
      <c r="B313" t="inlineStr">
        <is>
          <t>сегодня</t>
        </is>
      </c>
      <c r="C313" t="inlineStr">
        <is>
          <t>примерно</t>
        </is>
      </c>
      <c r="D313" t="inlineStr">
        <is>
          <t>Франция / США</t>
        </is>
      </c>
      <c r="E313" t="inlineStr">
        <is>
          <t>Париж / Нью-Йорк</t>
        </is>
      </c>
      <c r="F313" t="inlineStr">
        <is>
          <t>Henri Cartier-Bresson / ICP / MoMA</t>
        </is>
      </c>
      <c r="G313" t="inlineStr">
        <is>
          <t>Идея «решающего момента» показывает, что фотография зависит от мгновения: форма, жест и смысл должны встретиться до нажатия спуска.</t>
        </is>
      </c>
      <c r="H313" t="inlineStr">
        <is>
          <t>Оптические инструменты</t>
        </is>
      </c>
      <c r="I313" t="inlineStr">
        <is>
          <t>Decisive moment</t>
        </is>
      </c>
      <c r="J313" t="inlineStr">
        <is>
          <t>Даже самая дорогая камера не знает, когда сцена стала выразительной; это должен почувствовать фотограф.</t>
        </is>
      </c>
      <c r="K313" t="inlineStr">
        <is>
          <t>Композиция</t>
        </is>
      </c>
      <c r="L313" t="inlineStr">
        <is>
          <t>Дистанция</t>
        </is>
      </c>
      <c r="M313" t="inlineStr">
        <is>
          <t>Главная линия / момент</t>
        </is>
      </c>
      <c r="N313" t="n">
        <v>5</v>
      </c>
      <c r="O313" t="inlineStr">
        <is>
          <t>PL-030</t>
        </is>
      </c>
      <c r="P313" t="inlineStr">
        <is>
          <t>SRC-249</t>
        </is>
      </c>
      <c r="Q313" t="inlineStr">
        <is>
          <t>International Center of Photography — Henri Cartier-Bresson</t>
        </is>
      </c>
      <c r="R313" t="inlineStr">
        <is>
          <t>https://www.icp.org/browse/archive/constituents/henri-cartier-bresson</t>
        </is>
      </c>
      <c r="S313" t="n">
        <v>5</v>
      </c>
      <c r="T313" t="inlineStr">
        <is>
          <t>Не романтизировать фразу, а объяснить как практику внимания к событию и форме.</t>
        </is>
      </c>
      <c r="U313" t="inlineStr">
        <is>
          <t>Фигура пересекает светлое пятно; палец у кнопки спуска, но кадр ещё ждёт долю секунды.</t>
        </is>
      </c>
      <c r="V313" t="inlineStr">
        <is>
          <t>#PL030 #decisivemoment #CartierBresson #moment</t>
        </is>
      </c>
      <c r="Y313" t="inlineStr">
        <is>
          <t>Автор и камера / решающий момент</t>
        </is>
      </c>
      <c r="Z313" t="inlineStr">
        <is>
          <t>Терминология / язык</t>
        </is>
      </c>
    </row>
    <row r="314" ht="17" customHeight="1" s="72">
      <c r="A314" t="inlineStr">
        <is>
          <t>PL-HIST-0313</t>
        </is>
      </c>
      <c r="B314" t="inlineStr">
        <is>
          <t>сегодня</t>
        </is>
      </c>
      <c r="C314" t="inlineStr">
        <is>
          <t>примерно</t>
        </is>
      </c>
      <c r="D314" t="inlineStr">
        <is>
          <t>глобально</t>
        </is>
      </c>
      <c r="E314" t="inlineStr">
        <is>
          <t>улица / портрет / предмет</t>
        </is>
      </c>
      <c r="F314" t="inlineStr">
        <is>
          <t>фотограф</t>
        </is>
      </c>
      <c r="G314" t="inlineStr">
        <is>
          <t>Дистанция меняет фотографию: шаг ближе делает кадр интимнее и активнее, шаг дальше даёт контекст и воздух.</t>
        </is>
      </c>
      <c r="H314" t="inlineStr">
        <is>
          <t>Оптические инструменты</t>
        </is>
      </c>
      <c r="I314" t="inlineStr">
        <is>
          <t>Distance and viewpoint</t>
        </is>
      </c>
      <c r="J314" t="inlineStr">
        <is>
          <t>Фотограф управляет отношением к объекту ногами и позицией, а не только объективом.</t>
        </is>
      </c>
      <c r="K314" t="inlineStr">
        <is>
          <t>Момент</t>
        </is>
      </c>
      <c r="L314" t="inlineStr">
        <is>
          <t>Фокусное расстояние</t>
        </is>
      </c>
      <c r="M314" t="inlineStr">
        <is>
          <t>Главная линия / точка съёмки</t>
        </is>
      </c>
      <c r="N314" t="n">
        <v>5</v>
      </c>
      <c r="O314" t="inlineStr">
        <is>
          <t>PL-030</t>
        </is>
      </c>
      <c r="P314" t="inlineStr">
        <is>
          <t>SRC-252</t>
        </is>
      </c>
      <c r="Q314" t="inlineStr">
        <is>
          <t>Cambridge in Colour — Understanding Camera Lenses</t>
        </is>
      </c>
      <c r="R314" t="inlineStr">
        <is>
          <t>https://www.cambridgeincolour.com/tutorials/camera-lenses.htm</t>
        </is>
      </c>
      <c r="S314" t="n">
        <v>5</v>
      </c>
      <c r="T314" t="inlineStr">
        <is>
          <t>Важный мост к PL-033: перспектива определяется положением камеры.</t>
        </is>
      </c>
      <c r="U314" t="inlineStr">
        <is>
          <t>Две рамки одной сцены: близко — жест и лицо; далеко — человек в среде.</t>
        </is>
      </c>
      <c r="V314" t="inlineStr">
        <is>
          <t>#PL030 #distance #viewpoint #perspective</t>
        </is>
      </c>
      <c r="Y314" t="inlineStr">
        <is>
          <t>Автор и камера / дистанция</t>
        </is>
      </c>
      <c r="Z314" t="inlineStr">
        <is>
          <t>Применение / жанр</t>
        </is>
      </c>
    </row>
    <row r="315" ht="17" customHeight="1" s="72">
      <c r="A315" t="inlineStr">
        <is>
          <t>PL-HIST-0314</t>
        </is>
      </c>
      <c r="B315" t="inlineStr">
        <is>
          <t>сегодня</t>
        </is>
      </c>
      <c r="C315" t="inlineStr">
        <is>
          <t>примерно</t>
        </is>
      </c>
      <c r="D315" t="inlineStr">
        <is>
          <t>глобально</t>
        </is>
      </c>
      <c r="E315" t="inlineStr">
        <is>
          <t>объективы / кадр</t>
        </is>
      </c>
      <c r="F315" t="inlineStr">
        <is>
          <t>фотограф</t>
        </is>
      </c>
      <c r="G315" t="inlineStr">
        <is>
          <t>Объектив помогает выбрать угол зрения и масштаб, но он не заменяет взгляда: 28 мм, 50 мм и 85 мм дают разные языки только в руках думающего автора.</t>
        </is>
      </c>
      <c r="H315" t="inlineStr">
        <is>
          <t>Оптические инструменты</t>
        </is>
      </c>
      <c r="I315" t="inlineStr">
        <is>
          <t>Lens as visual language</t>
        </is>
      </c>
      <c r="J315" t="inlineStr">
        <is>
          <t>Техника превращается в выразительный выбор, когда фотограф понимает, зачем ему это фокусное расстояние.</t>
        </is>
      </c>
      <c r="K315" t="inlineStr">
        <is>
          <t>Дистанция</t>
        </is>
      </c>
      <c r="L315" t="inlineStr">
        <is>
          <t>Отбор кадра</t>
        </is>
      </c>
      <c r="M315" t="inlineStr">
        <is>
          <t>Связь / переход</t>
        </is>
      </c>
      <c r="N315" t="n">
        <v>5</v>
      </c>
      <c r="O315" t="inlineStr">
        <is>
          <t>PL-030</t>
        </is>
      </c>
      <c r="P315" t="inlineStr">
        <is>
          <t>SRC-252</t>
        </is>
      </c>
      <c r="Q315" t="inlineStr">
        <is>
          <t>Cambridge in Colour — Understanding Camera Lenses</t>
        </is>
      </c>
      <c r="R315" t="inlineStr">
        <is>
          <t>https://www.cambridgeincolour.com/tutorials/camera-lenses.htm</t>
        </is>
      </c>
      <c r="S315" t="n">
        <v>5</v>
      </c>
      <c r="T315" t="inlineStr">
        <is>
          <t>Прямой мост к Модулю 4 об объективах.</t>
        </is>
      </c>
      <c r="U315" t="inlineStr">
        <is>
          <t>Три кадра одной сцены с подписью 28 / 50 / 85 мм; разная эмоция пространства.</t>
        </is>
      </c>
      <c r="V315" t="inlineStr">
        <is>
          <t>#PL030 #lens-language #focallength #visual-choice</t>
        </is>
      </c>
      <c r="Y315" t="inlineStr">
        <is>
          <t>Автор и камера / объектив как язык</t>
        </is>
      </c>
      <c r="Z315" t="inlineStr">
        <is>
          <t>Связь / переход</t>
        </is>
      </c>
    </row>
    <row r="316" ht="17" customHeight="1" s="72">
      <c r="A316" t="inlineStr">
        <is>
          <t>PL-HIST-0315</t>
        </is>
      </c>
      <c r="B316" t="inlineStr">
        <is>
          <t>сегодня</t>
        </is>
      </c>
      <c r="C316" t="inlineStr">
        <is>
          <t>примерно</t>
        </is>
      </c>
      <c r="D316" t="inlineStr">
        <is>
          <t>глобально</t>
        </is>
      </c>
      <c r="E316" t="inlineStr">
        <is>
          <t>портрет / документальная съёмка</t>
        </is>
      </c>
      <c r="F316" t="inlineStr">
        <is>
          <t>фотограф / герой кадра</t>
        </is>
      </c>
      <c r="G316" t="inlineStr">
        <is>
          <t>В портрете и документальной съёмке камера не решает отношение к человеку: уважение, дистанция, доверие и момент взаимодействия остаются за автором.</t>
        </is>
      </c>
      <c r="H316" t="inlineStr">
        <is>
          <t>Оптические инструменты</t>
        </is>
      </c>
      <c r="I316" t="inlineStr">
        <is>
          <t>Human relationship in photography</t>
        </is>
      </c>
      <c r="J316" t="inlineStr">
        <is>
          <t>Фотография становится не только техническим, но и этическим действием.</t>
        </is>
      </c>
      <c r="K316" t="inlineStr">
        <is>
          <t>Объектив как язык</t>
        </is>
      </c>
      <c r="L316" t="inlineStr">
        <is>
          <t>Редактирование и отбор</t>
        </is>
      </c>
      <c r="M316" t="inlineStr">
        <is>
          <t>Главная линия / авторская ответственность</t>
        </is>
      </c>
      <c r="N316" t="n">
        <v>4</v>
      </c>
      <c r="O316" t="inlineStr">
        <is>
          <t>PL-030</t>
        </is>
      </c>
      <c r="P316" t="inlineStr">
        <is>
          <t>SRC-247</t>
        </is>
      </c>
      <c r="Q316" t="inlineStr">
        <is>
          <t>SFMOMA — Henri Cartier-Bresson: The Modern Century</t>
        </is>
      </c>
      <c r="R316" t="inlineStr">
        <is>
          <t>https://www.sfmoma.org/exhibition/henri-cartier-bresson/</t>
        </is>
      </c>
      <c r="S316" t="n">
        <v>5</v>
      </c>
      <c r="T316" t="inlineStr">
        <is>
          <t>Сильно, но без морализаторства: человек в кадре не «объект», а участник ситуации.</t>
        </is>
      </c>
      <c r="U316" t="inlineStr">
        <is>
          <t>Фотограф опускает камеру и разговаривает с человеком перед портретом.</t>
        </is>
      </c>
      <c r="V316" t="inlineStr">
        <is>
          <t>#PL030 #portrait #documentary #ethics</t>
        </is>
      </c>
      <c r="Y316" t="inlineStr">
        <is>
          <t>Автор и камера / отношение к человеку</t>
        </is>
      </c>
      <c r="Z316" t="inlineStr">
        <is>
          <t>Применение / жанр</t>
        </is>
      </c>
    </row>
    <row r="317" ht="17" customHeight="1" s="72">
      <c r="A317" t="inlineStr">
        <is>
          <t>PL-HIST-0316</t>
        </is>
      </c>
      <c r="B317" t="inlineStr">
        <is>
          <t>сегодня</t>
        </is>
      </c>
      <c r="C317" t="inlineStr">
        <is>
          <t>примерно</t>
        </is>
      </c>
      <c r="D317" t="inlineStr">
        <is>
          <t>глобально</t>
        </is>
      </c>
      <c r="E317" t="inlineStr">
        <is>
          <t>редакция / лаборатория / печать</t>
        </is>
      </c>
      <c r="F317" t="inlineStr">
        <is>
          <t>фотограф / редактор</t>
        </is>
      </c>
      <c r="G317" t="inlineStr">
        <is>
          <t>Авторство продолжается после нажатия на спуск: выбор дубля, кадрирование, последовательность, печать и подпись могут изменить смысл работы.</t>
        </is>
      </c>
      <c r="H317" t="inlineStr">
        <is>
          <t>Печать / тиражирование</t>
        </is>
      </c>
      <c r="I317" t="inlineStr">
        <is>
          <t>Editing / sequencing / printing</t>
        </is>
      </c>
      <c r="J317" t="inlineStr">
        <is>
          <t>Кадр — это не только момент съёмки, но и последующая работа с изображением.</t>
        </is>
      </c>
      <c r="K317" t="inlineStr">
        <is>
          <t>Отношение к человеку</t>
        </is>
      </c>
      <c r="L317" t="inlineStr">
        <is>
          <t>Техника как усилитель</t>
        </is>
      </c>
      <c r="M317" t="inlineStr">
        <is>
          <t>Главная линия / авторская работа</t>
        </is>
      </c>
      <c r="N317" t="n">
        <v>5</v>
      </c>
      <c r="O317" t="inlineStr">
        <is>
          <t>PL-030</t>
        </is>
      </c>
      <c r="P317" t="inlineStr">
        <is>
          <t>SRC-248</t>
        </is>
      </c>
      <c r="Q317" t="inlineStr">
        <is>
          <t>The Metropolitan Museum of Art — Faking It</t>
        </is>
      </c>
      <c r="R317" t="inlineStr">
        <is>
          <t>https://www.metmuseum.org/exhibitions/listings/2012/faking-it</t>
        </is>
      </c>
      <c r="S317" t="n">
        <v>5</v>
      </c>
      <c r="T317" t="inlineStr">
        <is>
          <t>Связать с будущими модулями про отбор, отпечаток и коллекционность.</t>
        </is>
      </c>
      <c r="U317" t="inlineStr">
        <is>
          <t>Контактный лист с обведённым кадром; рядом тестовый отпечаток и карандашные пометки.</t>
        </is>
      </c>
      <c r="V317" t="inlineStr">
        <is>
          <t>#PL030 #editing #contactsheet #print</t>
        </is>
      </c>
      <c r="Y317" t="inlineStr">
        <is>
          <t>Автор и камера / отбор и печать</t>
        </is>
      </c>
      <c r="Z317" t="inlineStr">
        <is>
          <t>Тиражирование / публикация</t>
        </is>
      </c>
    </row>
    <row r="318" ht="17" customHeight="1" s="72">
      <c r="A318" t="inlineStr">
        <is>
          <t>PL-HIST-0317</t>
        </is>
      </c>
      <c r="B318" t="inlineStr">
        <is>
          <t>сегодня</t>
        </is>
      </c>
      <c r="C318" t="inlineStr">
        <is>
          <t>примерно</t>
        </is>
      </c>
      <c r="D318" t="inlineStr">
        <is>
          <t>глобально</t>
        </is>
      </c>
      <c r="E318" t="inlineStr">
        <is>
          <t>фотографическая техника</t>
        </is>
      </c>
      <c r="F318" t="inlineStr">
        <is>
          <t>фотограф</t>
        </is>
      </c>
      <c r="G318" t="inlineStr">
        <is>
          <t>Хорошая камера расширяет возможности: быстрее фокусируется, точнее меряет свет, удобнее держится. Но она усиливает решение фотографа, а не создаёт его вместо него.</t>
        </is>
      </c>
      <c r="H318" t="inlineStr">
        <is>
          <t>Оптические инструменты</t>
        </is>
      </c>
      <c r="I318" t="inlineStr">
        <is>
          <t>Camera capability vs photographic decision</t>
        </is>
      </c>
      <c r="J318" t="inlineStr">
        <is>
          <t>Техника важна, но она не должна становиться оправданием отсутствия идеи, света и кадра.</t>
        </is>
      </c>
      <c r="K318" t="inlineStr">
        <is>
          <t>Отбор и печать</t>
        </is>
      </c>
      <c r="L318" t="inlineStr">
        <is>
          <t>Переход к объективам</t>
        </is>
      </c>
      <c r="M318" t="inlineStr">
        <is>
          <t>Связь / переход</t>
        </is>
      </c>
      <c r="N318" t="n">
        <v>5</v>
      </c>
      <c r="O318" t="inlineStr">
        <is>
          <t>PL-030</t>
        </is>
      </c>
      <c r="P318" t="inlineStr">
        <is>
          <t>SRC-250</t>
        </is>
      </c>
      <c r="Q318" t="inlineStr">
        <is>
          <t>B&amp;H eXplora — Introduction to Learning Photography</t>
        </is>
      </c>
      <c r="R318" t="inlineStr">
        <is>
          <t>https://www.bhphotovideo.com/explora/photography/tips-and-solutions/introduction-to-learning-photography</t>
        </is>
      </c>
      <c r="S318" t="n">
        <v>5</v>
      </c>
      <c r="T318" t="inlineStr">
        <is>
          <t>Это честная формула курса: не обесценивать технику, но вернуть ответственность автору.</t>
        </is>
      </c>
      <c r="U318" t="inlineStr">
        <is>
          <t>Две колонки: «камера может» и «фотограф решает».</t>
        </is>
      </c>
      <c r="V318" t="inlineStr">
        <is>
          <t>#PL030 #camera-capability #photographer-decision</t>
        </is>
      </c>
      <c r="Y318" t="inlineStr">
        <is>
          <t>Автор и камера / техника усиливает решение</t>
        </is>
      </c>
      <c r="Z318" t="inlineStr">
        <is>
          <t>Связь / переход</t>
        </is>
      </c>
    </row>
    <row r="319" ht="17" customHeight="1" s="72">
      <c r="A319" t="inlineStr">
        <is>
          <t>PL-HIST-0318</t>
        </is>
      </c>
      <c r="B319" t="inlineStr">
        <is>
          <t>сегодня</t>
        </is>
      </c>
      <c r="C319" t="inlineStr">
        <is>
          <t>примерно</t>
        </is>
      </c>
      <c r="D319" t="inlineStr">
        <is>
          <t>глобально</t>
        </is>
      </c>
      <c r="E319" t="inlineStr">
        <is>
          <t>PHOTO LAB / курс</t>
        </is>
      </c>
      <c r="F319" t="inlineStr">
        <is>
          <t>PHOTO LAB by VF</t>
        </is>
      </c>
      <c r="G319" t="inlineStr">
        <is>
          <t>Финальный вывод модуля камер: камера определяет способ работы, но фотография рождается из света, выбора, момента и взгляда. Следующий шаг — понять объектив.</t>
        </is>
      </c>
      <c r="H319" t="inlineStr">
        <is>
          <t>Оптические инструменты</t>
        </is>
      </c>
      <c r="I319" t="inlineStr">
        <is>
          <t>Bridge to lens module</t>
        </is>
      </c>
      <c r="J319" t="inlineStr">
        <is>
          <t>Модуль 3 завершается переходом от корпуса камеры к оптике: теперь важно понять, как объектив строит изображение.</t>
        </is>
      </c>
      <c r="K319" t="inlineStr">
        <is>
          <t>Техника усиливает решение</t>
        </is>
      </c>
      <c r="L319" t="inlineStr">
        <is>
          <t>PL-031 — что такое объектив</t>
        </is>
      </c>
      <c r="M319" t="inlineStr">
        <is>
          <t>Связь / переход</t>
        </is>
      </c>
      <c r="N319" t="n">
        <v>5</v>
      </c>
      <c r="O319" t="inlineStr">
        <is>
          <t>PL-030</t>
        </is>
      </c>
      <c r="P319" t="inlineStr">
        <is>
          <t>SRC-252</t>
        </is>
      </c>
      <c r="Q319" t="inlineStr">
        <is>
          <t>Cambridge in Colour — Understanding Camera Lenses</t>
        </is>
      </c>
      <c r="R319" t="inlineStr">
        <is>
          <t>https://www.cambridgeincolour.com/tutorials/camera-lenses.htm</t>
        </is>
      </c>
      <c r="S319" t="n">
        <v>5</v>
      </c>
      <c r="T319" t="inlineStr">
        <is>
          <t>Мост к PL-031: камера — коробка и механизм, объектив — способ собрать свет.</t>
        </is>
      </c>
      <c r="U319" t="inlineStr">
        <is>
          <t>Камера без объектива; отдельно объектив, через который проходит золотой луч.</t>
        </is>
      </c>
      <c r="V319" t="inlineStr">
        <is>
          <t>#PL030 #module3 #lens #bridge</t>
        </is>
      </c>
      <c r="Y319" t="inlineStr">
        <is>
          <t>Автор и камера / мост к объективам</t>
        </is>
      </c>
      <c r="Z319" t="inlineStr">
        <is>
          <t>Связь / переход</t>
        </is>
      </c>
    </row>
    <row r="320" ht="17" customHeight="1" s="72">
      <c r="A320" t="inlineStr">
        <is>
          <t>PL-HIST-0319</t>
        </is>
      </c>
      <c r="B320" t="inlineStr">
        <is>
          <t>сегодня</t>
        </is>
      </c>
      <c r="C320" t="inlineStr">
        <is>
          <t>примерно</t>
        </is>
      </c>
      <c r="D320" t="inlineStr">
        <is>
          <t>глобально</t>
        </is>
      </c>
      <c r="E320" t="inlineStr">
        <is>
          <t>камера / объектив</t>
        </is>
      </c>
      <c r="F320" t="inlineStr">
        <is>
          <t>фотографы / производители объективов</t>
        </is>
      </c>
      <c r="G320" t="inlineStr">
        <is>
          <t>Объектив — это оптическая система, которая собирает свет от сцены и фокусирует его на плоскости плёнки или сенсора, чтобы получилось резкое изображение.</t>
        </is>
      </c>
      <c r="H320" t="inlineStr">
        <is>
          <t>Оптические инструменты</t>
        </is>
      </c>
      <c r="I320" t="inlineStr">
        <is>
          <t>Lens as light-focusing system</t>
        </is>
      </c>
      <c r="J320" t="inlineStr">
        <is>
          <t>После камеры-обскуры фотография получает больше света, контроль фокуса и возможность менять характер изображения.</t>
        </is>
      </c>
      <c r="K320" t="inlineStr">
        <is>
          <t>PL-030 — камера как инструмент</t>
        </is>
      </c>
      <c r="L320" t="inlineStr">
        <is>
          <t>Объектив вместо отверстия</t>
        </is>
      </c>
      <c r="M320" t="inlineStr">
        <is>
          <t>Связь / переход</t>
        </is>
      </c>
      <c r="N320" t="n">
        <v>5</v>
      </c>
      <c r="O320" t="inlineStr">
        <is>
          <t>PL-031</t>
        </is>
      </c>
      <c r="P320" t="inlineStr">
        <is>
          <t>SRC-251</t>
        </is>
      </c>
      <c r="Q320" t="inlineStr">
        <is>
          <t>Canon Science Lab — Photographs</t>
        </is>
      </c>
      <c r="R320" t="inlineStr">
        <is>
          <t>https://global.canon/en/technology/s_labo/light/003/01.html</t>
        </is>
      </c>
      <c r="S320" t="n">
        <v>5</v>
      </c>
      <c r="T320" t="inlineStr">
        <is>
          <t>Флагман PL-031: объектив — не «стекло спереди», а система управления светом.</t>
        </is>
      </c>
      <c r="U320" t="inlineStr">
        <is>
          <t>Луч света проходит через объектив и собирается на плёнке внутри камеры.</t>
        </is>
      </c>
      <c r="V320" t="inlineStr">
        <is>
          <t>#PL031 #lens #optics #focus</t>
        </is>
      </c>
      <c r="Y320" t="inlineStr">
        <is>
          <t>Объектив / базовое определение</t>
        </is>
      </c>
      <c r="Z320" t="inlineStr">
        <is>
          <t>Ключевой исторический узел</t>
        </is>
      </c>
      <c r="AA320" t="inlineStr">
        <is>
          <t>да</t>
        </is>
      </c>
    </row>
    <row r="321" ht="17" customHeight="1" s="72">
      <c r="A321" t="inlineStr">
        <is>
          <t>PL-HIST-0320</t>
        </is>
      </c>
      <c r="B321" t="inlineStr">
        <is>
          <t>XIX век — сегодня</t>
        </is>
      </c>
      <c r="C321" t="inlineStr">
        <is>
          <t>диапазон</t>
        </is>
      </c>
      <c r="D321" t="inlineStr">
        <is>
          <t>глобально</t>
        </is>
      </c>
      <c r="E321" t="inlineStr">
        <is>
          <t>камера-обскура / камера</t>
        </is>
      </c>
      <c r="F321" t="inlineStr">
        <is>
          <t>оптики / фотографы</t>
        </is>
      </c>
      <c r="G321" t="inlineStr">
        <is>
          <t>Отверстие камеры-обскуры может дать изображение, но линза собирает больше света и позволяет управлять резкостью через фокусировку.</t>
        </is>
      </c>
      <c r="H321" t="inlineStr">
        <is>
          <t>Оптические инструменты</t>
        </is>
      </c>
      <c r="I321" t="inlineStr">
        <is>
          <t>Lens vs pinhole</t>
        </is>
      </c>
      <c r="J321" t="inlineStr">
        <is>
          <t>Фотограф переходит от простой проекции к управляемой оптике.</t>
        </is>
      </c>
      <c r="K321" t="inlineStr">
        <is>
          <t>Объектив как система</t>
        </is>
      </c>
      <c r="L321" t="inlineStr">
        <is>
          <t>Фокальная плоскость</t>
        </is>
      </c>
      <c r="M321" t="inlineStr">
        <is>
          <t>Связь / переход</t>
        </is>
      </c>
      <c r="N321" t="n">
        <v>5</v>
      </c>
      <c r="O321" t="inlineStr">
        <is>
          <t>PL-031</t>
        </is>
      </c>
      <c r="P321" t="inlineStr">
        <is>
          <t>SRC-251</t>
        </is>
      </c>
      <c r="Q321" t="inlineStr">
        <is>
          <t>Canon Science Lab — Photographs</t>
        </is>
      </c>
      <c r="R321" t="inlineStr">
        <is>
          <t>https://global.canon/en/technology/s_labo/light/003/01.html</t>
        </is>
      </c>
      <c r="S321" t="n">
        <v>5</v>
      </c>
      <c r="T321" t="inlineStr">
        <is>
          <t>Связать начало курса с модулем объективов: от дырочки к стеклу.</t>
        </is>
      </c>
      <c r="U321" t="inlineStr">
        <is>
          <t>Слева pinhole с тусклой проекцией, справа объектив с ярким резким изображением.</t>
        </is>
      </c>
      <c r="V321" t="inlineStr">
        <is>
          <t>#PL031 #pinhole #cameraobscura #lens</t>
        </is>
      </c>
      <c r="Y321" t="inlineStr">
        <is>
          <t>Объектив / линза против отверстия</t>
        </is>
      </c>
      <c r="Z321" t="inlineStr">
        <is>
          <t>Связь / переход</t>
        </is>
      </c>
    </row>
    <row r="322" ht="17" customHeight="1" s="72">
      <c r="A322" t="inlineStr">
        <is>
          <t>PL-HIST-0321</t>
        </is>
      </c>
      <c r="B322" t="inlineStr">
        <is>
          <t>сегодня</t>
        </is>
      </c>
      <c r="C322" t="inlineStr">
        <is>
          <t>примерно</t>
        </is>
      </c>
      <c r="D322" t="inlineStr">
        <is>
          <t>глобально</t>
        </is>
      </c>
      <c r="E322" t="inlineStr">
        <is>
          <t>внутри камеры</t>
        </is>
      </c>
      <c r="F322" t="inlineStr">
        <is>
          <t>фотограф / ученик</t>
        </is>
      </c>
      <c r="G322" t="inlineStr">
        <is>
          <t>Фокальная плоскость — место, где должен сформироваться резкий рисунок: в плёночной камере там находится плёнка, в цифровой — сенсор.</t>
        </is>
      </c>
      <c r="H322" t="inlineStr">
        <is>
          <t>Оптические инструменты</t>
        </is>
      </c>
      <c r="I322" t="inlineStr">
        <is>
          <t>Image plane / focal plane</t>
        </is>
      </c>
      <c r="J322" t="inlineStr">
        <is>
          <t>Резкость становится понятной геометрией: свет должен собраться именно на поверхности материала, который записывает изображение.</t>
        </is>
      </c>
      <c r="K322" t="inlineStr">
        <is>
          <t>Линза против отверстия</t>
        </is>
      </c>
      <c r="L322" t="inlineStr">
        <is>
          <t>Фокусировка</t>
        </is>
      </c>
      <c r="M322" t="inlineStr">
        <is>
          <t>Главная линия / оптический принцип</t>
        </is>
      </c>
      <c r="N322" t="n">
        <v>5</v>
      </c>
      <c r="O322" t="inlineStr">
        <is>
          <t>PL-031</t>
        </is>
      </c>
      <c r="P322" t="inlineStr">
        <is>
          <t>SRC-255</t>
        </is>
      </c>
      <c r="Q322" t="inlineStr">
        <is>
          <t>B&amp;H eXplora — How Your Digital Camera Works</t>
        </is>
      </c>
      <c r="R322" t="inlineStr">
        <is>
          <t>https://www.bhphotovideo.com/explora/photography/tips-and-solutions/how-your-digital-camera-works</t>
        </is>
      </c>
      <c r="S322" t="n">
        <v>5</v>
      </c>
      <c r="T322" t="inlineStr">
        <is>
          <t>Объяснить через разрез камеры.</t>
        </is>
      </c>
      <c r="U322" t="inlineStr">
        <is>
          <t>Схема: lens → converging rays → film plane; золотая линия на плоскости плёнки.</t>
        </is>
      </c>
      <c r="V322" t="inlineStr">
        <is>
          <t>#PL031 #imageplane #filmplane #sensor</t>
        </is>
      </c>
      <c r="Y322" t="inlineStr">
        <is>
          <t>Объектив / фокальная плоскость</t>
        </is>
      </c>
      <c r="Z322" t="inlineStr">
        <is>
          <t>Технология / процесс</t>
        </is>
      </c>
    </row>
    <row r="323" ht="17" customHeight="1" s="72">
      <c r="A323" t="inlineStr">
        <is>
          <t>PL-HIST-0322</t>
        </is>
      </c>
      <c r="B323" t="inlineStr">
        <is>
          <t>сегодня</t>
        </is>
      </c>
      <c r="C323" t="inlineStr">
        <is>
          <t>примерно</t>
        </is>
      </c>
      <c r="D323" t="inlineStr">
        <is>
          <t>глобально</t>
        </is>
      </c>
      <c r="E323" t="inlineStr">
        <is>
          <t>объектив / камера</t>
        </is>
      </c>
      <c r="F323" t="inlineStr">
        <is>
          <t>фотограф</t>
        </is>
      </c>
      <c r="G323" t="inlineStr">
        <is>
          <t>Фокусировка меняет положение линзы или группы линз так, чтобы лучи от выбранной дистанции сошлись на плёнке.</t>
        </is>
      </c>
      <c r="H323" t="inlineStr">
        <is>
          <t>Оптические инструменты</t>
        </is>
      </c>
      <c r="I323" t="inlineStr">
        <is>
          <t>Focusing movement</t>
        </is>
      </c>
      <c r="J323" t="inlineStr">
        <is>
          <t>Объектив перестаёт быть пассивным стеклом: он настраивается под расстояние до объекта.</t>
        </is>
      </c>
      <c r="K323" t="inlineStr">
        <is>
          <t>Фокальная плоскость</t>
        </is>
      </c>
      <c r="L323" t="inlineStr">
        <is>
          <t>Диафрагма</t>
        </is>
      </c>
      <c r="M323" t="inlineStr">
        <is>
          <t>Главная линия / фокусировка</t>
        </is>
      </c>
      <c r="N323" t="n">
        <v>5</v>
      </c>
      <c r="O323" t="inlineStr">
        <is>
          <t>PL-031</t>
        </is>
      </c>
      <c r="P323" t="inlineStr">
        <is>
          <t>SRC-257</t>
        </is>
      </c>
      <c r="Q323" t="inlineStr">
        <is>
          <t>B&amp;H eXplora — How Focus Works</t>
        </is>
      </c>
      <c r="R323" t="inlineStr">
        <is>
          <t>https://www.bhphotovideo.com/explora/photography/tips-and-solutions/how-focus-works</t>
        </is>
      </c>
      <c r="S323" t="n">
        <v>5</v>
      </c>
      <c r="T323" t="inlineStr">
        <is>
          <t>Ключ к будущим урокам про фокус и ГРИП.</t>
        </is>
      </c>
      <c r="U323" t="inlineStr">
        <is>
          <t>Макро-разрез объектива: двигающаяся фокусировочная группа и шкала расстояний.</t>
        </is>
      </c>
      <c r="V323" t="inlineStr">
        <is>
          <t>#PL031 #focusing #focusring #opticalgroup</t>
        </is>
      </c>
      <c r="Y323" t="inlineStr">
        <is>
          <t>Объектив / фокусировка</t>
        </is>
      </c>
      <c r="Z323" t="inlineStr">
        <is>
          <t>Технология / процесс</t>
        </is>
      </c>
    </row>
    <row r="324" ht="17" customHeight="1" s="72">
      <c r="A324" t="inlineStr">
        <is>
          <t>PL-HIST-0323</t>
        </is>
      </c>
      <c r="B324" t="inlineStr">
        <is>
          <t>сегодня</t>
        </is>
      </c>
      <c r="C324" t="inlineStr">
        <is>
          <t>примерно</t>
        </is>
      </c>
      <c r="D324" t="inlineStr">
        <is>
          <t>глобально</t>
        </is>
      </c>
      <c r="E324" t="inlineStr">
        <is>
          <t>внутри объектива</t>
        </is>
      </c>
      <c r="F324" t="inlineStr">
        <is>
          <t>производители / фотографы</t>
        </is>
      </c>
      <c r="G324" t="inlineStr">
        <is>
          <t>Диафрагма регулирует свет не в абсолютных миллиметрах, а через число f — отношение фокусного расстояния объектива к диаметру входного отверстия (f/N = фокусное расстояние ÷ диаметр диафрагмы). Поэтому одно и то же f/2.8 на разных объективах — это разные физические отверстия, но одинаковая доля света относительно кадра.</t>
        </is>
      </c>
      <c r="H324" t="inlineStr">
        <is>
          <t>Оптические инструменты</t>
        </is>
      </c>
      <c r="I324" t="inlineStr">
        <is>
          <t>F-number ratio (focal length / aperture diameter)</t>
        </is>
      </c>
      <c r="J324" t="inlineStr">
        <is>
          <t>Число диафрагмы перестаёт быть просто «шкалой на кольце»: это стандартизированное отношение, которое позволяет сравнивать светосилу и экспозицию между совершенно разными объективами и фокусными расстояниями.</t>
        </is>
      </c>
      <c r="K324" t="inlineStr">
        <is>
          <t>Фокусировка</t>
        </is>
      </c>
      <c r="L324" t="inlineStr">
        <is>
          <t>Фокусное расстояние</t>
        </is>
      </c>
      <c r="M324" t="inlineStr">
        <is>
          <t>Главная линия / световой контроль</t>
        </is>
      </c>
      <c r="N324" t="n">
        <v>5</v>
      </c>
      <c r="O324" t="inlineStr">
        <is>
          <t>PL-031</t>
        </is>
      </c>
      <c r="P324" t="inlineStr">
        <is>
          <t>SRC-267</t>
        </is>
      </c>
      <c r="Q324" t="inlineStr">
        <is>
          <t>Wikipedia — F-number</t>
        </is>
      </c>
      <c r="R324" t="inlineStr">
        <is>
          <t>https://en.wikipedia.org/wiki/F-number</t>
        </is>
      </c>
      <c r="S324" t="n">
        <v>4</v>
      </c>
      <c r="T324" t="inlineStr">
        <is>
          <t>Ключевая деталь: f/2.8 на 50 мм объективе — отверстие ~18 мм, а на 200 мм объективе при том же f/2.8 — уже ~71 мм. Число f — это пропорция, а не размер дырки.</t>
        </is>
      </c>
      <c r="U324" t="inlineStr">
        <is>
          <t>Схема: фокусное расстояние (стрелка) делится на диаметр отверстия диафрагмы — получается число f, подписанное f/2.8.</t>
        </is>
      </c>
      <c r="V324" t="inlineStr">
        <is>
          <t>#PL031 #aperture #f-number #ratio #optics</t>
        </is>
      </c>
      <c r="Y324" t="inlineStr">
        <is>
          <t>Объектив / формула числа диафрагмы</t>
        </is>
      </c>
      <c r="Z324" t="inlineStr">
        <is>
          <t>Технология / процесс</t>
        </is>
      </c>
    </row>
    <row r="325" ht="17" customHeight="1" s="72">
      <c r="A325" t="inlineStr">
        <is>
          <t>PL-HIST-0324</t>
        </is>
      </c>
      <c r="B325" t="inlineStr">
        <is>
          <t>сегодня</t>
        </is>
      </c>
      <c r="C325" t="inlineStr">
        <is>
          <t>примерно</t>
        </is>
      </c>
      <c r="D325" t="inlineStr">
        <is>
          <t>глобально</t>
        </is>
      </c>
      <c r="E325" t="inlineStr">
        <is>
          <t>объективы 24/50/85 мм</t>
        </is>
      </c>
      <c r="F325" t="inlineStr">
        <is>
          <t>фотограф</t>
        </is>
      </c>
      <c r="G325" t="inlineStr">
        <is>
          <t>Фокусное расстояние определяет угол зрения и масштаб изображения: короткое показывает шире, длинное — уже и крупнее при той же позиции камеры.</t>
        </is>
      </c>
      <c r="H325" t="inlineStr">
        <is>
          <t>Оптические инструменты</t>
        </is>
      </c>
      <c r="I325" t="inlineStr">
        <is>
          <t>Focal length basics</t>
        </is>
      </c>
      <c r="J325" t="inlineStr">
        <is>
          <t>Объектив становится выбором пространства: он меняет, сколько мира войдёт в кадр.</t>
        </is>
      </c>
      <c r="K325" t="inlineStr">
        <is>
          <t>Диафрагма</t>
        </is>
      </c>
      <c r="L325" t="inlineStr">
        <is>
          <t>Prime и zoom</t>
        </is>
      </c>
      <c r="M325" t="inlineStr">
        <is>
          <t>Главная линия / угол зрения</t>
        </is>
      </c>
      <c r="N325" t="n">
        <v>5</v>
      </c>
      <c r="O325" t="inlineStr">
        <is>
          <t>PL-031</t>
        </is>
      </c>
      <c r="P325" t="inlineStr">
        <is>
          <t>SRC-253</t>
        </is>
      </c>
      <c r="Q325" t="inlineStr">
        <is>
          <t>Nikon USA — Understanding Focal Length</t>
        </is>
      </c>
      <c r="R325" t="inlineStr">
        <is>
          <t>https://www.nikonusa.com/learn-and-explore/c/tips-and-techniques/understanding-focal-length</t>
        </is>
      </c>
      <c r="S325" t="n">
        <v>5</v>
      </c>
      <c r="T325" t="inlineStr">
        <is>
          <t>Мост к PL-033.</t>
        </is>
      </c>
      <c r="U325" t="inlineStr">
        <is>
          <t>Три конуса угла зрения от камеры: 24 мм широкий, 50 мм средний, 135 мм узкий.</t>
        </is>
      </c>
      <c r="V325" t="inlineStr">
        <is>
          <t>#PL031 #focallength #angleofview #magnification</t>
        </is>
      </c>
      <c r="Y325" t="inlineStr">
        <is>
          <t>Объектив / фокусное расстояние</t>
        </is>
      </c>
      <c r="Z325" t="inlineStr">
        <is>
          <t>Технология / процесс</t>
        </is>
      </c>
    </row>
    <row r="326" ht="17" customHeight="1" s="72">
      <c r="A326" t="inlineStr">
        <is>
          <t>PL-HIST-0325</t>
        </is>
      </c>
      <c r="B326" t="inlineStr">
        <is>
          <t>сегодня</t>
        </is>
      </c>
      <c r="C326" t="inlineStr">
        <is>
          <t>примерно</t>
        </is>
      </c>
      <c r="D326" t="inlineStr">
        <is>
          <t>глобально</t>
        </is>
      </c>
      <c r="E326" t="inlineStr">
        <is>
          <t>системы объективов</t>
        </is>
      </c>
      <c r="F326" t="inlineStr">
        <is>
          <t>фотограф</t>
        </is>
      </c>
      <c r="G326" t="inlineStr">
        <is>
          <t>Фикс-объектив имеет одно фокусное расстояние; zoom позволяет менять фокусное расстояние в диапазоне, но обычно добавляет сложность, вес и компромиссы.</t>
        </is>
      </c>
      <c r="H326" t="inlineStr">
        <is>
          <t>Оптические инструменты</t>
        </is>
      </c>
      <c r="I326" t="inlineStr">
        <is>
          <t>Prime vs zoom lens</t>
        </is>
      </c>
      <c r="J326" t="inlineStr">
        <is>
          <t>Выбор объектива становится выбором поведения: фикс заставляет двигаться, zoom даёт гибкость кадрирования.</t>
        </is>
      </c>
      <c r="K326" t="inlineStr">
        <is>
          <t>Фокусное расстояние</t>
        </is>
      </c>
      <c r="L326" t="inlineStr">
        <is>
          <t>Светосила</t>
        </is>
      </c>
      <c r="M326" t="inlineStr">
        <is>
          <t>Главная линия / тип объектива</t>
        </is>
      </c>
      <c r="N326" t="n">
        <v>5</v>
      </c>
      <c r="O326" t="inlineStr">
        <is>
          <t>PL-031</t>
        </is>
      </c>
      <c r="P326" t="inlineStr">
        <is>
          <t>SRC-252</t>
        </is>
      </c>
      <c r="Q326" t="inlineStr">
        <is>
          <t>Cambridge in Colour — Understanding Camera Lenses</t>
        </is>
      </c>
      <c r="R326" t="inlineStr">
        <is>
          <t>https://www.cambridgeincolour.com/tutorials/camera-lenses.htm</t>
        </is>
      </c>
      <c r="S326" t="n">
        <v>5</v>
      </c>
      <c r="T326" t="inlineStr">
        <is>
          <t>Практически важно для новичка: 50 мм фикс как учебный тренажёр, но не догма.</t>
        </is>
      </c>
      <c r="U326" t="inlineStr">
        <is>
          <t>Слева 50mm prime, справа 24–70 zoom; между ними стрелки «двигаться / менять масштаб».</t>
        </is>
      </c>
      <c r="V326" t="inlineStr">
        <is>
          <t>#PL031 #prime #zoom #lenschoice</t>
        </is>
      </c>
      <c r="Y326" t="inlineStr">
        <is>
          <t>Объектив / фикс и зум</t>
        </is>
      </c>
      <c r="Z326" t="inlineStr">
        <is>
          <t>Инструмент / устройство</t>
        </is>
      </c>
    </row>
    <row r="327" ht="17" customHeight="1" s="72">
      <c r="A327" t="inlineStr">
        <is>
          <t>PL-HIST-0326</t>
        </is>
      </c>
      <c r="B327" t="inlineStr">
        <is>
          <t>сегодня</t>
        </is>
      </c>
      <c r="C327" t="inlineStr">
        <is>
          <t>примерно</t>
        </is>
      </c>
      <c r="D327" t="inlineStr">
        <is>
          <t>глобально</t>
        </is>
      </c>
      <c r="E327" t="inlineStr">
        <is>
          <t>объективы f/1.4–f/5.6</t>
        </is>
      </c>
      <c r="F327" t="inlineStr">
        <is>
          <t>фотограф</t>
        </is>
      </c>
      <c r="G327" t="inlineStr">
        <is>
          <t>Светосила показывает максимальное открытие диафрагмы: чем меньше число f, тем больше света может пройти через объектив и тем сильнее можно отделить объект размытием.</t>
        </is>
      </c>
      <c r="H327" t="inlineStr">
        <is>
          <t>Оптические инструменты</t>
        </is>
      </c>
      <c r="I327" t="inlineStr">
        <is>
          <t>Maximum aperture / lens speed</t>
        </is>
      </c>
      <c r="J327" t="inlineStr">
        <is>
          <t>Объектив влияет на работу при слабом свете и на выразительность глубины резкости.</t>
        </is>
      </c>
      <c r="K327" t="inlineStr">
        <is>
          <t>Фикс и зум</t>
        </is>
      </c>
      <c r="L327" t="inlineStr">
        <is>
          <t>Аберрации</t>
        </is>
      </c>
      <c r="M327" t="inlineStr">
        <is>
          <t>Главная линия / светосила</t>
        </is>
      </c>
      <c r="N327" t="n">
        <v>5</v>
      </c>
      <c r="O327" t="inlineStr">
        <is>
          <t>PL-031</t>
        </is>
      </c>
      <c r="P327" t="inlineStr">
        <is>
          <t>SRC-252</t>
        </is>
      </c>
      <c r="Q327" t="inlineStr">
        <is>
          <t>Cambridge in Colour — Understanding Camera Lenses</t>
        </is>
      </c>
      <c r="R327" t="inlineStr">
        <is>
          <t>https://www.cambridgeincolour.com/tutorials/camera-lenses.htm</t>
        </is>
      </c>
      <c r="S327" t="n">
        <v>5</v>
      </c>
      <c r="T327" t="inlineStr">
        <is>
          <t>Связать с будущим PL-038 «Светосила».</t>
        </is>
      </c>
      <c r="U327" t="inlineStr">
        <is>
          <t>Два объектива: f/1.4 и f/4; позади — разная степень размытия.</t>
        </is>
      </c>
      <c r="V327" t="inlineStr">
        <is>
          <t>#PL031 #maximumaperture #lensspeed #bokeh</t>
        </is>
      </c>
      <c r="Y327" t="inlineStr">
        <is>
          <t>Объектив / светосила</t>
        </is>
      </c>
      <c r="Z327" t="inlineStr">
        <is>
          <t>Технология / процесс</t>
        </is>
      </c>
    </row>
    <row r="328" ht="17" customHeight="1" s="72">
      <c r="A328" t="inlineStr">
        <is>
          <t>PL-HIST-0327</t>
        </is>
      </c>
      <c r="B328" t="inlineStr">
        <is>
          <t>сегодня</t>
        </is>
      </c>
      <c r="C328" t="inlineStr">
        <is>
          <t>примерно</t>
        </is>
      </c>
      <c r="D328" t="inlineStr">
        <is>
          <t>глобально</t>
        </is>
      </c>
      <c r="E328" t="inlineStr">
        <is>
          <t>оптическое проектирование</t>
        </is>
      </c>
      <c r="F328" t="inlineStr">
        <is>
          <t>оптики / производители</t>
        </is>
      </c>
      <c r="G328" t="inlineStr">
        <is>
          <t>Объективы состоят из нескольких элементов, потому что одиночная линза даёт искажения: сферические и хроматические аберрации, падение резкости и другие ошибки.</t>
        </is>
      </c>
      <c r="H328" t="inlineStr">
        <is>
          <t>Оптические инструменты</t>
        </is>
      </c>
      <c r="I328" t="inlineStr">
        <is>
          <t>Optical aberrations and correction</t>
        </is>
      </c>
      <c r="J328" t="inlineStr">
        <is>
          <t>Оптика становится инженерной задачей: нужно не просто собрать свет, а собрать его правильно.</t>
        </is>
      </c>
      <c r="K328" t="inlineStr">
        <is>
          <t>Светосила</t>
        </is>
      </c>
      <c r="L328" t="inlineStr">
        <is>
          <t>Покрытия</t>
        </is>
      </c>
      <c r="M328" t="inlineStr">
        <is>
          <t>Главная линия / оптическая коррекция</t>
        </is>
      </c>
      <c r="N328" t="n">
        <v>5</v>
      </c>
      <c r="O328" t="inlineStr">
        <is>
          <t>PL-031</t>
        </is>
      </c>
      <c r="P328" t="inlineStr">
        <is>
          <t>SRC-252</t>
        </is>
      </c>
      <c r="Q328" t="inlineStr">
        <is>
          <t>Cambridge in Colour — Understanding Camera Lenses</t>
        </is>
      </c>
      <c r="R328" t="inlineStr">
        <is>
          <t>https://www.cambridgeincolour.com/tutorials/camera-lenses.htm</t>
        </is>
      </c>
      <c r="S328" t="n">
        <v>5</v>
      </c>
      <c r="T328" t="inlineStr">
        <is>
          <t>Показать, почему объектив — это не одна линза.</t>
        </is>
      </c>
      <c r="U328" t="inlineStr">
        <is>
          <t>Световые лучи разных цветов сходятся не в одной точке; рядом исправленная схема через группу линз.</t>
        </is>
      </c>
      <c r="V328" t="inlineStr">
        <is>
          <t>#PL031 #aberration #lens-elements #optics</t>
        </is>
      </c>
      <c r="Y328" t="inlineStr">
        <is>
          <t>Объектив / аберрации</t>
        </is>
      </c>
      <c r="Z328" t="inlineStr">
        <is>
          <t>Технология / процесс</t>
        </is>
      </c>
    </row>
    <row r="329" ht="17" customHeight="1" s="72">
      <c r="A329" t="inlineStr">
        <is>
          <t>PL-HIST-0328</t>
        </is>
      </c>
      <c r="B329" t="inlineStr">
        <is>
          <t>сегодня</t>
        </is>
      </c>
      <c r="C329" t="inlineStr">
        <is>
          <t>примерно</t>
        </is>
      </c>
      <c r="D329" t="inlineStr">
        <is>
          <t>глобально</t>
        </is>
      </c>
      <c r="E329" t="inlineStr">
        <is>
          <t>оптическое производство</t>
        </is>
      </c>
      <c r="F329" t="inlineStr">
        <is>
          <t>Canon / ZEISS / производители</t>
        </is>
      </c>
      <c r="G329" t="inlineStr">
        <is>
          <t>Покрытия на линзах уменьшают отражения, блики и потерю контраста, особенно когда объектив состоит из многих стеклянных поверхностей.</t>
        </is>
      </c>
      <c r="H329" t="inlineStr">
        <is>
          <t>Оптические инструменты</t>
        </is>
      </c>
      <c r="I329" t="inlineStr">
        <is>
          <t>Lens coatings / flare control</t>
        </is>
      </c>
      <c r="J329" t="inlineStr">
        <is>
          <t>Качество объектива зависит не только от схемы, но и от материала, просветления и контроля паразитного света.</t>
        </is>
      </c>
      <c r="K329" t="inlineStr">
        <is>
          <t>Аберрации</t>
        </is>
      </c>
      <c r="L329" t="inlineStr">
        <is>
          <t>Характер объектива</t>
        </is>
      </c>
      <c r="M329" t="inlineStr">
        <is>
          <t>Главная линия / просветление</t>
        </is>
      </c>
      <c r="N329" t="n">
        <v>5</v>
      </c>
      <c r="O329" t="inlineStr">
        <is>
          <t>PL-031</t>
        </is>
      </c>
      <c r="P329" t="inlineStr">
        <is>
          <t>SRC-258</t>
        </is>
      </c>
      <c r="Q329" t="inlineStr">
        <is>
          <t>Canon Science Lab — Lens Coatings</t>
        </is>
      </c>
      <c r="R329" t="inlineStr">
        <is>
          <t>https://global.canon/en/technology/s_labo/light/003/03.html</t>
        </is>
      </c>
      <c r="S329" t="n">
        <v>5</v>
      </c>
      <c r="T329" t="inlineStr">
        <is>
          <t>Простой смысл: просветление помогает свету пройти через объектив без лишних отражений.</t>
        </is>
      </c>
      <c r="U329" t="inlineStr">
        <is>
          <t>Макро линзы с зелёно-фиолетовым отблеском покрытия; сбоку схема отражений.</t>
        </is>
      </c>
      <c r="V329" t="inlineStr">
        <is>
          <t>#PL031 #coating #flare #contrast</t>
        </is>
      </c>
      <c r="Y329" t="inlineStr">
        <is>
          <t>Объектив / просветление</t>
        </is>
      </c>
      <c r="Z329" t="inlineStr">
        <is>
          <t>Технология / процесс</t>
        </is>
      </c>
    </row>
    <row r="330" ht="17" customHeight="1" s="72">
      <c r="A330" t="inlineStr">
        <is>
          <t>PL-HIST-0329</t>
        </is>
      </c>
      <c r="B330" t="inlineStr">
        <is>
          <t>сегодня</t>
        </is>
      </c>
      <c r="C330" t="inlineStr">
        <is>
          <t>примерно</t>
        </is>
      </c>
      <c r="D330" t="inlineStr">
        <is>
          <t>глобально</t>
        </is>
      </c>
      <c r="E330" t="inlineStr">
        <is>
          <t>фотографическая практика</t>
        </is>
      </c>
      <c r="F330" t="inlineStr">
        <is>
          <t>фотограф</t>
        </is>
      </c>
      <c r="G330" t="inlineStr">
        <is>
          <t>Итог PL-031: объектив не просто делает картинку резкой. Он задаёт угол зрения, светосилу, рисунок, контраст, характер размытия и способ смотреть на сцену.</t>
        </is>
      </c>
      <c r="H330" t="inlineStr">
        <is>
          <t>Оптические инструменты</t>
        </is>
      </c>
      <c r="I330" t="inlineStr">
        <is>
          <t>Lens character as visual choice</t>
        </is>
      </c>
      <c r="J330" t="inlineStr">
        <is>
          <t>Модуль объективов начинается с понимания: оптика — это язык фотографии, а не только техническая деталь.</t>
        </is>
      </c>
      <c r="K330" t="inlineStr">
        <is>
          <t>Характер объектива</t>
        </is>
      </c>
      <c r="L330" t="inlineStr">
        <is>
          <t>PL-032 — из чего состоит объектив</t>
        </is>
      </c>
      <c r="M330" t="inlineStr">
        <is>
          <t>Связь / переход</t>
        </is>
      </c>
      <c r="N330" t="n">
        <v>5</v>
      </c>
      <c r="O330" t="inlineStr">
        <is>
          <t>PL-031</t>
        </is>
      </c>
      <c r="P330" t="inlineStr">
        <is>
          <t>SRC-252</t>
        </is>
      </c>
      <c r="Q330" t="inlineStr">
        <is>
          <t>Cambridge in Colour — Understanding Camera Lenses</t>
        </is>
      </c>
      <c r="R330" t="inlineStr">
        <is>
          <t>https://www.cambridgeincolour.com/tutorials/camera-lenses.htm</t>
        </is>
      </c>
      <c r="S330" t="n">
        <v>5</v>
      </c>
      <c r="T330" t="inlineStr">
        <is>
          <t>Финал и переход: следующий урок — анатомия объектива.</t>
        </is>
      </c>
      <c r="U330" t="inlineStr">
        <is>
          <t>Один сюжет снят разными объективами; в центре подпись «объектив = способ видеть».</t>
        </is>
      </c>
      <c r="V330" t="inlineStr">
        <is>
          <t>#PL031 #lens-character #visual-language #module4</t>
        </is>
      </c>
      <c r="Y330" t="inlineStr">
        <is>
          <t>Объектив / характер изображения</t>
        </is>
      </c>
      <c r="Z330" t="inlineStr">
        <is>
          <t>Связь / переход</t>
        </is>
      </c>
    </row>
    <row r="331" ht="17" customHeight="1" s="72">
      <c r="A331" t="inlineStr">
        <is>
          <t>PL-HIST-0330</t>
        </is>
      </c>
      <c r="B331" t="inlineStr">
        <is>
          <t>сегодня</t>
        </is>
      </c>
      <c r="C331" t="inlineStr">
        <is>
          <t>примерно</t>
        </is>
      </c>
      <c r="D331" t="inlineStr">
        <is>
          <t>глобально</t>
        </is>
      </c>
      <c r="E331" t="inlineStr">
        <is>
          <t>объектив / система камеры</t>
        </is>
      </c>
      <c r="F331" t="inlineStr">
        <is>
          <t>производители объективов</t>
        </is>
      </c>
      <c r="G331" t="inlineStr">
        <is>
          <t>Объектив состоит из оптических элементов, групп, корпуса, байонета, механизма фокусировки, диафрагмы, шкал или электронных контактов и защитных элементов.</t>
        </is>
      </c>
      <c r="H331" t="inlineStr">
        <is>
          <t>Оптические инструменты</t>
        </is>
      </c>
      <c r="I331" t="inlineStr">
        <is>
          <t>Lens anatomy</t>
        </is>
      </c>
      <c r="J331" t="inlineStr">
        <is>
          <t>Объектив становится понятной системой: каждая деталь управляет светом, точностью, совместимостью или удобством работы.</t>
        </is>
      </c>
      <c r="K331" t="inlineStr">
        <is>
          <t>PL-031 — что такое объектив</t>
        </is>
      </c>
      <c r="L331" t="inlineStr">
        <is>
          <t>Элементы и группы</t>
        </is>
      </c>
      <c r="M331" t="inlineStr">
        <is>
          <t>Связь / переход</t>
        </is>
      </c>
      <c r="N331" t="n">
        <v>5</v>
      </c>
      <c r="O331" t="inlineStr">
        <is>
          <t>PL-032</t>
        </is>
      </c>
      <c r="P331" t="inlineStr">
        <is>
          <t>SRC-259</t>
        </is>
      </c>
      <c r="Q331" t="inlineStr">
        <is>
          <t>Nikon — NIKKOR Lens Glossary</t>
        </is>
      </c>
      <c r="R331" t="inlineStr">
        <is>
          <t>https://imaging.nikon.com/imaging/lineup/lens/glossary/</t>
        </is>
      </c>
      <c r="S331" t="n">
        <v>5</v>
      </c>
      <c r="T331" t="inlineStr">
        <is>
          <t>Флагман PL-032: разобрать объектив как механизм, а не как загадочную трубу.</t>
        </is>
      </c>
      <c r="U331" t="inlineStr">
        <is>
          <t>Разрез объектива с подписанными зонами без перегруза: элементы, диафрагма, фокус, байонет.</t>
        </is>
      </c>
      <c r="V331" t="inlineStr">
        <is>
          <t>#PL032 #lens-anatomy #lens-elements #aperture</t>
        </is>
      </c>
      <c r="Y331" t="inlineStr">
        <is>
          <t>Объектив / анатомия</t>
        </is>
      </c>
      <c r="Z331" t="inlineStr">
        <is>
          <t>Ключевой исторический узел</t>
        </is>
      </c>
      <c r="AA331" t="inlineStr">
        <is>
          <t>да</t>
        </is>
      </c>
    </row>
    <row r="332" ht="17" customHeight="1" s="72">
      <c r="A332" t="inlineStr">
        <is>
          <t>PL-HIST-0331</t>
        </is>
      </c>
      <c r="B332" t="inlineStr">
        <is>
          <t>сегодня</t>
        </is>
      </c>
      <c r="C332" t="inlineStr">
        <is>
          <t>примерно</t>
        </is>
      </c>
      <c r="D332" t="inlineStr">
        <is>
          <t>глобально</t>
        </is>
      </c>
      <c r="E332" t="inlineStr">
        <is>
          <t>внутри объектива</t>
        </is>
      </c>
      <c r="F332" t="inlineStr">
        <is>
          <t>Canon / оптики</t>
        </is>
      </c>
      <c r="G332" t="inlineStr">
        <is>
          <t>Оптические элементы — это отдельные линзы; группы — элементы, работающие вместе. Их форма, стекло и положение корректируют резкость, цвет и искажения.</t>
        </is>
      </c>
      <c r="H332" t="inlineStr">
        <is>
          <t>Оптические инструменты</t>
        </is>
      </c>
      <c r="I332" t="inlineStr">
        <is>
          <t>Lens elements and groups</t>
        </is>
      </c>
      <c r="J332" t="inlineStr">
        <is>
          <t>Фотограф начинает понимать, почему в характеристиках пишут «6 элементов в 5 группах» или «11 элементов».</t>
        </is>
      </c>
      <c r="K332" t="inlineStr">
        <is>
          <t>Анатомия объектива</t>
        </is>
      </c>
      <c r="L332" t="inlineStr">
        <is>
          <t>Корпус объектива</t>
        </is>
      </c>
      <c r="M332" t="inlineStr">
        <is>
          <t>Главная линия / оптическая схема</t>
        </is>
      </c>
      <c r="N332" t="n">
        <v>5</v>
      </c>
      <c r="O332" t="inlineStr">
        <is>
          <t>PL-032</t>
        </is>
      </c>
      <c r="P332" t="inlineStr">
        <is>
          <t>SRC-260</t>
        </is>
      </c>
      <c r="Q332" t="inlineStr">
        <is>
          <t>Canon Camera Museum — EF50mm f/1.8</t>
        </is>
      </c>
      <c r="R332" t="inlineStr">
        <is>
          <t>https://global.canon/en/c-museum/product/ef259.html</t>
        </is>
      </c>
      <c r="S332" t="n">
        <v>5</v>
      </c>
      <c r="T332" t="inlineStr">
        <is>
          <t>Использовать Canon EF 50mm f/1.8 как простой пример элементов/групп.</t>
        </is>
      </c>
      <c r="U332" t="inlineStr">
        <is>
          <t>Схематический разрез 50 мм объектива: шесть стеклянных элементов в группах.</t>
        </is>
      </c>
      <c r="V332" t="inlineStr">
        <is>
          <t>#PL032 #elements #groups #lensconstruction</t>
        </is>
      </c>
      <c r="Y332" t="inlineStr">
        <is>
          <t>Объектив / элементы и группы</t>
        </is>
      </c>
      <c r="Z332" t="inlineStr">
        <is>
          <t>Технология / процесс</t>
        </is>
      </c>
    </row>
    <row r="333" ht="17" customHeight="1" s="72">
      <c r="A333" t="inlineStr">
        <is>
          <t>PL-HIST-0332</t>
        </is>
      </c>
      <c r="B333" t="inlineStr">
        <is>
          <t>сегодня</t>
        </is>
      </c>
      <c r="C333" t="inlineStr">
        <is>
          <t>примерно</t>
        </is>
      </c>
      <c r="D333" t="inlineStr">
        <is>
          <t>глобально</t>
        </is>
      </c>
      <c r="E333" t="inlineStr">
        <is>
          <t>корпус объектива</t>
        </is>
      </c>
      <c r="F333" t="inlineStr">
        <is>
          <t>производители</t>
        </is>
      </c>
      <c r="G333" t="inlineStr">
        <is>
          <t>Корпус объектива удерживает элементы строго на своих местах: даже маленькое смещение может испортить резкость, центрировку и работу фокуса.</t>
        </is>
      </c>
      <c r="H333" t="inlineStr">
        <is>
          <t>Оптические инструменты</t>
        </is>
      </c>
      <c r="I333" t="inlineStr">
        <is>
          <t>Lens barrel / alignment</t>
        </is>
      </c>
      <c r="J333" t="inlineStr">
        <is>
          <t>Механическая точность становится частью качества изображения.</t>
        </is>
      </c>
      <c r="K333" t="inlineStr">
        <is>
          <t>Элементы и группы</t>
        </is>
      </c>
      <c r="L333" t="inlineStr">
        <is>
          <t>Фокусировочный механизм</t>
        </is>
      </c>
      <c r="M333" t="inlineStr">
        <is>
          <t>Главная линия / механическая точность</t>
        </is>
      </c>
      <c r="N333" t="n">
        <v>4</v>
      </c>
      <c r="O333" t="inlineStr">
        <is>
          <t>PL-032</t>
        </is>
      </c>
      <c r="P333" t="inlineStr">
        <is>
          <t>SRC-262</t>
        </is>
      </c>
      <c r="Q333" t="inlineStr">
        <is>
          <t>Nikon — What's inside a Nikon Z mount camera lens?</t>
        </is>
      </c>
      <c r="R333" t="inlineStr">
        <is>
          <t>https://www.nikon.nl/nl_NL/learn-and-explore/magazine/gear/whats-inside-a-z-mount-camera-lens</t>
        </is>
      </c>
      <c r="S333" t="n">
        <v>5</v>
      </c>
      <c r="T333" t="inlineStr">
        <is>
          <t>Объяснить: объектив — точный прибор, не просто набор стекла.</t>
        </is>
      </c>
      <c r="U333" t="inlineStr">
        <is>
          <t>Металлический корпус в разрезе, элементы закреплены в кольцах.</t>
        </is>
      </c>
      <c r="V333" t="inlineStr">
        <is>
          <t>#PL032 #lensbarrel #alignment #mechanics</t>
        </is>
      </c>
      <c r="Y333" t="inlineStr">
        <is>
          <t>Объектив / корпус и центрировка</t>
        </is>
      </c>
      <c r="Z333" t="inlineStr">
        <is>
          <t>Инструмент / устройство</t>
        </is>
      </c>
    </row>
    <row r="334" ht="17" customHeight="1" s="72">
      <c r="A334" t="inlineStr">
        <is>
          <t>PL-HIST-0333</t>
        </is>
      </c>
      <c r="B334" t="inlineStr">
        <is>
          <t>сегодня</t>
        </is>
      </c>
      <c r="C334" t="inlineStr">
        <is>
          <t>примерно</t>
        </is>
      </c>
      <c r="D334" t="inlineStr">
        <is>
          <t>глобально</t>
        </is>
      </c>
      <c r="E334" t="inlineStr">
        <is>
          <t>механизм фокусировки</t>
        </is>
      </c>
      <c r="F334" t="inlineStr">
        <is>
          <t>фотограф / производители</t>
        </is>
      </c>
      <c r="G334" t="inlineStr">
        <is>
          <t>Фокусировочное кольцо или мотор двигает линзоблок, меняя расстояние фокусировки и точку, где лучи сходятся на плёнке.</t>
        </is>
      </c>
      <c r="H334" t="inlineStr">
        <is>
          <t>Оптические инструменты</t>
        </is>
      </c>
      <c r="I334" t="inlineStr">
        <is>
          <t>Focus ring / focusing group</t>
        </is>
      </c>
      <c r="J334" t="inlineStr">
        <is>
          <t>Резкость становится управляемым движением внутри объектива.</t>
        </is>
      </c>
      <c r="K334" t="inlineStr">
        <is>
          <t>Корпус и центрировка</t>
        </is>
      </c>
      <c r="L334" t="inlineStr">
        <is>
          <t>Диафрагма</t>
        </is>
      </c>
      <c r="M334" t="inlineStr">
        <is>
          <t>Главная линия / фокусировочный механизм</t>
        </is>
      </c>
      <c r="N334" t="n">
        <v>5</v>
      </c>
      <c r="O334" t="inlineStr">
        <is>
          <t>PL-032</t>
        </is>
      </c>
      <c r="P334" t="inlineStr">
        <is>
          <t>SRC-257</t>
        </is>
      </c>
      <c r="Q334" t="inlineStr">
        <is>
          <t>B&amp;H eXplora — How Focus Works</t>
        </is>
      </c>
      <c r="R334" t="inlineStr">
        <is>
          <t>https://www.bhphotovideo.com/explora/photography/tips-and-solutions/how-focus-works</t>
        </is>
      </c>
      <c r="S334" t="n">
        <v>5</v>
      </c>
      <c r="T334" t="inlineStr">
        <is>
          <t>Отличный визуальный слайд: поворот кольца → движение группы.</t>
        </is>
      </c>
      <c r="U334" t="inlineStr">
        <is>
          <t>Макро: рука поворачивает focus ring, внутри золото подсвечивает двигающуюся группу.</t>
        </is>
      </c>
      <c r="V334" t="inlineStr">
        <is>
          <t>#PL032 #focusring #focusinggroup #manualfocus</t>
        </is>
      </c>
      <c r="Y334" t="inlineStr">
        <is>
          <t>Объектив / фокусировочный механизм</t>
        </is>
      </c>
      <c r="Z334" t="inlineStr">
        <is>
          <t>Технология / процесс</t>
        </is>
      </c>
    </row>
    <row r="335" ht="17" customHeight="1" s="72">
      <c r="A335" t="inlineStr">
        <is>
          <t>PL-HIST-0334</t>
        </is>
      </c>
      <c r="B335" t="inlineStr">
        <is>
          <t>сегодня</t>
        </is>
      </c>
      <c r="C335" t="inlineStr">
        <is>
          <t>примерно</t>
        </is>
      </c>
      <c r="D335" t="inlineStr">
        <is>
          <t>глобально</t>
        </is>
      </c>
      <c r="E335" t="inlineStr">
        <is>
          <t>внутри объектива</t>
        </is>
      </c>
      <c r="F335" t="inlineStr">
        <is>
          <t>Nikon / Canon / ZEISS</t>
        </is>
      </c>
      <c r="G335" t="inlineStr">
        <is>
          <t>Диафрагма состоит из подвижных лепестков, которые образуют отверстие разного размера и регулируют поток света.</t>
        </is>
      </c>
      <c r="H335" t="inlineStr">
        <is>
          <t>Оптические инструменты</t>
        </is>
      </c>
      <c r="I335" t="inlineStr">
        <is>
          <t>Aperture diaphragm blades</t>
        </is>
      </c>
      <c r="J335" t="inlineStr">
        <is>
          <t>Внутри объектива появляется управляемая «радужка», похожая по смыслу на зрачок глаза.</t>
        </is>
      </c>
      <c r="K335" t="inlineStr">
        <is>
          <t>Фокусировочный механизм</t>
        </is>
      </c>
      <c r="L335" t="inlineStr">
        <is>
          <t>Кольцо диафрагмы / электронное управление</t>
        </is>
      </c>
      <c r="M335" t="inlineStr">
        <is>
          <t>Главная линия / диафрагма</t>
        </is>
      </c>
      <c r="N335" t="n">
        <v>5</v>
      </c>
      <c r="O335" t="inlineStr">
        <is>
          <t>PL-032</t>
        </is>
      </c>
      <c r="P335" t="inlineStr">
        <is>
          <t>SRC-259</t>
        </is>
      </c>
      <c r="Q335" t="inlineStr">
        <is>
          <t>Nikon — NIKKOR Lens Glossary</t>
        </is>
      </c>
      <c r="R335" t="inlineStr">
        <is>
          <t>https://imaging.nikon.com/imaging/lineup/lens/glossary/</t>
        </is>
      </c>
      <c r="S335" t="n">
        <v>5</v>
      </c>
      <c r="T335" t="inlineStr">
        <is>
          <t>Подготовка к PL-039 про диафрагму внутри объектива.</t>
        </is>
      </c>
      <c r="U335" t="inlineStr">
        <is>
          <t>Крупный план лепестков диафрагмы на f/2.8, f/8, f/16.</t>
        </is>
      </c>
      <c r="V335" t="inlineStr">
        <is>
          <t>#PL032 #diaphragm #apertureblades #fstop</t>
        </is>
      </c>
      <c r="Y335" t="inlineStr">
        <is>
          <t>Объектив / лепестки диафрагмы</t>
        </is>
      </c>
      <c r="Z335" t="inlineStr">
        <is>
          <t>Технология / процесс</t>
        </is>
      </c>
    </row>
    <row r="336" ht="17" customHeight="1" s="72">
      <c r="A336" t="inlineStr">
        <is>
          <t>PL-HIST-0335</t>
        </is>
      </c>
      <c r="B336" t="inlineStr">
        <is>
          <t>XX век — сегодня</t>
        </is>
      </c>
      <c r="C336" t="inlineStr">
        <is>
          <t>диапазон</t>
        </is>
      </c>
      <c r="D336" t="inlineStr">
        <is>
          <t>глобально</t>
        </is>
      </c>
      <c r="E336" t="inlineStr">
        <is>
          <t>мануальные и электронные объективы</t>
        </is>
      </c>
      <c r="F336" t="inlineStr">
        <is>
          <t>производители камер</t>
        </is>
      </c>
      <c r="G336" t="inlineStr">
        <is>
          <t>На старых объективах диафрагму часто меняют кольцом, а в современных системах камера может управлять ей через рычаги или электронные контакты.</t>
        </is>
      </c>
      <c r="H336" t="inlineStr">
        <is>
          <t>Оптические инструменты</t>
        </is>
      </c>
      <c r="I336" t="inlineStr">
        <is>
          <t>Aperture control ring / electronic diaphragm</t>
        </is>
      </c>
      <c r="J336" t="inlineStr">
        <is>
          <t>Связь между камерой и объективом становится частью экспозиции и автоматизации.</t>
        </is>
      </c>
      <c r="K336" t="inlineStr">
        <is>
          <t>Лепестки диафрагмы</t>
        </is>
      </c>
      <c r="L336" t="inlineStr">
        <is>
          <t>Байонет</t>
        </is>
      </c>
      <c r="M336" t="inlineStr">
        <is>
          <t>Главная линия / управление объективом</t>
        </is>
      </c>
      <c r="N336" t="n">
        <v>5</v>
      </c>
      <c r="O336" t="inlineStr">
        <is>
          <t>PL-032</t>
        </is>
      </c>
      <c r="P336" t="inlineStr">
        <is>
          <t>SRC-259</t>
        </is>
      </c>
      <c r="Q336" t="inlineStr">
        <is>
          <t>Nikon — NIKKOR Lens Glossary</t>
        </is>
      </c>
      <c r="R336" t="inlineStr">
        <is>
          <t>https://imaging.nikon.com/imaging/lineup/lens/glossary/</t>
        </is>
      </c>
      <c r="S336" t="n">
        <v>5</v>
      </c>
      <c r="T336" t="inlineStr">
        <is>
          <t>Связать с PL-022/023: механика и автоматика продолжаются внутри объектива.</t>
        </is>
      </c>
      <c r="U336" t="inlineStr">
        <is>
          <t>Старое кольцо диафрагмы рядом с современным байонетом с электронными контактами.</t>
        </is>
      </c>
      <c r="V336" t="inlineStr">
        <is>
          <t>#PL032 #aperturering #electronicdiaphragm #lenscontrol</t>
        </is>
      </c>
      <c r="Y336" t="inlineStr">
        <is>
          <t>Объектив / управление диафрагмой</t>
        </is>
      </c>
      <c r="Z336" t="inlineStr">
        <is>
          <t>Технология / процесс</t>
        </is>
      </c>
    </row>
    <row r="337" ht="17" customHeight="1" s="72">
      <c r="A337" t="inlineStr">
        <is>
          <t>PL-HIST-0336</t>
        </is>
      </c>
      <c r="B337" t="inlineStr">
        <is>
          <t>XX век — сегодня</t>
        </is>
      </c>
      <c r="C337" t="inlineStr">
        <is>
          <t>диапазон</t>
        </is>
      </c>
      <c r="D337" t="inlineStr">
        <is>
          <t>глобально</t>
        </is>
      </c>
      <c r="E337" t="inlineStr">
        <is>
          <t>байонет камеры</t>
        </is>
      </c>
      <c r="F337" t="inlineStr">
        <is>
          <t>Nikon / Canon / Leica / производители</t>
        </is>
      </c>
      <c r="G337" t="inlineStr">
        <is>
          <t>Байонет соединяет объектив с камерой: он задаёт совместимость, рабочий отрезок, механические или электронные связи и передачу управления.</t>
        </is>
      </c>
      <c r="H337" t="inlineStr">
        <is>
          <t>Оптические инструменты</t>
        </is>
      </c>
      <c r="I337" t="inlineStr">
        <is>
          <t>Lens mount / bayonet</t>
        </is>
      </c>
      <c r="J337" t="inlineStr">
        <is>
          <t>Выбор системы объективов становится частью выбора камеры и будущего набора оптики.</t>
        </is>
      </c>
      <c r="K337" t="inlineStr">
        <is>
          <t>Управление диафрагмой</t>
        </is>
      </c>
      <c r="L337" t="inlineStr">
        <is>
          <t>Шкалы объектива</t>
        </is>
      </c>
      <c r="M337" t="inlineStr">
        <is>
          <t>Главная линия / системная совместимость</t>
        </is>
      </c>
      <c r="N337" t="n">
        <v>5</v>
      </c>
      <c r="O337" t="inlineStr">
        <is>
          <t>PL-032</t>
        </is>
      </c>
      <c r="P337" t="inlineStr">
        <is>
          <t>SRC-171</t>
        </is>
      </c>
      <c r="Q337" t="inlineStr">
        <is>
          <t>Nikon — 50th Anniversary of Nikon F-Mount</t>
        </is>
      </c>
      <c r="R337" t="inlineStr">
        <is>
          <t>https://www.nikon.com/company/news/2009/0303_f-mount50th_01/</t>
        </is>
      </c>
      <c r="S337" t="n">
        <v>5</v>
      </c>
      <c r="T337" t="inlineStr">
        <is>
          <t>Использовать уже имеющуюся историю Nikon F-mount как пример устойчивой системы.</t>
        </is>
      </c>
      <c r="U337" t="inlineStr">
        <is>
          <t>Байонет крупным планом: металлические лепестки, красная точка, контакты.</t>
        </is>
      </c>
      <c r="V337" t="inlineStr">
        <is>
          <t>#PL032 #lensmount #bayonet #compatibility</t>
        </is>
      </c>
      <c r="Y337" t="inlineStr">
        <is>
          <t>Объектив / байонет</t>
        </is>
      </c>
      <c r="Z337" t="inlineStr">
        <is>
          <t>Инструмент / устройство</t>
        </is>
      </c>
    </row>
    <row r="338" ht="17" customHeight="1" s="72">
      <c r="A338" t="inlineStr">
        <is>
          <t>PL-HIST-0337</t>
        </is>
      </c>
      <c r="B338" t="inlineStr">
        <is>
          <t>XX век — сегодня</t>
        </is>
      </c>
      <c r="C338" t="inlineStr">
        <is>
          <t>диапазон</t>
        </is>
      </c>
      <c r="D338" t="inlineStr">
        <is>
          <t>глобально</t>
        </is>
      </c>
      <c r="E338" t="inlineStr">
        <is>
          <t>мануальные объективы</t>
        </is>
      </c>
      <c r="F338" t="inlineStr">
        <is>
          <t>фотографы</t>
        </is>
      </c>
      <c r="G338" t="inlineStr">
        <is>
          <t>Шкала расстояний и шкала глубины резкости помогают заранее оценить фокус и зону резкости, особенно на механических и дальномерных камерах.</t>
        </is>
      </c>
      <c r="H338" t="inlineStr">
        <is>
          <t>Оптические инструменты</t>
        </is>
      </c>
      <c r="I338" t="inlineStr">
        <is>
          <t>Distance scale / depth-of-field scale</t>
        </is>
      </c>
      <c r="J338" t="inlineStr">
        <is>
          <t>Объектив становится не только оптикой, но и визуальным калькулятором фокуса.</t>
        </is>
      </c>
      <c r="K338" t="inlineStr">
        <is>
          <t>Байонет</t>
        </is>
      </c>
      <c r="L338" t="inlineStr">
        <is>
          <t>Покрытия и материалы</t>
        </is>
      </c>
      <c r="M338" t="inlineStr">
        <is>
          <t>Главная линия / ручной контроль</t>
        </is>
      </c>
      <c r="N338" t="n">
        <v>4</v>
      </c>
      <c r="O338" t="inlineStr">
        <is>
          <t>PL-032</t>
        </is>
      </c>
      <c r="P338" t="inlineStr">
        <is>
          <t>SRC-168</t>
        </is>
      </c>
      <c r="Q338" t="inlineStr">
        <is>
          <t>Nikon — FM2 Instruction Manual</t>
        </is>
      </c>
      <c r="R338" t="inlineStr">
        <is>
          <t>https://cdn-10.nikon-cdn.com/pdf/manuals/archive/FM2.pdf</t>
        </is>
      </c>
      <c r="S338" t="n">
        <v>5</v>
      </c>
      <c r="T338" t="inlineStr">
        <is>
          <t>Полезно для будущих уроков про зонную фокусировку.</t>
        </is>
      </c>
      <c r="U338" t="inlineStr">
        <is>
          <t>Крупный план шкалы 1m–∞ и меток f/8–f/16 на старом объективе.</t>
        </is>
      </c>
      <c r="V338" t="inlineStr">
        <is>
          <t>#PL032 #distancescale #dofscale #zonefocus</t>
        </is>
      </c>
      <c r="Y338" t="inlineStr">
        <is>
          <t>Объектив / шкалы фокуса</t>
        </is>
      </c>
      <c r="Z338" t="inlineStr">
        <is>
          <t>Технология / процесс</t>
        </is>
      </c>
    </row>
    <row r="339" ht="17" customHeight="1" s="72">
      <c r="A339" t="inlineStr">
        <is>
          <t>PL-HIST-0338</t>
        </is>
      </c>
      <c r="B339" t="inlineStr">
        <is>
          <t>сегодня</t>
        </is>
      </c>
      <c r="C339" t="inlineStr">
        <is>
          <t>примерно</t>
        </is>
      </c>
      <c r="D339" t="inlineStr">
        <is>
          <t>глобально</t>
        </is>
      </c>
      <c r="E339" t="inlineStr">
        <is>
          <t>оптическое производство</t>
        </is>
      </c>
      <c r="F339" t="inlineStr">
        <is>
          <t>Canon / ZEISS</t>
        </is>
      </c>
      <c r="G339" t="inlineStr">
        <is>
          <t>Стекло, специальные элементы и просветление влияют на контраст, цветопередачу, блики, резкость и устойчивость к сложному свету.</t>
        </is>
      </c>
      <c r="H339" t="inlineStr">
        <is>
          <t>Оптические инструменты</t>
        </is>
      </c>
      <c r="I339" t="inlineStr">
        <is>
          <t>Glass / coatings / optical materials</t>
        </is>
      </c>
      <c r="J339" t="inlineStr">
        <is>
          <t>Материалы объектива становятся частью его характера и цены.</t>
        </is>
      </c>
      <c r="K339" t="inlineStr">
        <is>
          <t>Шкалы фокуса</t>
        </is>
      </c>
      <c r="L339" t="inlineStr">
        <is>
          <t>Автофокус и стабилизация</t>
        </is>
      </c>
      <c r="M339" t="inlineStr">
        <is>
          <t>Главная линия / оптические материалы</t>
        </is>
      </c>
      <c r="N339" t="n">
        <v>5</v>
      </c>
      <c r="O339" t="inlineStr">
        <is>
          <t>PL-032</t>
        </is>
      </c>
      <c r="P339" t="inlineStr">
        <is>
          <t>SRC-261</t>
        </is>
      </c>
      <c r="Q339" t="inlineStr">
        <is>
          <t>ZEISS — Classic Lenses</t>
        </is>
      </c>
      <c r="R339" t="inlineStr">
        <is>
          <t>https://www.zeiss.com/photonics-and-optics/en/photography/products/lenses-for-slr-cameras/classic-lenses.html</t>
        </is>
      </c>
      <c r="S339" t="n">
        <v>5</v>
      </c>
      <c r="T339" t="inlineStr">
        <is>
          <t>Пояснить, почему две линзы с похожими цифрами могут рисовать по-разному.</t>
        </is>
      </c>
      <c r="U339" t="inlineStr">
        <is>
          <t>Срез стеклянных элементов с тонким цветным отблеском покрытий.</t>
        </is>
      </c>
      <c r="V339" t="inlineStr">
        <is>
          <t>#PL032 #glass #coating #contrast #flare</t>
        </is>
      </c>
      <c r="Y339" t="inlineStr">
        <is>
          <t>Объектив / стекло и покрытия</t>
        </is>
      </c>
      <c r="Z339" t="inlineStr">
        <is>
          <t>Технология / процесс</t>
        </is>
      </c>
    </row>
    <row r="340" ht="17" customHeight="1" s="72">
      <c r="A340" t="inlineStr">
        <is>
          <t>PL-HIST-0339</t>
        </is>
      </c>
      <c r="B340" t="inlineStr">
        <is>
          <t>конец XX века — сегодня</t>
        </is>
      </c>
      <c r="C340" t="inlineStr">
        <is>
          <t>диапазон</t>
        </is>
      </c>
      <c r="D340" t="inlineStr">
        <is>
          <t>глобально</t>
        </is>
      </c>
      <c r="E340" t="inlineStr">
        <is>
          <t>автофокусные объективы</t>
        </is>
      </c>
      <c r="F340" t="inlineStr">
        <is>
          <t>Nikon / Canon / производители</t>
        </is>
      </c>
      <c r="G340" t="inlineStr">
        <is>
          <t>В современных объективах могут быть моторы автофокуса, стабилизация, электронные контакты и внутренние датчики; в старых — механические кольца, рычаги и кулачки.</t>
        </is>
      </c>
      <c r="H340" t="inlineStr">
        <is>
          <t>Оптические инструменты</t>
        </is>
      </c>
      <c r="I340" t="inlineStr">
        <is>
          <t>AF motor / VR / electronic lens systems</t>
        </is>
      </c>
      <c r="J340" t="inlineStr">
        <is>
          <t>Объектив превращается из чистой оптики в мехатронную систему.</t>
        </is>
      </c>
      <c r="K340" t="inlineStr">
        <is>
          <t>Стекло и покрытия</t>
        </is>
      </c>
      <c r="L340" t="inlineStr">
        <is>
          <t>Бленда и фильтр</t>
        </is>
      </c>
      <c r="M340" t="inlineStr">
        <is>
          <t>Главная линия / современная механика</t>
        </is>
      </c>
      <c r="N340" t="n">
        <v>4</v>
      </c>
      <c r="O340" t="inlineStr">
        <is>
          <t>PL-032</t>
        </is>
      </c>
      <c r="P340" t="inlineStr">
        <is>
          <t>SRC-262</t>
        </is>
      </c>
      <c r="Q340" t="inlineStr">
        <is>
          <t>Nikon — What's inside a Nikon Z mount camera lens?</t>
        </is>
      </c>
      <c r="R340" t="inlineStr">
        <is>
          <t>https://www.nikon.nl/nl_NL/learn-and-explore/magazine/gear/whats-inside-a-z-mount-camera-lens</t>
        </is>
      </c>
      <c r="S340" t="n">
        <v>5</v>
      </c>
      <c r="T340" t="inlineStr">
        <is>
          <t>Объяснить разницу между полностью механическим и современным электронным объективом.</t>
        </is>
      </c>
      <c r="U340" t="inlineStr">
        <is>
          <t>Разрез современного объектива: мотор, шлейф, стабилизирующая группа.</t>
        </is>
      </c>
      <c r="V340" t="inlineStr">
        <is>
          <t>#PL032 #autofocus #VR #electroniclens</t>
        </is>
      </c>
      <c r="Y340" t="inlineStr">
        <is>
          <t>Объектив / моторы и стабилизация</t>
        </is>
      </c>
      <c r="Z340" t="inlineStr">
        <is>
          <t>Инструмент / устройство</t>
        </is>
      </c>
    </row>
    <row r="341" ht="17" customHeight="1" s="72">
      <c r="A341" t="inlineStr">
        <is>
          <t>PL-HIST-0340</t>
        </is>
      </c>
      <c r="B341" t="inlineStr">
        <is>
          <t>сегодня</t>
        </is>
      </c>
      <c r="C341" t="inlineStr">
        <is>
          <t>примерно</t>
        </is>
      </c>
      <c r="D341" t="inlineStr">
        <is>
          <t>глобально</t>
        </is>
      </c>
      <c r="E341" t="inlineStr">
        <is>
          <t>передняя часть объектива</t>
        </is>
      </c>
      <c r="F341" t="inlineStr">
        <is>
          <t>фотографы</t>
        </is>
      </c>
      <c r="G341" t="inlineStr">
        <is>
          <t>Резьба под фильтр и бленда защищают объектив и управляют нежелательным светом: фильтры меняют или защищают, бленда снижает боковые блики.</t>
        </is>
      </c>
      <c r="H341" t="inlineStr">
        <is>
          <t>Оптические инструменты</t>
        </is>
      </c>
      <c r="I341" t="inlineStr">
        <is>
          <t>Filter thread / lens hood</t>
        </is>
      </c>
      <c r="J341" t="inlineStr">
        <is>
          <t>Внешние детали тоже влияют на практическое качество кадра и удобство работы.</t>
        </is>
      </c>
      <c r="K341" t="inlineStr">
        <is>
          <t>Моторы и стабилизация</t>
        </is>
      </c>
      <c r="L341" t="inlineStr">
        <is>
          <t>PL-033 — маркировка фокусного расстояния</t>
        </is>
      </c>
      <c r="M341" t="inlineStr">
        <is>
          <t>Главная линия / практические элементы</t>
        </is>
      </c>
      <c r="N341" t="n">
        <v>4</v>
      </c>
      <c r="O341" t="inlineStr">
        <is>
          <t>PL-032</t>
        </is>
      </c>
      <c r="P341" t="inlineStr">
        <is>
          <t>SRC-258</t>
        </is>
      </c>
      <c r="Q341" t="inlineStr">
        <is>
          <t>Canon Science Lab — Lens Coatings</t>
        </is>
      </c>
      <c r="R341" t="inlineStr">
        <is>
          <t>https://global.canon/en/technology/s_labo/light/003/03.html</t>
        </is>
      </c>
      <c r="S341" t="n">
        <v>5</v>
      </c>
      <c r="T341" t="inlineStr">
        <is>
          <t>Финальный практический элемент PL-032: внешние детали помогают контролировать паразитный свет и защищать оптику.</t>
        </is>
      </c>
      <c r="U341" t="inlineStr">
        <is>
          <t>Объектив с установленной блендой и фильтром; боковой луч отсекается.</t>
        </is>
      </c>
      <c r="V341" t="inlineStr">
        <is>
          <t>#PL032 #filterthread #lenshood #flarecontrol</t>
        </is>
      </c>
      <c r="Y341" t="inlineStr">
        <is>
          <t>Объектив / фильтр и бленда</t>
        </is>
      </c>
      <c r="Z341" t="inlineStr">
        <is>
          <t>Инструмент / устройство</t>
        </is>
      </c>
    </row>
    <row r="342" ht="17" customHeight="1" s="72">
      <c r="A342" t="inlineStr">
        <is>
          <t>PL-HIST-0341</t>
        </is>
      </c>
      <c r="B342" t="inlineStr">
        <is>
          <t>сегодня</t>
        </is>
      </c>
      <c r="C342" t="inlineStr">
        <is>
          <t>примерно</t>
        </is>
      </c>
      <c r="D342" t="inlineStr">
        <is>
          <t>глобально</t>
        </is>
      </c>
      <c r="E342" t="inlineStr">
        <is>
          <t>маркировка объективов</t>
        </is>
      </c>
      <c r="F342" t="inlineStr">
        <is>
          <t>Canon / Nikon / производители</t>
        </is>
      </c>
      <c r="G342" t="inlineStr">
        <is>
          <t>Фокусное расстояние обычно видно прямо в названии объектива: например, 50mm, 35mm или 24–70mm. Это первая цифра, по которой фотограф понимает угол зрения.</t>
        </is>
      </c>
      <c r="H342" t="inlineStr">
        <is>
          <t>Оптические инструменты</t>
        </is>
      </c>
      <c r="I342" t="inlineStr">
        <is>
          <t>Reading focal length on lens name</t>
        </is>
      </c>
      <c r="J342" t="inlineStr">
        <is>
          <t>Новичок учится читать объектив не как набор букв, а как карту возможностей: байонет, фокусное расстояние, светосила и технологии.</t>
        </is>
      </c>
      <c r="K342" t="inlineStr">
        <is>
          <t>PL-032 — устройство объектива</t>
        </is>
      </c>
      <c r="L342" t="inlineStr">
        <is>
          <t>PL-033 — определение фокусного расстояния</t>
        </is>
      </c>
      <c r="M342" t="inlineStr">
        <is>
          <t>Связь / переход</t>
        </is>
      </c>
      <c r="N342" t="n">
        <v>5</v>
      </c>
      <c r="O342" t="inlineStr">
        <is>
          <t>PL-033</t>
        </is>
      </c>
      <c r="P342" t="inlineStr">
        <is>
          <t>SRC-266</t>
        </is>
      </c>
      <c r="Q342" t="inlineStr">
        <is>
          <t>Canon UK Store — How to Read a Canon Lens Name</t>
        </is>
      </c>
      <c r="R342" t="inlineStr">
        <is>
          <t>https://www.canon.co.uk/store/buying-guides/how-to-read-canon-lens/</t>
        </is>
      </c>
      <c r="S342" t="n">
        <v>5</v>
      </c>
      <c r="T342" t="inlineStr">
        <is>
          <t>Мост от анатомии объектива к фокусному расстоянию: сначала научиться читать надписи на объективе.</t>
        </is>
      </c>
      <c r="U342" t="inlineStr">
        <is>
          <t>Крупный план переднего кольца объектива с маркировкой 50mm f/1.8; стрелка выделяет фокусное расстояние.</t>
        </is>
      </c>
      <c r="V342" t="inlineStr">
        <is>
          <t>#PL033 #lensname #focallength #50mm</t>
        </is>
      </c>
      <c r="Y342" t="inlineStr">
        <is>
          <t>Фокусное расстояние / маркировка объектива</t>
        </is>
      </c>
      <c r="Z342" t="inlineStr">
        <is>
          <t>Связь / переход</t>
        </is>
      </c>
    </row>
    <row r="343" ht="17" customHeight="1" s="72">
      <c r="A343" t="inlineStr">
        <is>
          <t>PL-HIST-0342</t>
        </is>
      </c>
      <c r="B343" t="inlineStr">
        <is>
          <t>сегодня</t>
        </is>
      </c>
      <c r="C343" t="inlineStr">
        <is>
          <t>примерно</t>
        </is>
      </c>
      <c r="D343" t="inlineStr">
        <is>
          <t>глобально</t>
        </is>
      </c>
      <c r="E343" t="inlineStr">
        <is>
          <t>объективы / кадр</t>
        </is>
      </c>
      <c r="F343" t="inlineStr">
        <is>
          <t>Nikon / Canon / фотографы</t>
        </is>
      </c>
      <c r="G343" t="inlineStr">
        <is>
          <t>Фокусное расстояние — это оптическая величина в миллиметрах, которая определяет угол зрения и масштаб изображения; это не просто физическая длина объектива.</t>
        </is>
      </c>
      <c r="H343" t="inlineStr">
        <is>
          <t>Оптические инструменты</t>
        </is>
      </c>
      <c r="I343" t="inlineStr">
        <is>
          <t>Focal length definition</t>
        </is>
      </c>
      <c r="J343" t="inlineStr">
        <is>
          <t>Фотограф получает главный язык выбора объектива: сколько пространства войдёт в кадр и насколько крупно будет выглядеть объект.</t>
        </is>
      </c>
      <c r="K343" t="inlineStr">
        <is>
          <t>PL-032 — устройство объектива</t>
        </is>
      </c>
      <c r="L343" t="inlineStr">
        <is>
          <t>Широкий угол</t>
        </is>
      </c>
      <c r="M343" t="inlineStr">
        <is>
          <t>Связь / переход</t>
        </is>
      </c>
      <c r="N343" t="n">
        <v>5</v>
      </c>
      <c r="O343" t="inlineStr">
        <is>
          <t>PL-033</t>
        </is>
      </c>
      <c r="P343" t="inlineStr">
        <is>
          <t>SRC-253</t>
        </is>
      </c>
      <c r="Q343" t="inlineStr">
        <is>
          <t>Nikon USA — Understanding Focal Length</t>
        </is>
      </c>
      <c r="R343" t="inlineStr">
        <is>
          <t>https://www.nikonusa.com/learn-and-explore/c/tips-and-techniques/understanding-focal-length</t>
        </is>
      </c>
      <c r="S343" t="n">
        <v>5</v>
      </c>
      <c r="T343" t="inlineStr">
        <is>
          <t>Флагман PL-033: фокусное расстояние = угол зрения и масштаб, а не «длина трубы».</t>
        </is>
      </c>
      <c r="U343" t="inlineStr">
        <is>
          <t>Три объектива 24/50/135 мм и три разных конуса угла зрения.</t>
        </is>
      </c>
      <c r="V343" t="inlineStr">
        <is>
          <t>#PL033 #focallength #angleofview #magnification</t>
        </is>
      </c>
      <c r="Y343" t="inlineStr">
        <is>
          <t>Фокусное расстояние / определение</t>
        </is>
      </c>
      <c r="Z343" t="inlineStr">
        <is>
          <t>Ключевой исторический узел</t>
        </is>
      </c>
      <c r="AA343" t="inlineStr">
        <is>
          <t>да</t>
        </is>
      </c>
    </row>
    <row r="344" ht="17" customHeight="1" s="72">
      <c r="A344" t="inlineStr">
        <is>
          <t>PL-HIST-0343</t>
        </is>
      </c>
      <c r="B344" t="inlineStr">
        <is>
          <t>сегодня</t>
        </is>
      </c>
      <c r="C344" t="inlineStr">
        <is>
          <t>примерно</t>
        </is>
      </c>
      <c r="D344" t="inlineStr">
        <is>
          <t>глобально</t>
        </is>
      </c>
      <c r="E344" t="inlineStr">
        <is>
          <t>широкоугольная съёмка</t>
        </is>
      </c>
      <c r="F344" t="inlineStr">
        <is>
          <t>фотограф</t>
        </is>
      </c>
      <c r="G344" t="inlineStr">
        <is>
          <t>Короткое фокусное расстояние даёт широкий угол зрения: в кадр входит больше пространства, а близкие предметы становятся визуально активнее.</t>
        </is>
      </c>
      <c r="H344" t="inlineStr">
        <is>
          <t>Оптические инструменты</t>
        </is>
      </c>
      <c r="I344" t="inlineStr">
        <is>
          <t>Wide-angle focal lengths</t>
        </is>
      </c>
      <c r="J344" t="inlineStr">
        <is>
          <t>Широкий угол усиливает ощущение пространства и близости, но требует аккуратной работы с краями и перспективой.</t>
        </is>
      </c>
      <c r="K344" t="inlineStr">
        <is>
          <t>Определение</t>
        </is>
      </c>
      <c r="L344" t="inlineStr">
        <is>
          <t>Нормальный объектив</t>
        </is>
      </c>
      <c r="M344" t="inlineStr">
        <is>
          <t>Главная линия / широкий угол</t>
        </is>
      </c>
      <c r="N344" t="n">
        <v>5</v>
      </c>
      <c r="O344" t="inlineStr">
        <is>
          <t>PL-033</t>
        </is>
      </c>
      <c r="P344" t="inlineStr">
        <is>
          <t>SRC-263</t>
        </is>
      </c>
      <c r="Q344" t="inlineStr">
        <is>
          <t>Cambridge in Colour — Using Wide Angle Lenses</t>
        </is>
      </c>
      <c r="R344" t="inlineStr">
        <is>
          <t>https://www.cambridgeincolour.com/tutorials/wide-angle-lenses.htm</t>
        </is>
      </c>
      <c r="S344" t="n">
        <v>5</v>
      </c>
      <c r="T344" t="inlineStr">
        <is>
          <t>Подготовка к PL-034.</t>
        </is>
      </c>
      <c r="U344" t="inlineStr">
        <is>
          <t>Схема 24 мм: широкий конус, передний план крупный, фон далеко.</t>
        </is>
      </c>
      <c r="V344" t="inlineStr">
        <is>
          <t>#PL033 #wideangle #24mm #space</t>
        </is>
      </c>
      <c r="Y344" t="inlineStr">
        <is>
          <t>Фокусное расстояние / широкий угол</t>
        </is>
      </c>
      <c r="Z344" t="inlineStr">
        <is>
          <t>Технология / процесс</t>
        </is>
      </c>
    </row>
    <row r="345" ht="17" customHeight="1" s="72">
      <c r="A345" t="inlineStr">
        <is>
          <t>PL-HIST-0344</t>
        </is>
      </c>
      <c r="B345" t="inlineStr">
        <is>
          <t>сегодня</t>
        </is>
      </c>
      <c r="C345" t="inlineStr">
        <is>
          <t>примерно</t>
        </is>
      </c>
      <c r="D345" t="inlineStr">
        <is>
          <t>глобально</t>
        </is>
      </c>
      <c r="E345" t="inlineStr">
        <is>
          <t>35 мм формат</t>
        </is>
      </c>
      <c r="F345" t="inlineStr">
        <is>
          <t>фотографы</t>
        </is>
      </c>
      <c r="G345" t="inlineStr">
        <is>
          <t>Около 50 мм на 35-мм кадре часто воспринимается как «нормальный» угол: он не слишком широкий и не слишком узкий, поэтому удобен для обучения взгляду.</t>
        </is>
      </c>
      <c r="H345" t="inlineStr">
        <is>
          <t>Оптические инструменты</t>
        </is>
      </c>
      <c r="I345" t="inlineStr">
        <is>
          <t>Normal lens around 50mm</t>
        </is>
      </c>
      <c r="J345" t="inlineStr">
        <is>
          <t>Нормальный объектив становится учебной точкой отсчёта между широким и длинным фокусным расстоянием.</t>
        </is>
      </c>
      <c r="K345" t="inlineStr">
        <is>
          <t>Широкий угол</t>
        </is>
      </c>
      <c r="L345" t="inlineStr">
        <is>
          <t>Телефото</t>
        </is>
      </c>
      <c r="M345" t="inlineStr">
        <is>
          <t>Главная линия / нормальный объектив</t>
        </is>
      </c>
      <c r="N345" t="n">
        <v>5</v>
      </c>
      <c r="O345" t="inlineStr">
        <is>
          <t>PL-033</t>
        </is>
      </c>
      <c r="P345" t="inlineStr">
        <is>
          <t>SRC-265</t>
        </is>
      </c>
      <c r="Q345" t="inlineStr">
        <is>
          <t>Nikon UK — What is focal length?</t>
        </is>
      </c>
      <c r="R345" t="inlineStr">
        <is>
          <t>https://www.nikon.co.uk/en_GB/learn-and-explore/magazine/tips-and-tricks/what-is-focal-length-in-photography-a-guide-for-beginners</t>
        </is>
      </c>
      <c r="S345" t="n">
        <v>5</v>
      </c>
      <c r="T345" t="inlineStr">
        <is>
          <t>Важно не говорить, что 50 мм «повторяет глаз» буквально; лучше — удобная нейтральная точка отсчёта.</t>
        </is>
      </c>
      <c r="U345" t="inlineStr">
        <is>
          <t>Кадр 50 мм: человек в среде без сильного искажения и без сильного сжатия.</t>
        </is>
      </c>
      <c r="V345" t="inlineStr">
        <is>
          <t>#PL033 #50mm #normal-lens #35mm</t>
        </is>
      </c>
      <c r="Y345" t="inlineStr">
        <is>
          <t>Фокусное расстояние / нормальный объектив</t>
        </is>
      </c>
      <c r="Z345" t="inlineStr">
        <is>
          <t>Терминология / язык</t>
        </is>
      </c>
    </row>
    <row r="346" ht="17" customHeight="1" s="72">
      <c r="A346" t="inlineStr">
        <is>
          <t>PL-HIST-0345</t>
        </is>
      </c>
      <c r="B346" t="inlineStr">
        <is>
          <t>сегодня</t>
        </is>
      </c>
      <c r="C346" t="inlineStr">
        <is>
          <t>примерно</t>
        </is>
      </c>
      <c r="D346" t="inlineStr">
        <is>
          <t>глобально</t>
        </is>
      </c>
      <c r="E346" t="inlineStr">
        <is>
          <t>портрет / спорт / детали</t>
        </is>
      </c>
      <c r="F346" t="inlineStr">
        <is>
          <t>фотограф</t>
        </is>
      </c>
      <c r="G346" t="inlineStr">
        <is>
          <t>Длинное фокусное расстояние даёт узкий угол зрения и увеличивает далёкие объекты в кадре: фотограф может выделить деталь, лицо или дальний фрагмент сцены.</t>
        </is>
      </c>
      <c r="H346" t="inlineStr">
        <is>
          <t>Оптические инструменты</t>
        </is>
      </c>
      <c r="I346" t="inlineStr">
        <is>
          <t>Telephoto focal lengths</t>
        </is>
      </c>
      <c r="J346" t="inlineStr">
        <is>
          <t>Телефото превращает выбор объектива в способ изоляции объекта и уплотнения визуального поля.</t>
        </is>
      </c>
      <c r="K346" t="inlineStr">
        <is>
          <t>Нормальный объектив</t>
        </is>
      </c>
      <c r="L346" t="inlineStr">
        <is>
          <t>Перспектива и дистанция</t>
        </is>
      </c>
      <c r="M346" t="inlineStr">
        <is>
          <t>Главная линия / телефото</t>
        </is>
      </c>
      <c r="N346" t="n">
        <v>5</v>
      </c>
      <c r="O346" t="inlineStr">
        <is>
          <t>PL-033</t>
        </is>
      </c>
      <c r="P346" t="inlineStr">
        <is>
          <t>SRC-264</t>
        </is>
      </c>
      <c r="Q346" t="inlineStr">
        <is>
          <t>Cambridge in Colour — Using Telephoto Lenses</t>
        </is>
      </c>
      <c r="R346" t="inlineStr">
        <is>
          <t>https://www.cambridgeincolour.com/tutorials/telephoto-lenses.htm</t>
        </is>
      </c>
      <c r="S346" t="n">
        <v>5</v>
      </c>
      <c r="T346" t="inlineStr">
        <is>
          <t>Подготовка к PL-037.</t>
        </is>
      </c>
      <c r="U346" t="inlineStr">
        <is>
          <t>Схема 135 мм: узкий конус, объект крупный, фон кажется ближе.</t>
        </is>
      </c>
      <c r="V346" t="inlineStr">
        <is>
          <t>#PL033 #telephoto #135mm #isolation</t>
        </is>
      </c>
      <c r="Y346" t="inlineStr">
        <is>
          <t>Фокусное расстояние / телефото</t>
        </is>
      </c>
      <c r="Z346" t="inlineStr">
        <is>
          <t>Технология / процесс</t>
        </is>
      </c>
    </row>
    <row r="347" ht="17" customHeight="1" s="72">
      <c r="A347" t="inlineStr">
        <is>
          <t>PL-HIST-0346</t>
        </is>
      </c>
      <c r="B347" t="inlineStr">
        <is>
          <t>сегодня</t>
        </is>
      </c>
      <c r="C347" t="inlineStr">
        <is>
          <t>примерно</t>
        </is>
      </c>
      <c r="D347" t="inlineStr">
        <is>
          <t>глобально</t>
        </is>
      </c>
      <c r="E347" t="inlineStr">
        <is>
          <t>любая съёмка</t>
        </is>
      </c>
      <c r="F347" t="inlineStr">
        <is>
          <t>фотограф / преподаватель</t>
        </is>
      </c>
      <c r="G347" t="inlineStr">
        <is>
          <t>Перспектива зависит от позиции камеры, а не от фокусного расстояния само по себе. Но выбранный объектив часто заставляет фотографа подойти ближе или отойти дальше.</t>
        </is>
      </c>
      <c r="H347" t="inlineStr">
        <is>
          <t>Оптические инструменты</t>
        </is>
      </c>
      <c r="I347" t="inlineStr">
        <is>
          <t>Focal length vs perspective</t>
        </is>
      </c>
      <c r="J347" t="inlineStr">
        <is>
          <t>Урок снимает частую ошибку: «объектив сжимает перспективу» — на практике это связано с дистанцией съёмки и кадрированием.</t>
        </is>
      </c>
      <c r="K347" t="inlineStr">
        <is>
          <t>Телефото</t>
        </is>
      </c>
      <c r="L347" t="inlineStr">
        <is>
          <t>Одинаковый масштаб разными объективами</t>
        </is>
      </c>
      <c r="M347" t="inlineStr">
        <is>
          <t>Главная линия / исправление заблуждения</t>
        </is>
      </c>
      <c r="N347" t="n">
        <v>5</v>
      </c>
      <c r="O347" t="inlineStr">
        <is>
          <t>PL-033</t>
        </is>
      </c>
      <c r="P347" t="inlineStr">
        <is>
          <t>SRC-252</t>
        </is>
      </c>
      <c r="Q347" t="inlineStr">
        <is>
          <t>Cambridge in Colour — Understanding Camera Lenses</t>
        </is>
      </c>
      <c r="R347" t="inlineStr">
        <is>
          <t>https://www.cambridgeincolour.com/tutorials/camera-lenses.htm</t>
        </is>
      </c>
      <c r="S347" t="n">
        <v>5</v>
      </c>
      <c r="T347" t="inlineStr">
        <is>
          <t>Очень важная образовательная точка для новичков.</t>
        </is>
      </c>
      <c r="U347" t="inlineStr">
        <is>
          <t>Две камеры на разных расстояниях от портрета; линии перспективы показывают изменение дистанции.</t>
        </is>
      </c>
      <c r="V347" t="inlineStr">
        <is>
          <t>#PL033 #perspective #distance #lensmyth</t>
        </is>
      </c>
      <c r="Y347" t="inlineStr">
        <is>
          <t>Фокусное расстояние / перспектива и дистанция</t>
        </is>
      </c>
      <c r="Z347" t="inlineStr">
        <is>
          <t>Терминология / язык</t>
        </is>
      </c>
    </row>
    <row r="348" ht="17" customHeight="1" s="72">
      <c r="A348" t="inlineStr">
        <is>
          <t>PL-HIST-0347</t>
        </is>
      </c>
      <c r="B348" t="inlineStr">
        <is>
          <t>сегодня</t>
        </is>
      </c>
      <c r="C348" t="inlineStr">
        <is>
          <t>примерно</t>
        </is>
      </c>
      <c r="D348" t="inlineStr">
        <is>
          <t>глобально</t>
        </is>
      </c>
      <c r="E348" t="inlineStr">
        <is>
          <t>портрет / улица</t>
        </is>
      </c>
      <c r="F348" t="inlineStr">
        <is>
          <t>фотограф</t>
        </is>
      </c>
      <c r="G348" t="inlineStr">
        <is>
          <t>Если сохранить объект одного размера в кадре, но менять фокусное расстояние, фотограф будет менять дистанцию — поэтому фон, лицо и пространство начнут выглядеть иначе.</t>
        </is>
      </c>
      <c r="H348" t="inlineStr">
        <is>
          <t>Оптические инструменты</t>
        </is>
      </c>
      <c r="I348" t="inlineStr">
        <is>
          <t>Same framing with different focal lengths</t>
        </is>
      </c>
      <c r="J348" t="inlineStr">
        <is>
          <t>Фокусное расстояние становится практическим выбором дистанции и отношений между объектом и фоном.</t>
        </is>
      </c>
      <c r="K348" t="inlineStr">
        <is>
          <t>Перспектива и дистанция</t>
        </is>
      </c>
      <c r="L348" t="inlineStr">
        <is>
          <t>Формат кадра</t>
        </is>
      </c>
      <c r="M348" t="inlineStr">
        <is>
          <t>Главная линия / визуальный эксперимент</t>
        </is>
      </c>
      <c r="N348" t="n">
        <v>5</v>
      </c>
      <c r="O348" t="inlineStr">
        <is>
          <t>PL-033</t>
        </is>
      </c>
      <c r="P348" t="inlineStr">
        <is>
          <t>SRC-264</t>
        </is>
      </c>
      <c r="Q348" t="inlineStr">
        <is>
          <t>Cambridge in Colour — Using Telephoto Lenses</t>
        </is>
      </c>
      <c r="R348" t="inlineStr">
        <is>
          <t>https://www.cambridgeincolour.com/tutorials/telephoto-lenses.htm</t>
        </is>
      </c>
      <c r="S348" t="n">
        <v>5</v>
      </c>
      <c r="T348" t="inlineStr">
        <is>
          <t>Практика: снять портрет на 28/50/85 с одинаковым размером лица.</t>
        </is>
      </c>
      <c r="U348" t="inlineStr">
        <is>
          <t>Триптих портрета: 28 мм близко, 50 мм средне, 85 мм дальше.</t>
        </is>
      </c>
      <c r="V348" t="inlineStr">
        <is>
          <t>#PL033 #portrait #sameframing #backgroundcompression</t>
        </is>
      </c>
      <c r="Y348" t="inlineStr">
        <is>
          <t>Фокусное расстояние / одинаковый масштаб</t>
        </is>
      </c>
      <c r="Z348" t="inlineStr">
        <is>
          <t>Применение / жанр</t>
        </is>
      </c>
    </row>
    <row r="349" ht="17" customHeight="1" s="72">
      <c r="A349" t="inlineStr">
        <is>
          <t>PL-HIST-0348</t>
        </is>
      </c>
      <c r="B349" t="inlineStr">
        <is>
          <t>сегодня</t>
        </is>
      </c>
      <c r="C349" t="inlineStr">
        <is>
          <t>примерно</t>
        </is>
      </c>
      <c r="D349" t="inlineStr">
        <is>
          <t>глобально</t>
        </is>
      </c>
      <c r="E349" t="inlineStr">
        <is>
          <t>35 мм / APS-C / средний формат</t>
        </is>
      </c>
      <c r="F349" t="inlineStr">
        <is>
          <t>фотографы</t>
        </is>
      </c>
      <c r="G349" t="inlineStr">
        <is>
          <t>Один и тот же объектив даёт разный угол зрения на разных форматах кадра: меньший кадр обрезает изображение, больший показывает шире.</t>
        </is>
      </c>
      <c r="H349" t="inlineStr">
        <is>
          <t>Оптические инструменты</t>
        </is>
      </c>
      <c r="I349" t="inlineStr">
        <is>
          <t>Format / crop factor and angle of view</t>
        </is>
      </c>
      <c r="J349" t="inlineStr">
        <is>
          <t>Фокусное расстояние нужно понимать вместе с размером кадра: 50 мм на разных форматах не даёт одинакового поля зрения.</t>
        </is>
      </c>
      <c r="K349" t="inlineStr">
        <is>
          <t>Одинаковый масштаб</t>
        </is>
      </c>
      <c r="L349" t="inlineStr">
        <is>
          <t>Фикс и зум</t>
        </is>
      </c>
      <c r="M349" t="inlineStr">
        <is>
          <t>Главная линия / формат кадра</t>
        </is>
      </c>
      <c r="N349" t="n">
        <v>5</v>
      </c>
      <c r="O349" t="inlineStr">
        <is>
          <t>PL-033</t>
        </is>
      </c>
      <c r="P349" t="inlineStr">
        <is>
          <t>SRC-253</t>
        </is>
      </c>
      <c r="Q349" t="inlineStr">
        <is>
          <t>Nikon USA — Understanding Focal Length</t>
        </is>
      </c>
      <c r="R349" t="inlineStr">
        <is>
          <t>https://www.nikonusa.com/learn-and-explore/c/tips-and-techniques/understanding-focal-length</t>
        </is>
      </c>
      <c r="S349" t="n">
        <v>5</v>
      </c>
      <c r="T349" t="inlineStr">
        <is>
          <t>Связать плёнку 35 мм, средний формат и цифровые сенсоры.</t>
        </is>
      </c>
      <c r="U349" t="inlineStr">
        <is>
          <t>Один круг изображения, внутри рамки: 35 мм, APS-C, 6×6; разный crop.</t>
        </is>
      </c>
      <c r="V349" t="inlineStr">
        <is>
          <t>#PL033 #cropfactor #format #angleofview</t>
        </is>
      </c>
      <c r="Y349" t="inlineStr">
        <is>
          <t>Фокусное расстояние / формат кадра</t>
        </is>
      </c>
      <c r="Z349" t="inlineStr">
        <is>
          <t>Технология / процесс</t>
        </is>
      </c>
    </row>
    <row r="350" ht="17" customHeight="1" s="72">
      <c r="A350" t="inlineStr">
        <is>
          <t>PL-HIST-0349</t>
        </is>
      </c>
      <c r="B350" t="inlineStr">
        <is>
          <t>сегодня</t>
        </is>
      </c>
      <c r="C350" t="inlineStr">
        <is>
          <t>примерно</t>
        </is>
      </c>
      <c r="D350" t="inlineStr">
        <is>
          <t>глобально</t>
        </is>
      </c>
      <c r="E350" t="inlineStr">
        <is>
          <t>набор объективов</t>
        </is>
      </c>
      <c r="F350" t="inlineStr">
        <is>
          <t>фотограф</t>
        </is>
      </c>
      <c r="G350" t="inlineStr">
        <is>
          <t>Фикс учит заранее думать углом зрения, а zoom даёт быстро менять кадр без смены объектива. Оба варианта полезны, если фотограф понимает задачу.</t>
        </is>
      </c>
      <c r="H350" t="inlineStr">
        <is>
          <t>Оптические инструменты</t>
        </is>
      </c>
      <c r="I350" t="inlineStr">
        <is>
          <t>Prime and zoom focal-length workflow</t>
        </is>
      </c>
      <c r="J350" t="inlineStr">
        <is>
          <t>Фокусное расстояние становится не только числом, но и способом двигаться, выбирать расстояние и строить серию.</t>
        </is>
      </c>
      <c r="K350" t="inlineStr">
        <is>
          <t>Формат кадра</t>
        </is>
      </c>
      <c r="L350" t="inlineStr">
        <is>
          <t>Минимальная дистанция фокусировки</t>
        </is>
      </c>
      <c r="M350" t="inlineStr">
        <is>
          <t>Главная линия / рабочий процесс</t>
        </is>
      </c>
      <c r="N350" t="n">
        <v>5</v>
      </c>
      <c r="O350" t="inlineStr">
        <is>
          <t>PL-033</t>
        </is>
      </c>
      <c r="P350" t="inlineStr">
        <is>
          <t>SRC-252</t>
        </is>
      </c>
      <c r="Q350" t="inlineStr">
        <is>
          <t>Cambridge in Colour — Understanding Camera Lenses</t>
        </is>
      </c>
      <c r="R350" t="inlineStr">
        <is>
          <t>https://www.cambridgeincolour.com/tutorials/camera-lenses.htm</t>
        </is>
      </c>
      <c r="S350" t="n">
        <v>5</v>
      </c>
      <c r="T350" t="inlineStr">
        <is>
          <t>Сформулировать без догмы: фикс не «лучше», zoom не «хуже» — это разные рабочие ритмы.</t>
        </is>
      </c>
      <c r="U350" t="inlineStr">
        <is>
          <t>Фотограф с фикс-объективом шагает; рядом фотограф меняет кольцо зума.</t>
        </is>
      </c>
      <c r="V350" t="inlineStr">
        <is>
          <t>#PL033 #prime #zoom #workflow</t>
        </is>
      </c>
      <c r="Y350" t="inlineStr">
        <is>
          <t>Фокусное расстояние / фикс и зум</t>
        </is>
      </c>
      <c r="Z350" t="inlineStr">
        <is>
          <t>Инструмент / устройство</t>
        </is>
      </c>
    </row>
    <row r="351" ht="17" customHeight="1" s="72">
      <c r="A351" t="inlineStr">
        <is>
          <t>PL-HIST-0350</t>
        </is>
      </c>
      <c r="B351" t="inlineStr">
        <is>
          <t>сегодня</t>
        </is>
      </c>
      <c r="C351" t="inlineStr">
        <is>
          <t>примерно</t>
        </is>
      </c>
      <c r="D351" t="inlineStr">
        <is>
          <t>глобально</t>
        </is>
      </c>
      <c r="E351" t="inlineStr">
        <is>
          <t>макро / предметка</t>
        </is>
      </c>
      <c r="F351" t="inlineStr">
        <is>
          <t>фотограф</t>
        </is>
      </c>
      <c r="G351" t="inlineStr">
        <is>
          <t>Фокусное расстояние не равно масштабу макро: для крупного плана важны минимальная дистанция фокусировки, увеличение и конструкция объектива.</t>
        </is>
      </c>
      <c r="H351" t="inlineStr">
        <is>
          <t>Оптические инструменты</t>
        </is>
      </c>
      <c r="I351" t="inlineStr">
        <is>
          <t>Minimum focus distance / magnification</t>
        </is>
      </c>
      <c r="J351" t="inlineStr">
        <is>
          <t>Новичок учится читать характеристики объектива шире, чем только «сколько миллиметров».</t>
        </is>
      </c>
      <c r="K351" t="inlineStr">
        <is>
          <t>Фикс и зум</t>
        </is>
      </c>
      <c r="L351" t="inlineStr">
        <is>
          <t>Выбор фокусного под жанр</t>
        </is>
      </c>
      <c r="M351" t="inlineStr">
        <is>
          <t>Главная линия / практическая характеристика</t>
        </is>
      </c>
      <c r="N351" t="n">
        <v>4</v>
      </c>
      <c r="O351" t="inlineStr">
        <is>
          <t>PL-033</t>
        </is>
      </c>
      <c r="P351" t="inlineStr">
        <is>
          <t>SRC-257</t>
        </is>
      </c>
      <c r="Q351" t="inlineStr">
        <is>
          <t>B&amp;H eXplora — How Focus Works</t>
        </is>
      </c>
      <c r="R351" t="inlineStr">
        <is>
          <t>https://www.bhphotovideo.com/explora/photography/tips-and-solutions/how-focus-works</t>
        </is>
      </c>
      <c r="S351" t="n">
        <v>5</v>
      </c>
      <c r="T351" t="inlineStr">
        <is>
          <t>Важно перед будущими уроками о предметке и макро.</t>
        </is>
      </c>
      <c r="U351" t="inlineStr">
        <is>
          <t>Объектив фокусируется на маленьком предмете; подписи MFD и magnification.</t>
        </is>
      </c>
      <c r="V351" t="inlineStr">
        <is>
          <t>#PL033 #minimumfocusdistance #magnification #macro</t>
        </is>
      </c>
      <c r="Y351" t="inlineStr">
        <is>
          <t>Фокусное расстояние / минимальная дистанция</t>
        </is>
      </c>
      <c r="Z351" t="inlineStr">
        <is>
          <t>Технология / процесс</t>
        </is>
      </c>
    </row>
    <row r="352" ht="17" customHeight="1" s="72">
      <c r="A352" t="inlineStr">
        <is>
          <t>PL-HIST-0351</t>
        </is>
      </c>
      <c r="B352" t="inlineStr">
        <is>
          <t>сегодня</t>
        </is>
      </c>
      <c r="C352" t="inlineStr">
        <is>
          <t>примерно</t>
        </is>
      </c>
      <c r="D352" t="inlineStr">
        <is>
          <t>глобально</t>
        </is>
      </c>
      <c r="E352" t="inlineStr">
        <is>
          <t>PHOTO LAB / модуль объективов</t>
        </is>
      </c>
      <c r="F352" t="inlineStr">
        <is>
          <t>PHOTO LAB by VF</t>
        </is>
      </c>
      <c r="G352" t="inlineStr">
        <is>
          <t>Итог PL-033: фокусное расстояние — это выбор угла зрения, дистанции работы и ощущения пространства. Дальше можно отдельно разобрать широкий, нормальный, портретный и телеобъектив.</t>
        </is>
      </c>
      <c r="H352" t="inlineStr">
        <is>
          <t>Оптические инструменты</t>
        </is>
      </c>
      <c r="I352" t="inlineStr">
        <is>
          <t>Focal length as visual language</t>
        </is>
      </c>
      <c r="J352" t="inlineStr">
        <is>
          <t>Фокусное расстояние превращается из технической цифры в авторский инструмент.</t>
        </is>
      </c>
      <c r="K352" t="inlineStr">
        <is>
          <t>Минимальная дистанция фокусировки</t>
        </is>
      </c>
      <c r="L352" t="inlineStr">
        <is>
          <t>PL-034 — широкоугольный объектив</t>
        </is>
      </c>
      <c r="M352" t="inlineStr">
        <is>
          <t>Связь / переход</t>
        </is>
      </c>
      <c r="N352" t="n">
        <v>5</v>
      </c>
      <c r="O352" t="inlineStr">
        <is>
          <t>PL-033</t>
        </is>
      </c>
      <c r="P352" t="inlineStr">
        <is>
          <t>SRC-265</t>
        </is>
      </c>
      <c r="Q352" t="inlineStr">
        <is>
          <t>Nikon UK — What is focal length?</t>
        </is>
      </c>
      <c r="R352" t="inlineStr">
        <is>
          <t>https://www.nikon.co.uk/en_GB/learn-and-explore/magazine/tips-and-tricks/what-is-focal-length-in-photography-a-guide-for-beginners</t>
        </is>
      </c>
      <c r="S352" t="n">
        <v>5</v>
      </c>
      <c r="T352" t="inlineStr">
        <is>
          <t>Финальный мост к PL-034–PL-037.</t>
        </is>
      </c>
      <c r="U352" t="inlineStr">
        <is>
          <t>Лента из четырёх кадров: wide / normal / portrait / telephoto.</t>
        </is>
      </c>
      <c r="V352" t="inlineStr">
        <is>
          <t>#PL033 #visual-language #wide #normal #telephoto</t>
        </is>
      </c>
      <c r="Y352" t="inlineStr">
        <is>
          <t>Фокусное расстояние / мост к типам объективов</t>
        </is>
      </c>
      <c r="Z352" t="inlineStr">
        <is>
          <t>Связь / переход</t>
        </is>
      </c>
    </row>
    <row r="353" ht="17" customHeight="1" s="72">
      <c r="A353" t="inlineStr">
        <is>
          <t>PL-HIST-0352</t>
        </is>
      </c>
      <c r="B353" t="inlineStr">
        <is>
          <t>сегодня</t>
        </is>
      </c>
      <c r="C353" t="inlineStr">
        <is>
          <t>примерно</t>
        </is>
      </c>
      <c r="D353" t="inlineStr">
        <is>
          <t>глобально</t>
        </is>
      </c>
      <c r="E353" t="inlineStr">
        <is>
          <t>35 мм / full-frame контекст</t>
        </is>
      </c>
      <c r="F353" t="inlineStr">
        <is>
          <t>фотографы / производители объективов</t>
        </is>
      </c>
      <c r="G353" t="inlineStr">
        <is>
          <t>Широкоугольный объектив — это объектив с коротким фокусным расстоянием и широким углом зрения: на 35 мм/full-frame обычно сюда относят примерно 35 мм и короче.</t>
        </is>
      </c>
      <c r="H353" t="inlineStr">
        <is>
          <t>Оптические инструменты</t>
        </is>
      </c>
      <c r="I353" t="inlineStr">
        <is>
          <t>Wide-angle lens / short focal length</t>
        </is>
      </c>
      <c r="J353" t="inlineStr">
        <is>
          <t>Фотограф получает не просто «больше пространства», а другой способ строить кадр: ближе к объекту, больше контекста, сильнее ощущение глубины.</t>
        </is>
      </c>
      <c r="K353" t="inlineStr">
        <is>
          <t>PL-033 — фокусное расстояние</t>
        </is>
      </c>
      <c r="L353" t="inlineStr">
        <is>
          <t>Ультраширокий угол</t>
        </is>
      </c>
      <c r="M353" t="inlineStr">
        <is>
          <t>Главная линия / угол зрения</t>
        </is>
      </c>
      <c r="N353" t="n">
        <v>5</v>
      </c>
      <c r="O353" t="inlineStr">
        <is>
          <t>PL-034</t>
        </is>
      </c>
      <c r="P353" t="inlineStr">
        <is>
          <t>SRC-268</t>
        </is>
      </c>
      <c r="Q353" t="inlineStr">
        <is>
          <t>Cambridge in Colour — Using Wide Angle Lenses</t>
        </is>
      </c>
      <c r="R353" t="inlineStr">
        <is>
          <t>https://www.cambridgeincolour.com/tutorials/wide-angle-lenses.htm</t>
        </is>
      </c>
      <c r="S353" t="n">
        <v>5</v>
      </c>
      <c r="T353" t="inlineStr">
        <is>
          <t>Флагман PL-034: широкий угол — это не эффект «искажения», а большой угол зрения плюс близкая точка съёмки.</t>
        </is>
      </c>
      <c r="U353" t="inlineStr">
        <is>
          <t>Карта углов зрения: 50 мм, 35 мм, 24 мм; широкий конус света выделен золотом.</t>
        </is>
      </c>
      <c r="V353" t="inlineStr">
        <is>
          <t>#PL034 #wideangle #focallength #angleofview</t>
        </is>
      </c>
      <c r="Y353" t="inlineStr">
        <is>
          <t>Широкоугольный объектив / базовое определение</t>
        </is>
      </c>
      <c r="Z353" t="inlineStr">
        <is>
          <t>Ключевой исторический узел</t>
        </is>
      </c>
      <c r="AA353" t="inlineStr">
        <is>
          <t>да</t>
        </is>
      </c>
    </row>
    <row r="354" ht="17" customHeight="1" s="72">
      <c r="A354" t="inlineStr">
        <is>
          <t>PL-HIST-0353</t>
        </is>
      </c>
      <c r="B354" t="inlineStr">
        <is>
          <t>сегодня</t>
        </is>
      </c>
      <c r="C354" t="inlineStr">
        <is>
          <t>примерно</t>
        </is>
      </c>
      <c r="D354" t="inlineStr">
        <is>
          <t>глобально</t>
        </is>
      </c>
      <c r="E354" t="inlineStr">
        <is>
          <t>ландшафт / архитектура</t>
        </is>
      </c>
      <c r="F354" t="inlineStr">
        <is>
          <t>фотограф</t>
        </is>
      </c>
      <c r="G354" t="inlineStr">
        <is>
          <t>Ультраширокие объективы показывают ещё больше сцены: в современном 35 мм/full-frame языке это диапазон примерно 8–24 мм.</t>
        </is>
      </c>
      <c r="H354" t="inlineStr">
        <is>
          <t>Оптические инструменты</t>
        </is>
      </c>
      <c r="I354" t="inlineStr">
        <is>
          <t>Ultra-wide angle</t>
        </is>
      </c>
      <c r="J354" t="inlineStr">
        <is>
          <t>Ультраширокий объектив усиливает драму пространства: небо, стены, передний план и линии становятся активными участниками композиции.</t>
        </is>
      </c>
      <c r="K354" t="inlineStr">
        <is>
          <t>Широкий угол</t>
        </is>
      </c>
      <c r="L354" t="inlineStr">
        <is>
          <t>Формат кадра и crop factor</t>
        </is>
      </c>
      <c r="M354" t="inlineStr">
        <is>
          <t>Главная линия / драматичный угол зрения</t>
        </is>
      </c>
      <c r="N354" t="n">
        <v>5</v>
      </c>
      <c r="O354" t="inlineStr">
        <is>
          <t>PL-034</t>
        </is>
      </c>
      <c r="P354" t="inlineStr">
        <is>
          <t>SRC-269</t>
        </is>
      </c>
      <c r="Q354" t="inlineStr">
        <is>
          <t>Nikon — What is focal length?</t>
        </is>
      </c>
      <c r="R354" t="inlineStr">
        <is>
          <t>https://www.nikon.nl/nl_NL/learn-and-explore/magazine/tips-and-tricks/what-is-focal-length-in-photography-a-guide-for-beginners</t>
        </is>
      </c>
      <c r="S354" t="n">
        <v>5</v>
      </c>
      <c r="T354" t="inlineStr">
        <is>
          <t>Нужно связать 24 мм как сильный, но ещё управляемый инструмент с 14–20 мм как более экстремальным.</t>
        </is>
      </c>
      <c r="U354" t="inlineStr">
        <is>
          <t>Интерьер/пейзаж, где передний план большой, а линия горизонта уходит далеко.</t>
        </is>
      </c>
      <c r="V354" t="inlineStr">
        <is>
          <t>#PL034 #ultrawide #landscape #architecture</t>
        </is>
      </c>
      <c r="Y354" t="inlineStr">
        <is>
          <t>Широкоугольный объектив / ультраширокий угол</t>
        </is>
      </c>
      <c r="Z354" t="inlineStr">
        <is>
          <t>Инструмент / устройство</t>
        </is>
      </c>
    </row>
    <row r="355" ht="17" customHeight="1" s="72">
      <c r="A355" t="inlineStr">
        <is>
          <t>PL-HIST-0354</t>
        </is>
      </c>
      <c r="B355" t="inlineStr">
        <is>
          <t>сегодня</t>
        </is>
      </c>
      <c r="C355" t="inlineStr">
        <is>
          <t>примерно</t>
        </is>
      </c>
      <c r="D355" t="inlineStr">
        <is>
          <t>глобально</t>
        </is>
      </c>
      <c r="E355" t="inlineStr">
        <is>
          <t>35 мм / APS-C / средний формат</t>
        </is>
      </c>
      <c r="F355" t="inlineStr">
        <is>
          <t>фотограф</t>
        </is>
      </c>
      <c r="G355" t="inlineStr">
        <is>
          <t>Один и тот же миллиметраж ведёт себя по-разному на разных форматах кадра: меньший кадр обрезает угол зрения, поэтому важен эквивалентный угол обзора.</t>
        </is>
      </c>
      <c r="H355" t="inlineStr">
        <is>
          <t>Оптические инструменты</t>
        </is>
      </c>
      <c r="I355" t="inlineStr">
        <is>
          <t>Wide angle and crop factor</t>
        </is>
      </c>
      <c r="J355" t="inlineStr">
        <is>
          <t>Широкоугольность — это не только число на объективе, а связка фокусного расстояния и размера кадра.</t>
        </is>
      </c>
      <c r="K355" t="inlineStr">
        <is>
          <t>Ультраширокий угол</t>
        </is>
      </c>
      <c r="L355" t="inlineStr">
        <is>
          <t>Тесное пространство</t>
        </is>
      </c>
      <c r="M355" t="inlineStr">
        <is>
          <t>Главная линия / формат кадра</t>
        </is>
      </c>
      <c r="N355" t="n">
        <v>5</v>
      </c>
      <c r="O355" t="inlineStr">
        <is>
          <t>PL-034</t>
        </is>
      </c>
      <c r="P355" t="inlineStr">
        <is>
          <t>SRC-269</t>
        </is>
      </c>
      <c r="Q355" t="inlineStr">
        <is>
          <t>Nikon — What is focal length?</t>
        </is>
      </c>
      <c r="R355" t="inlineStr">
        <is>
          <t>https://www.nikon.nl/nl_NL/learn-and-explore/magazine/tips-and-tricks/what-is-focal-length-in-photography-a-guide-for-beginners</t>
        </is>
      </c>
      <c r="S355" t="n">
        <v>5</v>
      </c>
      <c r="T355" t="inlineStr">
        <is>
          <t>Для ученика: 24 мм на full-frame и 24 мм на APS-C дают разное ощущение пространства.</t>
        </is>
      </c>
      <c r="U355" t="inlineStr">
        <is>
          <t>Один круг изображения и три рамки форматов; широкая рамка показывает больше сцены.</t>
        </is>
      </c>
      <c r="V355" t="inlineStr">
        <is>
          <t>#PL034 #cropfactor #format #fullframe #apsc</t>
        </is>
      </c>
      <c r="Y355" t="inlineStr">
        <is>
          <t>Широкоугольный объектив / формат кадра</t>
        </is>
      </c>
      <c r="Z355" t="inlineStr">
        <is>
          <t>Технология / процесс</t>
        </is>
      </c>
    </row>
    <row r="356" ht="17" customHeight="1" s="72">
      <c r="A356" t="inlineStr">
        <is>
          <t>PL-HIST-0355</t>
        </is>
      </c>
      <c r="B356" t="inlineStr">
        <is>
          <t>сегодня</t>
        </is>
      </c>
      <c r="C356" t="inlineStr">
        <is>
          <t>примерно</t>
        </is>
      </c>
      <c r="D356" t="inlineStr">
        <is>
          <t>глобально</t>
        </is>
      </c>
      <c r="E356" t="inlineStr">
        <is>
          <t>комната / улица / интерьер</t>
        </is>
      </c>
      <c r="F356" t="inlineStr">
        <is>
          <t>фотограф</t>
        </is>
      </c>
      <c r="G356" t="inlineStr">
        <is>
          <t>Широкий угол полезен в тесном пространстве: когда нельзя отойти назад, он позволяет включить в кадр больше сцены.</t>
        </is>
      </c>
      <c r="H356" t="inlineStr">
        <is>
          <t>Оптические инструменты</t>
        </is>
      </c>
      <c r="I356" t="inlineStr">
        <is>
          <t>Wide angle in confined spaces</t>
        </is>
      </c>
      <c r="J356" t="inlineStr">
        <is>
          <t>Фотограф получает рабочий инструмент для интерьера, улицы, репортажа и архитектуры, где дистанция ограничена.</t>
        </is>
      </c>
      <c r="K356" t="inlineStr">
        <is>
          <t>Формат кадра и crop factor</t>
        </is>
      </c>
      <c r="L356" t="inlineStr">
        <is>
          <t>Близкая дистанция</t>
        </is>
      </c>
      <c r="M356" t="inlineStr">
        <is>
          <t>Главная линия / практическое применение</t>
        </is>
      </c>
      <c r="N356" t="n">
        <v>5</v>
      </c>
      <c r="O356" t="inlineStr">
        <is>
          <t>PL-034</t>
        </is>
      </c>
      <c r="P356" t="inlineStr">
        <is>
          <t>SRC-268</t>
        </is>
      </c>
      <c r="Q356" t="inlineStr">
        <is>
          <t>Cambridge in Colour — Using Wide Angle Lenses</t>
        </is>
      </c>
      <c r="R356" t="inlineStr">
        <is>
          <t>https://www.cambridgeincolour.com/tutorials/wide-angle-lenses.htm</t>
        </is>
      </c>
      <c r="S356" t="n">
        <v>5</v>
      </c>
      <c r="T356" t="inlineStr">
        <is>
          <t>Важный практический вывод: широкий угол часто нужен не для «эффекта», а потому что места физически мало.</t>
        </is>
      </c>
      <c r="U356" t="inlineStr">
        <is>
          <t>Фотограф стоит в маленькой комнате; широкая рамка захватывает стены, окно и человека.</t>
        </is>
      </c>
      <c r="V356" t="inlineStr">
        <is>
          <t>#PL034 #interior #street #confinedspace</t>
        </is>
      </c>
      <c r="Y356" t="inlineStr">
        <is>
          <t>Широкоугольный объектив / тесное пространство</t>
        </is>
      </c>
      <c r="Z356" t="inlineStr">
        <is>
          <t>Применение / жанр</t>
        </is>
      </c>
    </row>
    <row r="357" ht="17" customHeight="1" s="72">
      <c r="A357" t="inlineStr">
        <is>
          <t>PL-HIST-0356</t>
        </is>
      </c>
      <c r="B357" t="inlineStr">
        <is>
          <t>сегодня</t>
        </is>
      </c>
      <c r="C357" t="inlineStr">
        <is>
          <t>примерно</t>
        </is>
      </c>
      <c r="D357" t="inlineStr">
        <is>
          <t>глобально</t>
        </is>
      </c>
      <c r="E357" t="inlineStr">
        <is>
          <t>передний план / репортаж</t>
        </is>
      </c>
      <c r="F357" t="inlineStr">
        <is>
          <t>фотограф</t>
        </is>
      </c>
      <c r="G357" t="inlineStr">
        <is>
          <t>Широкий угол часто заставляет подойти ближе. Именно близкая дистанция делает передний план крупнее и усиливает перспективное ощущение.</t>
        </is>
      </c>
      <c r="H357" t="inlineStr">
        <is>
          <t>Оптические инструменты</t>
        </is>
      </c>
      <c r="I357" t="inlineStr">
        <is>
          <t>Wide angle and close viewpoint</t>
        </is>
      </c>
      <c r="J357" t="inlineStr">
        <is>
          <t>Новичок отделяет оптический факт от съёмочной привычки: перспективу меняет позиция камеры, а широкий угол просто позволяет работать ближе.</t>
        </is>
      </c>
      <c r="K357" t="inlineStr">
        <is>
          <t>Тесное пространство</t>
        </is>
      </c>
      <c r="L357" t="inlineStr">
        <is>
          <t>Передний план и глубина</t>
        </is>
      </c>
      <c r="M357" t="inlineStr">
        <is>
          <t>Главная линия / точка съёмки</t>
        </is>
      </c>
      <c r="N357" t="n">
        <v>5</v>
      </c>
      <c r="O357" t="inlineStr">
        <is>
          <t>PL-034</t>
        </is>
      </c>
      <c r="P357" t="inlineStr">
        <is>
          <t>SRC-270</t>
        </is>
      </c>
      <c r="Q357" t="inlineStr">
        <is>
          <t>Nikon Support — Choosing the right lenses: Perspective</t>
        </is>
      </c>
      <c r="R357" t="inlineStr">
        <is>
          <t>https://www.nikonimgsupport.com/na/NSG_article?articleNo=000047395&amp;configured=1&amp;lang=en_SG</t>
        </is>
      </c>
      <c r="S357" t="n">
        <v>5</v>
      </c>
      <c r="T357" t="inlineStr">
        <is>
          <t>Ключевая честная формулировка: «объектив не искажает лицо сам по себе — искажает слишком близкая дистанция».</t>
        </is>
      </c>
      <c r="U357" t="inlineStr">
        <is>
          <t>Две схемы: фотограф близко с 24 мм и дальше с 50 мм; стрелка показывает дистанцию.</t>
        </is>
      </c>
      <c r="V357" t="inlineStr">
        <is>
          <t>#PL034 #perspective #viewpoint #distortion</t>
        </is>
      </c>
      <c r="Y357" t="inlineStr">
        <is>
          <t>Широкоугольный объектив / дистанция и перспектива</t>
        </is>
      </c>
      <c r="Z357" t="inlineStr">
        <is>
          <t>Технология / процесс</t>
        </is>
      </c>
    </row>
    <row r="358" ht="17" customHeight="1" s="72">
      <c r="A358" t="inlineStr">
        <is>
          <t>PL-HIST-0357</t>
        </is>
      </c>
      <c r="B358" t="inlineStr">
        <is>
          <t>сегодня</t>
        </is>
      </c>
      <c r="C358" t="inlineStr">
        <is>
          <t>примерно</t>
        </is>
      </c>
      <c r="D358" t="inlineStr">
        <is>
          <t>глобально</t>
        </is>
      </c>
      <c r="E358" t="inlineStr">
        <is>
          <t>пейзаж / улица</t>
        </is>
      </c>
      <c r="F358" t="inlineStr">
        <is>
          <t>фотограф</t>
        </is>
      </c>
      <c r="G358" t="inlineStr">
        <is>
          <t>Широкий угол хорошо показывает глубину: крупный передний план, средний слой и дальний фон могут работать как три ступени пространства.</t>
        </is>
      </c>
      <c r="H358" t="inlineStr">
        <is>
          <t>Оптические инструменты</t>
        </is>
      </c>
      <c r="I358" t="inlineStr">
        <is>
          <t>Foreground depth / spatial layering</t>
        </is>
      </c>
      <c r="J358" t="inlineStr">
        <is>
          <t>Кадр становится не плоской картинкой, а маршрутом взгляда от ближнего объекта к дальнему.</t>
        </is>
      </c>
      <c r="K358" t="inlineStr">
        <is>
          <t>Близкая дистанция</t>
        </is>
      </c>
      <c r="L358" t="inlineStr">
        <is>
          <t>Линии и края кадра</t>
        </is>
      </c>
      <c r="M358" t="inlineStr">
        <is>
          <t>Главная линия / композиционный эффект</t>
        </is>
      </c>
      <c r="N358" t="n">
        <v>5</v>
      </c>
      <c r="O358" t="inlineStr">
        <is>
          <t>PL-034</t>
        </is>
      </c>
      <c r="P358" t="inlineStr">
        <is>
          <t>SRC-268</t>
        </is>
      </c>
      <c r="Q358" t="inlineStr">
        <is>
          <t>Cambridge in Colour — Using Wide Angle Lenses</t>
        </is>
      </c>
      <c r="R358" t="inlineStr">
        <is>
          <t>https://www.cambridgeincolour.com/tutorials/wide-angle-lenses.htm</t>
        </is>
      </c>
      <c r="S358" t="n">
        <v>5</v>
      </c>
      <c r="T358" t="inlineStr">
        <is>
          <t>Связать с будущим модулем композиции: широкоугольник требует переднего плана.</t>
        </is>
      </c>
      <c r="U358" t="inlineStr">
        <is>
          <t>Камень/предмет на переднем плане крупно; дорога уходит к горизонту.</t>
        </is>
      </c>
      <c r="V358" t="inlineStr">
        <is>
          <t>#PL034 #foreground #depth #composition</t>
        </is>
      </c>
      <c r="Y358" t="inlineStr">
        <is>
          <t>Широкоугольный объектив / передний план и глубина</t>
        </is>
      </c>
      <c r="Z358" t="inlineStr">
        <is>
          <t>Применение / жанр</t>
        </is>
      </c>
    </row>
    <row r="359" ht="17" customHeight="1" s="72">
      <c r="A359" t="inlineStr">
        <is>
          <t>PL-HIST-0358</t>
        </is>
      </c>
      <c r="B359" t="inlineStr">
        <is>
          <t>сегодня</t>
        </is>
      </c>
      <c r="C359" t="inlineStr">
        <is>
          <t>примерно</t>
        </is>
      </c>
      <c r="D359" t="inlineStr">
        <is>
          <t>глобально</t>
        </is>
      </c>
      <c r="E359" t="inlineStr">
        <is>
          <t>архитектура / интерьер</t>
        </is>
      </c>
      <c r="F359" t="inlineStr">
        <is>
          <t>фотограф</t>
        </is>
      </c>
      <c r="G359" t="inlineStr">
        <is>
          <t>Если широкоугольную камеру наклонить вверх или вниз, вертикальные линии начинают сходиться сильнее. В архитектуре это может быть ошибкой или намеренным приёмом.</t>
        </is>
      </c>
      <c r="H359" t="inlineStr">
        <is>
          <t>Оптические инструменты</t>
        </is>
      </c>
      <c r="I359" t="inlineStr">
        <is>
          <t>Converging verticals</t>
        </is>
      </c>
      <c r="J359" t="inlineStr">
        <is>
          <t>Широкий угол учит контролировать положение камеры: ровная камера даёт спокойную геометрию, наклон — драму и деформацию.</t>
        </is>
      </c>
      <c r="K359" t="inlineStr">
        <is>
          <t>Передний план и глубина</t>
        </is>
      </c>
      <c r="L359" t="inlineStr">
        <is>
          <t>Shift и контроль перспективы</t>
        </is>
      </c>
      <c r="M359" t="inlineStr">
        <is>
          <t>Главная линия / контроль перспективы</t>
        </is>
      </c>
      <c r="N359" t="n">
        <v>5</v>
      </c>
      <c r="O359" t="inlineStr">
        <is>
          <t>PL-034</t>
        </is>
      </c>
      <c r="P359" t="inlineStr">
        <is>
          <t>SRC-271</t>
        </is>
      </c>
      <c r="Q359" t="inlineStr">
        <is>
          <t>Cambridge in Colour — Using Tilt-Shift Lenses to Control Perspective</t>
        </is>
      </c>
      <c r="R359" t="inlineStr">
        <is>
          <t>https://www.cambridgeincolour.com/tutorials/tilt-shift-lenses1.htm</t>
        </is>
      </c>
      <c r="S359" t="n">
        <v>5</v>
      </c>
      <c r="T359" t="inlineStr">
        <is>
          <t>Показать практику: снять фасад с наклоном и с выровненной камерой.</t>
        </is>
      </c>
      <c r="U359" t="inlineStr">
        <is>
          <t>Фасад здания: слева наклонённая камера с падающими вертикалями, справа выровненная.</t>
        </is>
      </c>
      <c r="V359" t="inlineStr">
        <is>
          <t>#PL034 #architecture #verticals #perspectivecontrol</t>
        </is>
      </c>
      <c r="Y359" t="inlineStr">
        <is>
          <t>Широкоугольный объектив / вертикали</t>
        </is>
      </c>
      <c r="Z359" t="inlineStr">
        <is>
          <t>Технология / процесс</t>
        </is>
      </c>
    </row>
    <row r="360" ht="17" customHeight="1" s="72">
      <c r="A360" t="inlineStr">
        <is>
          <t>PL-HIST-0359</t>
        </is>
      </c>
      <c r="B360" t="inlineStr">
        <is>
          <t>сегодня</t>
        </is>
      </c>
      <c r="C360" t="inlineStr">
        <is>
          <t>примерно</t>
        </is>
      </c>
      <c r="D360" t="inlineStr">
        <is>
          <t>глобально</t>
        </is>
      </c>
      <c r="E360" t="inlineStr">
        <is>
          <t>архитектура / large format / tilt-shift</t>
        </is>
      </c>
      <c r="F360" t="inlineStr">
        <is>
          <t>фотографы / производители</t>
        </is>
      </c>
      <c r="G360" t="inlineStr">
        <is>
          <t>Shift-объективы и подвижки большой камеры позволяют использовать широкий угол, но сдвигать изображение без сильного наклона камеры.</t>
        </is>
      </c>
      <c r="H360" t="inlineStr">
        <is>
          <t>Оптические инструменты</t>
        </is>
      </c>
      <c r="I360" t="inlineStr">
        <is>
          <t>Shift lens / perspective control</t>
        </is>
      </c>
      <c r="J360" t="inlineStr">
        <is>
          <t>Широкий угол связывается с архитектурной точностью: можно показать высокое здание без грубого завала вертикалей.</t>
        </is>
      </c>
      <c r="K360" t="inlineStr">
        <is>
          <t>Линии и края кадра</t>
        </is>
      </c>
      <c r="L360" t="inlineStr">
        <is>
          <t>Края и растяжение</t>
        </is>
      </c>
      <c r="M360" t="inlineStr">
        <is>
          <t>Главная линия / технический контроль</t>
        </is>
      </c>
      <c r="N360" t="n">
        <v>4</v>
      </c>
      <c r="O360" t="inlineStr">
        <is>
          <t>PL-034</t>
        </is>
      </c>
      <c r="P360" t="inlineStr">
        <is>
          <t>SRC-271</t>
        </is>
      </c>
      <c r="Q360" t="inlineStr">
        <is>
          <t>Cambridge in Colour — Using Tilt-Shift Lenses to Control Perspective</t>
        </is>
      </c>
      <c r="R360" t="inlineStr">
        <is>
          <t>https://www.cambridgeincolour.com/tutorials/tilt-shift-lenses1.htm</t>
        </is>
      </c>
      <c r="S360" t="n">
        <v>5</v>
      </c>
      <c r="T360" t="inlineStr">
        <is>
          <t>Мост к большому формату уже есть в PL-028, теперь показываем связь с объективами.</t>
        </is>
      </c>
      <c r="U360" t="inlineStr">
        <is>
          <t>Схема image circle: рамка кадра сдвигается вверх внутри круга изображения.</t>
        </is>
      </c>
      <c r="V360" t="inlineStr">
        <is>
          <t>#PL034 #shift #tiltshift #viewcamera #architecture</t>
        </is>
      </c>
      <c r="Y360" t="inlineStr">
        <is>
          <t>Широкоугольный объектив / shift</t>
        </is>
      </c>
      <c r="Z360" t="inlineStr">
        <is>
          <t>Инструмент / устройство</t>
        </is>
      </c>
    </row>
    <row r="361" ht="17" customHeight="1" s="72">
      <c r="A361" t="inlineStr">
        <is>
          <t>PL-HIST-0360</t>
        </is>
      </c>
      <c r="B361" t="inlineStr">
        <is>
          <t>сегодня</t>
        </is>
      </c>
      <c r="C361" t="inlineStr">
        <is>
          <t>примерно</t>
        </is>
      </c>
      <c r="D361" t="inlineStr">
        <is>
          <t>глобально</t>
        </is>
      </c>
      <c r="E361" t="inlineStr">
        <is>
          <t>края кадра</t>
        </is>
      </c>
      <c r="F361" t="inlineStr">
        <is>
          <t>фотограф</t>
        </is>
      </c>
      <c r="G361" t="inlineStr">
        <is>
          <t>На широком угле края кадра требуют особого внимания: там заметнее растяжение объектов, оптическая дисторсия и случайные детали.</t>
        </is>
      </c>
      <c r="H361" t="inlineStr">
        <is>
          <t>Оптические инструменты</t>
        </is>
      </c>
      <c r="I361" t="inlineStr">
        <is>
          <t>Edge stretching / optical distortion</t>
        </is>
      </c>
      <c r="J361" t="inlineStr">
        <is>
          <t>Фотограф учится читать весь кадр, а не только центр: широкий объектив наказывает невнимательность к краям.</t>
        </is>
      </c>
      <c r="K361" t="inlineStr">
        <is>
          <t>Shift и контроль перспективы</t>
        </is>
      </c>
      <c r="L361" t="inlineStr">
        <is>
          <t>ГРИП и гиперфокал</t>
        </is>
      </c>
      <c r="M361" t="inlineStr">
        <is>
          <t>Главная линия / качество кадра</t>
        </is>
      </c>
      <c r="N361" t="n">
        <v>4</v>
      </c>
      <c r="O361" t="inlineStr">
        <is>
          <t>PL-034</t>
        </is>
      </c>
      <c r="P361" t="inlineStr">
        <is>
          <t>SRC-268</t>
        </is>
      </c>
      <c r="Q361" t="inlineStr">
        <is>
          <t>Cambridge in Colour — Using Wide Angle Lenses</t>
        </is>
      </c>
      <c r="R361" t="inlineStr">
        <is>
          <t>https://www.cambridgeincolour.com/tutorials/wide-angle-lenses.htm</t>
        </is>
      </c>
      <c r="S361" t="n">
        <v>5</v>
      </c>
      <c r="T361" t="inlineStr">
        <is>
          <t>Практический тезис: в широкоугольнике край — это почти отдельный персонаж кадра.</t>
        </is>
      </c>
      <c r="U361" t="inlineStr">
        <is>
          <t>Рамка кадра с подсвеченными углами; лишний предмет у края выделен красной меткой.</t>
        </is>
      </c>
      <c r="V361" t="inlineStr">
        <is>
          <t>#PL034 #edges #distortion #framing</t>
        </is>
      </c>
      <c r="Y361" t="inlineStr">
        <is>
          <t>Широкоугольный объектив / края кадра</t>
        </is>
      </c>
      <c r="Z361" t="inlineStr">
        <is>
          <t>Технология / процесс</t>
        </is>
      </c>
    </row>
    <row r="362" ht="17" customHeight="1" s="72">
      <c r="A362" t="inlineStr">
        <is>
          <t>PL-HIST-0361</t>
        </is>
      </c>
      <c r="B362" t="inlineStr">
        <is>
          <t>сегодня</t>
        </is>
      </c>
      <c r="C362" t="inlineStr">
        <is>
          <t>примерно</t>
        </is>
      </c>
      <c r="D362" t="inlineStr">
        <is>
          <t>глобально</t>
        </is>
      </c>
      <c r="E362" t="inlineStr">
        <is>
          <t>пейзаж / уличная фотография</t>
        </is>
      </c>
      <c r="F362" t="inlineStr">
        <is>
          <t>фотограф</t>
        </is>
      </c>
      <c r="G362" t="inlineStr">
        <is>
          <t>Короткое фокусное расстояние часто даёт большую глубину резкости, особенно при закрытой диафрагме и правильной дистанции фокусировки.</t>
        </is>
      </c>
      <c r="H362" t="inlineStr">
        <is>
          <t>Оптические инструменты</t>
        </is>
      </c>
      <c r="I362" t="inlineStr">
        <is>
          <t>Wide angle depth of field / hyperfocal link</t>
        </is>
      </c>
      <c r="J362" t="inlineStr">
        <is>
          <t>Широкий угол становится удобным для пейзажа, улицы и документальной съёмки, где важно быстро получить резкость на большой зоне.</t>
        </is>
      </c>
      <c r="K362" t="inlineStr">
        <is>
          <t>Края и растяжение</t>
        </is>
      </c>
      <c r="L362" t="inlineStr">
        <is>
          <t>Широкий угол как язык близости</t>
        </is>
      </c>
      <c r="M362" t="inlineStr">
        <is>
          <t>Главная линия / зона резкости</t>
        </is>
      </c>
      <c r="N362" t="n">
        <v>5</v>
      </c>
      <c r="O362" t="inlineStr">
        <is>
          <t>PL-034</t>
        </is>
      </c>
      <c r="P362" t="inlineStr">
        <is>
          <t>SRC-268</t>
        </is>
      </c>
      <c r="Q362" t="inlineStr">
        <is>
          <t>Cambridge in Colour — Using Wide Angle Lenses</t>
        </is>
      </c>
      <c r="R362" t="inlineStr">
        <is>
          <t>https://www.cambridgeincolour.com/tutorials/wide-angle-lenses.htm</t>
        </is>
      </c>
      <c r="S362" t="n">
        <v>5</v>
      </c>
      <c r="T362" t="inlineStr">
        <is>
          <t>Не перегружать формулами: это мост к ГРИП и гиперфокалу, которые будут позже.</t>
        </is>
      </c>
      <c r="U362" t="inlineStr">
        <is>
          <t>Шкала расстояний на объективе; зона резкости растянута от ближнего плана к бесконечности.</t>
        </is>
      </c>
      <c r="V362" t="inlineStr">
        <is>
          <t>#PL034 #depthoffield #hyperfocal #street</t>
        </is>
      </c>
      <c r="Y362" t="inlineStr">
        <is>
          <t>Широкоугольный объектив / глубина резкости</t>
        </is>
      </c>
      <c r="Z362" t="inlineStr">
        <is>
          <t>Технология / процесс</t>
        </is>
      </c>
    </row>
    <row r="363" ht="17" customHeight="1" s="72">
      <c r="A363" t="inlineStr">
        <is>
          <t>PL-HIST-0362</t>
        </is>
      </c>
      <c r="B363" t="inlineStr">
        <is>
          <t>сегодня</t>
        </is>
      </c>
      <c r="C363" t="inlineStr">
        <is>
          <t>примерно</t>
        </is>
      </c>
      <c r="D363" t="inlineStr">
        <is>
          <t>глобально</t>
        </is>
      </c>
      <c r="E363" t="inlineStr">
        <is>
          <t>PHOTO LAB / модуль объективов</t>
        </is>
      </c>
      <c r="F363" t="inlineStr">
        <is>
          <t>PHOTO LAB by VF</t>
        </is>
      </c>
      <c r="G363" t="inlineStr">
        <is>
          <t>Итог PL-034: широкий угол — это объектив близости, пространства и контекста. Он показывает не только объект, но и среду, в которой объект существует.</t>
        </is>
      </c>
      <c r="H363" t="inlineStr">
        <is>
          <t>Оптические инструменты</t>
        </is>
      </c>
      <c r="I363" t="inlineStr">
        <is>
          <t>Wide angle as context language</t>
        </is>
      </c>
      <c r="J363" t="inlineStr">
        <is>
          <t>Широкоугольный объектив превращается из технической категории в способ рассказать историю через пространство.</t>
        </is>
      </c>
      <c r="K363" t="inlineStr">
        <is>
          <t>ГРИП и гиперфокал</t>
        </is>
      </c>
      <c r="L363" t="inlineStr">
        <is>
          <t>PL-035 — нормальный объектив 50 мм</t>
        </is>
      </c>
      <c r="M363" t="inlineStr">
        <is>
          <t>Связь / переход</t>
        </is>
      </c>
      <c r="N363" t="n">
        <v>5</v>
      </c>
      <c r="O363" t="inlineStr">
        <is>
          <t>PL-034</t>
        </is>
      </c>
      <c r="P363" t="inlineStr">
        <is>
          <t>SRC-269</t>
        </is>
      </c>
      <c r="Q363" t="inlineStr">
        <is>
          <t>Nikon — What is focal length?</t>
        </is>
      </c>
      <c r="R363" t="inlineStr">
        <is>
          <t>https://www.nikon.nl/nl_NL/learn-and-explore/magazine/tips-and-tricks/what-is-focal-length-in-photography-a-guide-for-beginners</t>
        </is>
      </c>
      <c r="S363" t="n">
        <v>5</v>
      </c>
      <c r="T363" t="inlineStr">
        <is>
          <t>Главная мысль: широкий угол требует смелости подойти ближе и дисциплины по краям кадра.</t>
        </is>
      </c>
      <c r="U363" t="inlineStr">
        <is>
          <t>Фотограф в городской среде: объект близко, город вокруг читается как контекст.</t>
        </is>
      </c>
      <c r="V363" t="inlineStr">
        <is>
          <t>#PL034 #context #environmentalportrait #bridge</t>
        </is>
      </c>
      <c r="Y363" t="inlineStr">
        <is>
          <t>Широкоугольный объектив / итог и мост</t>
        </is>
      </c>
      <c r="Z363" t="inlineStr">
        <is>
          <t>Связь / переход</t>
        </is>
      </c>
    </row>
    <row r="364" ht="17" customHeight="1" s="72">
      <c r="A364" t="inlineStr">
        <is>
          <t>PL-HIST-0363</t>
        </is>
      </c>
      <c r="B364" t="inlineStr">
        <is>
          <t>1920-е — сегодня</t>
        </is>
      </c>
      <c r="C364" t="inlineStr">
        <is>
          <t>диапазон</t>
        </is>
      </c>
      <c r="D364" t="inlineStr">
        <is>
          <t>Германия / глобально</t>
        </is>
      </c>
      <c r="E364" t="inlineStr">
        <is>
          <t>Вецлар / 35 мм формат</t>
        </is>
      </c>
      <c r="F364" t="inlineStr">
        <is>
          <t>Оскар Барнак / Макс Берек / Leica / фотографы</t>
        </is>
      </c>
      <c r="G364" t="inlineStr">
        <is>
          <t>Нормальный 50 мм стал классическим объективом для 35-мм фотографии: он даёт умеренный угол зрения без ярко выраженного широкоугольного или телеэффекта.</t>
        </is>
      </c>
      <c r="H364" t="inlineStr">
        <is>
          <t>Оптические инструменты</t>
        </is>
      </c>
      <c r="I364" t="inlineStr">
        <is>
          <t>50mm normal lens</t>
        </is>
      </c>
      <c r="J364" t="inlineStr">
        <is>
          <t>После крайностей широкого и длинного фокуса появляется учебная середина: объектив, который помогает видеть сцену спокойно и без сильной стилистической деформации.</t>
        </is>
      </c>
      <c r="K364" t="inlineStr">
        <is>
          <t>PL-034 — широкоугольный объектив</t>
        </is>
      </c>
      <c r="L364" t="inlineStr">
        <is>
          <t>50 мм и Leica</t>
        </is>
      </c>
      <c r="M364" t="inlineStr">
        <is>
          <t>Главная линия / нормальный угол зрения</t>
        </is>
      </c>
      <c r="N364" t="n">
        <v>5</v>
      </c>
      <c r="O364" t="inlineStr">
        <is>
          <t>PL-035</t>
        </is>
      </c>
      <c r="P364" t="inlineStr">
        <is>
          <t>SRC-273</t>
        </is>
      </c>
      <c r="Q364" t="inlineStr">
        <is>
          <t>Nikon — NIKKOR The Thousand and One Nights No.49</t>
        </is>
      </c>
      <c r="R364" t="inlineStr">
        <is>
          <t>https://imaging.nikon.com/imaging/information/story/0049/index.html</t>
        </is>
      </c>
      <c r="S364" t="n">
        <v>5</v>
      </c>
      <c r="T364" t="inlineStr">
        <is>
          <t>Флагман PL-035: 50 мм — не магическое «как глаз», а исторически и практически удобная норма для 35 мм.</t>
        </is>
      </c>
      <c r="U364" t="inlineStr">
        <is>
          <t>Leica/35mm камера с 50mm объективом; вокруг три кадра: шире, нормально, уже.</t>
        </is>
      </c>
      <c r="V364" t="inlineStr">
        <is>
          <t>#PL035 #50mm #normalLens #Leica</t>
        </is>
      </c>
      <c r="X364" t="inlineStr">
        <is>
          <t>50.5586, 8.5036</t>
        </is>
      </c>
      <c r="Y364" t="inlineStr">
        <is>
          <t>Нормальный объектив / базовое определение</t>
        </is>
      </c>
      <c r="Z364" t="inlineStr">
        <is>
          <t>Ключевой исторический узел</t>
        </is>
      </c>
      <c r="AA364" t="inlineStr">
        <is>
          <t>да</t>
        </is>
      </c>
    </row>
    <row r="365" ht="17" customHeight="1" s="72">
      <c r="A365" t="inlineStr">
        <is>
          <t>PL-HIST-0364</t>
        </is>
      </c>
      <c r="B365" t="inlineStr">
        <is>
          <t>1925–1926</t>
        </is>
      </c>
      <c r="C365" t="inlineStr">
        <is>
          <t>диапазон</t>
        </is>
      </c>
      <c r="D365" t="inlineStr">
        <is>
          <t>Германия</t>
        </is>
      </c>
      <c r="E365" t="inlineStr">
        <is>
          <t>Вецлар</t>
        </is>
      </c>
      <c r="F365" t="inlineStr">
        <is>
          <t>Leica / Max Berek</t>
        </is>
      </c>
      <c r="G365" t="inlineStr">
        <is>
          <t>Ранние Leica I использовали 50-мм объективы: сначала Anastigmat/Elmax, затем Elmar 50mm f/3.5, который стал одним из классических стандартных объективов Leica.</t>
        </is>
      </c>
      <c r="H365" t="inlineStr">
        <is>
          <t>Оптические инструменты</t>
        </is>
      </c>
      <c r="I365" t="inlineStr">
        <is>
          <t>Leica 50mm Elmar context</t>
        </is>
      </c>
      <c r="J365" t="inlineStr">
        <is>
          <t>50 мм закрепляется не только как число, но как практический стандарт компактной 35-мм камеры.</t>
        </is>
      </c>
      <c r="K365" t="inlineStr">
        <is>
          <t>Нормальный 50 мм</t>
        </is>
      </c>
      <c r="L365" t="inlineStr">
        <is>
          <t>Угол зрения около 47°</t>
        </is>
      </c>
      <c r="M365" t="inlineStr">
        <is>
          <t>Главная линия / исторический стандарт</t>
        </is>
      </c>
      <c r="N365" t="n">
        <v>5</v>
      </c>
      <c r="O365" t="inlineStr">
        <is>
          <t>PL-035</t>
        </is>
      </c>
      <c r="P365" t="inlineStr">
        <is>
          <t>SRC-272</t>
        </is>
      </c>
      <c r="Q365" t="inlineStr">
        <is>
          <t>Leica — The 50 mm Elmar</t>
        </is>
      </c>
      <c r="R365" t="inlineStr">
        <is>
          <t>https://leica-camera.com/en-int/blog/photography/carl-merkin-50mm-elmar</t>
        </is>
      </c>
      <c r="S365" t="n">
        <v>5</v>
      </c>
      <c r="T365" t="inlineStr">
        <is>
          <t>Связать PL-010 Leica I с модулем объективов: сама Leica закрепила 50 мм как нормальный рабочий фокус.</t>
        </is>
      </c>
      <c r="U365" t="inlineStr">
        <is>
          <t>Крупно: складной Elmar 50/3.5 на Leica I, музейный свет.</t>
        </is>
      </c>
      <c r="V365" t="inlineStr">
        <is>
          <t>#PL035 #Elmar #LeicaI #MaxBerek</t>
        </is>
      </c>
      <c r="X365" t="inlineStr">
        <is>
          <t>50.5586, 8.5036</t>
        </is>
      </c>
      <c r="Y365" t="inlineStr">
        <is>
          <t>Нормальный объектив / Leica и Elmar</t>
        </is>
      </c>
      <c r="Z365" t="inlineStr">
        <is>
          <t>Инструмент / устройство</t>
        </is>
      </c>
    </row>
    <row r="366" ht="17" customHeight="1" s="72">
      <c r="A366" t="inlineStr">
        <is>
          <t>PL-HIST-0365</t>
        </is>
      </c>
      <c r="B366" t="inlineStr">
        <is>
          <t>сегодня</t>
        </is>
      </c>
      <c r="C366" t="inlineStr">
        <is>
          <t>примерно</t>
        </is>
      </c>
      <c r="D366" t="inlineStr">
        <is>
          <t>глобально</t>
        </is>
      </c>
      <c r="E366" t="inlineStr">
        <is>
          <t>35 мм / FX</t>
        </is>
      </c>
      <c r="F366" t="inlineStr">
        <is>
          <t>фотографы</t>
        </is>
      </c>
      <c r="G366" t="inlineStr">
        <is>
          <t>50 мм на 35 мм/full-frame даёт нормальный угол зрения: у Nikon AF-S 50mm f/1.8G диагональный угол указан около 47°.</t>
        </is>
      </c>
      <c r="H366" t="inlineStr">
        <is>
          <t>Оптические инструменты</t>
        </is>
      </c>
      <c r="I366" t="inlineStr">
        <is>
          <t>50mm angle of view</t>
        </is>
      </c>
      <c r="J366" t="inlineStr">
        <is>
          <t>Новичок получает измеримую опору: «нормальность» — это не ощущение, а конкретный угол зрения на конкретном формате.</t>
        </is>
      </c>
      <c r="K366" t="inlineStr">
        <is>
          <t>50 мм и Leica</t>
        </is>
      </c>
      <c r="L366" t="inlineStr">
        <is>
          <t>Формат и диагональ кадра</t>
        </is>
      </c>
      <c r="M366" t="inlineStr">
        <is>
          <t>Главная линия / угол зрения</t>
        </is>
      </c>
      <c r="N366" t="n">
        <v>5</v>
      </c>
      <c r="O366" t="inlineStr">
        <is>
          <t>PL-035</t>
        </is>
      </c>
      <c r="P366" t="inlineStr">
        <is>
          <t>SRC-274</t>
        </is>
      </c>
      <c r="Q366" t="inlineStr">
        <is>
          <t>Nikon — AF-S NIKKOR 50mm f/1.8G</t>
        </is>
      </c>
      <c r="R366" t="inlineStr">
        <is>
          <t>https://imaging.nikon.com/imaging/lineup/lens/f-mount/singlefocal/normal/af-s_50mmf_18g/index.html</t>
        </is>
      </c>
      <c r="S366" t="n">
        <v>5</v>
      </c>
      <c r="T366" t="inlineStr">
        <is>
          <t>Хорошо поставить рядом с 35 мм и 85 мм, чтобы увидеть середину.</t>
        </is>
      </c>
      <c r="U366" t="inlineStr">
        <is>
          <t>Три конуса угла зрения: 35 мм широкий, 50 мм средний, 85 мм уже.</t>
        </is>
      </c>
      <c r="V366" t="inlineStr">
        <is>
          <t>#PL035 #angleofview #Nikon #fullframe</t>
        </is>
      </c>
      <c r="Y366" t="inlineStr">
        <is>
          <t>Нормальный объектив / угол зрения</t>
        </is>
      </c>
      <c r="Z366" t="inlineStr">
        <is>
          <t>Технология / процесс</t>
        </is>
      </c>
    </row>
    <row r="367" ht="17" customHeight="1" s="72">
      <c r="A367" t="inlineStr">
        <is>
          <t>PL-HIST-0366</t>
        </is>
      </c>
      <c r="B367" t="inlineStr">
        <is>
          <t>сегодня</t>
        </is>
      </c>
      <c r="C367" t="inlineStr">
        <is>
          <t>примерно</t>
        </is>
      </c>
      <c r="D367" t="inlineStr">
        <is>
          <t>глобально</t>
        </is>
      </c>
      <c r="E367" t="inlineStr">
        <is>
          <t>форматы кадра</t>
        </is>
      </c>
      <c r="F367" t="inlineStr">
        <is>
          <t>фотограф</t>
        </is>
      </c>
      <c r="G367" t="inlineStr">
        <is>
          <t>«Нормальный» объектив зависит от формата: идея связана с диагональю кадра, поэтому 50 мм нормален для 35 мм, а на среднем формате нормальные фокусные будут длиннее.</t>
        </is>
      </c>
      <c r="H367" t="inlineStr">
        <is>
          <t>Оптические инструменты</t>
        </is>
      </c>
      <c r="I367" t="inlineStr">
        <is>
          <t>Normal lens and image format</t>
        </is>
      </c>
      <c r="J367" t="inlineStr">
        <is>
          <t>Фотограф перестаёт считать 50 мм универсальной нормой для всех камер и начинает мыслить форматом кадра.</t>
        </is>
      </c>
      <c r="K367" t="inlineStr">
        <is>
          <t>Угол зрения около 47°</t>
        </is>
      </c>
      <c r="L367" t="inlineStr">
        <is>
          <t>Естественная перспектива</t>
        </is>
      </c>
      <c r="M367" t="inlineStr">
        <is>
          <t>Главная линия / формат кадра</t>
        </is>
      </c>
      <c r="N367" t="n">
        <v>5</v>
      </c>
      <c r="O367" t="inlineStr">
        <is>
          <t>PL-035</t>
        </is>
      </c>
      <c r="P367" t="inlineStr">
        <is>
          <t>SRC-273</t>
        </is>
      </c>
      <c r="Q367" t="inlineStr">
        <is>
          <t>Nikon — NIKKOR The Thousand and One Nights No.49</t>
        </is>
      </c>
      <c r="R367" t="inlineStr">
        <is>
          <t>https://imaging.nikon.com/imaging/information/story/0049/index.html</t>
        </is>
      </c>
      <c r="S367" t="n">
        <v>5</v>
      </c>
      <c r="T367" t="inlineStr">
        <is>
          <t>Важно перед средним форматом и цифровым crop: «нормальный» — это отношение фокуса к формату.</t>
        </is>
      </c>
      <c r="U367" t="inlineStr">
        <is>
          <t>Рамки 24×36, 6×6 и 4×5; рядом разные «нормальные» фокусные.</t>
        </is>
      </c>
      <c r="V367" t="inlineStr">
        <is>
          <t>#PL035 #format #diagonal #mediumformat</t>
        </is>
      </c>
      <c r="Y367" t="inlineStr">
        <is>
          <t>Нормальный объектив / формат</t>
        </is>
      </c>
      <c r="Z367" t="inlineStr">
        <is>
          <t>Технология / процесс</t>
        </is>
      </c>
    </row>
    <row r="368" ht="17" customHeight="1" s="72">
      <c r="A368" t="inlineStr">
        <is>
          <t>PL-HIST-0367</t>
        </is>
      </c>
      <c r="B368" t="inlineStr">
        <is>
          <t>сегодня</t>
        </is>
      </c>
      <c r="C368" t="inlineStr">
        <is>
          <t>примерно</t>
        </is>
      </c>
      <c r="D368" t="inlineStr">
        <is>
          <t>глобально</t>
        </is>
      </c>
      <c r="E368" t="inlineStr">
        <is>
          <t>улица / быт / документальная фотография</t>
        </is>
      </c>
      <c r="F368" t="inlineStr">
        <is>
          <t>фотограф</t>
        </is>
      </c>
      <c r="G368" t="inlineStr">
        <is>
          <t>Нормальный объектив не навязывает экстремальный эффект: он оставляет пространство достаточно естественным и помогает сосредоточиться на моменте, свете и композиции.</t>
        </is>
      </c>
      <c r="H368" t="inlineStr">
        <is>
          <t>Оптические инструменты</t>
        </is>
      </c>
      <c r="I368" t="inlineStr">
        <is>
          <t>Natural perspective / balanced look</t>
        </is>
      </c>
      <c r="J368" t="inlineStr">
        <is>
          <t>Техника уходит на второй план: зритель меньше замечает объектив и больше смотрит на содержание кадра.</t>
        </is>
      </c>
      <c r="K368" t="inlineStr">
        <is>
          <t>Формат и диагональ кадра</t>
        </is>
      </c>
      <c r="L368" t="inlineStr">
        <is>
          <t>Учебная дисциплина</t>
        </is>
      </c>
      <c r="M368" t="inlineStr">
        <is>
          <t>Главная линия / визуальная нейтральность</t>
        </is>
      </c>
      <c r="N368" t="n">
        <v>5</v>
      </c>
      <c r="O368" t="inlineStr">
        <is>
          <t>PL-035</t>
        </is>
      </c>
      <c r="P368" t="inlineStr">
        <is>
          <t>SRC-269</t>
        </is>
      </c>
      <c r="Q368" t="inlineStr">
        <is>
          <t>Nikon — What is focal length?</t>
        </is>
      </c>
      <c r="R368" t="inlineStr">
        <is>
          <t>https://www.nikon.nl/nl_NL/learn-and-explore/magazine/tips-and-tricks/what-is-focal-length-in-photography-a-guide-for-beginners</t>
        </is>
      </c>
      <c r="S368" t="n">
        <v>5</v>
      </c>
      <c r="T368" t="inlineStr">
        <is>
          <t>Сказать аккуратно: нормальный объектив даёт не «копию глаза», а спокойное, привычное восприятие пространства.</t>
        </is>
      </c>
      <c r="U368" t="inlineStr">
        <is>
          <t>Обычная сцена кафе/улицы без драматического растяжения и без сильного сжатия.</t>
        </is>
      </c>
      <c r="V368" t="inlineStr">
        <is>
          <t>#PL035 #naturalperspective #documentary #street</t>
        </is>
      </c>
      <c r="Y368" t="inlineStr">
        <is>
          <t>Нормальный объектив / естественное восприятие</t>
        </is>
      </c>
      <c r="Z368" t="inlineStr">
        <is>
          <t>Применение / жанр</t>
        </is>
      </c>
    </row>
    <row r="369" ht="17" customHeight="1" s="72">
      <c r="A369" t="inlineStr">
        <is>
          <t>PL-HIST-0368</t>
        </is>
      </c>
      <c r="B369" t="inlineStr">
        <is>
          <t>сегодня</t>
        </is>
      </c>
      <c r="C369" t="inlineStr">
        <is>
          <t>примерно</t>
        </is>
      </c>
      <c r="D369" t="inlineStr">
        <is>
          <t>глобально</t>
        </is>
      </c>
      <c r="E369" t="inlineStr">
        <is>
          <t>учебная съёмка</t>
        </is>
      </c>
      <c r="F369" t="inlineStr">
        <is>
          <t>начинающий фотограф</t>
        </is>
      </c>
      <c r="G369" t="inlineStr">
        <is>
          <t>50 мм фикс-объектив хорошо подходит как учебный тренажёр: он не решает кадр за фотографа и заставляет двигаться ногами.</t>
        </is>
      </c>
      <c r="H369" t="inlineStr">
        <is>
          <t>Оптические инструменты</t>
        </is>
      </c>
      <c r="I369" t="inlineStr">
        <is>
          <t>50mm prime as training lens</t>
        </is>
      </c>
      <c r="J369" t="inlineStr">
        <is>
          <t>Фотограф начинает чувствовать дистанцию: шаг вперёд, шаг назад, выбор точки и рамки становятся частью мышления.</t>
        </is>
      </c>
      <c r="K369" t="inlineStr">
        <is>
          <t>Естественная перспектива</t>
        </is>
      </c>
      <c r="L369" t="inlineStr">
        <is>
          <t>Фикс и ограничения</t>
        </is>
      </c>
      <c r="M369" t="inlineStr">
        <is>
          <t>Главная линия / учебный инструмент</t>
        </is>
      </c>
      <c r="N369" t="n">
        <v>5</v>
      </c>
      <c r="O369" t="inlineStr">
        <is>
          <t>PL-035</t>
        </is>
      </c>
      <c r="P369" t="inlineStr">
        <is>
          <t>SRC-269</t>
        </is>
      </c>
      <c r="Q369" t="inlineStr">
        <is>
          <t>Nikon — What is focal length?</t>
        </is>
      </c>
      <c r="R369" t="inlineStr">
        <is>
          <t>https://www.nikon.nl/nl_NL/learn-and-explore/magazine/tips-and-tricks/what-is-focal-length-in-photography-a-guide-for-beginners</t>
        </is>
      </c>
      <c r="S369" t="n">
        <v>5</v>
      </c>
      <c r="T369" t="inlineStr">
        <is>
          <t>Связать с идеей PL-030: камера не делает фотографию за автора; объектив тоже не спасает без выбора.</t>
        </is>
      </c>
      <c r="U369" t="inlineStr">
        <is>
          <t>Фотограф меняет дистанцию до объекта; на земле отмечены шаги.</t>
        </is>
      </c>
      <c r="V369" t="inlineStr">
        <is>
          <t>#PL035 #prime #training #footzoom</t>
        </is>
      </c>
      <c r="Y369" t="inlineStr">
        <is>
          <t>Нормальный объектив / учебная дисциплина</t>
        </is>
      </c>
      <c r="Z369" t="inlineStr">
        <is>
          <t>Применение / жанр</t>
        </is>
      </c>
    </row>
    <row r="370" ht="17" customHeight="1" s="72">
      <c r="A370" t="inlineStr">
        <is>
          <t>PL-HIST-0369</t>
        </is>
      </c>
      <c r="B370" t="inlineStr">
        <is>
          <t>сегодня</t>
        </is>
      </c>
      <c r="C370" t="inlineStr">
        <is>
          <t>примерно</t>
        </is>
      </c>
      <c r="D370" t="inlineStr">
        <is>
          <t>глобально</t>
        </is>
      </c>
      <c r="E370" t="inlineStr">
        <is>
          <t>объективы 50mm f/1.8 / f/1.4</t>
        </is>
      </c>
      <c r="F370" t="inlineStr">
        <is>
          <t>производители / фотографы</t>
        </is>
      </c>
      <c r="G370" t="inlineStr">
        <is>
          <t>Многие 50-мм объективы существуют в светосильных версиях f/1.8 и f/1.4, поэтому они удобны для слабого света и размытия фона.</t>
        </is>
      </c>
      <c r="H370" t="inlineStr">
        <is>
          <t>Оптические инструменты</t>
        </is>
      </c>
      <c r="I370" t="inlineStr">
        <is>
          <t>Fast normal prime</t>
        </is>
      </c>
      <c r="J370" t="inlineStr">
        <is>
          <t>Нормальный объектив становится доступным способом почувствовать светосилу, глубину резкости и отделение объекта от фона.</t>
        </is>
      </c>
      <c r="K370" t="inlineStr">
        <is>
          <t>Фикс и ограничения</t>
        </is>
      </c>
      <c r="L370" t="inlineStr">
        <is>
          <t>Работа в слабом свете</t>
        </is>
      </c>
      <c r="M370" t="inlineStr">
        <is>
          <t>Главная линия / светосила</t>
        </is>
      </c>
      <c r="N370" t="n">
        <v>5</v>
      </c>
      <c r="O370" t="inlineStr">
        <is>
          <t>PL-035</t>
        </is>
      </c>
      <c r="P370" t="inlineStr">
        <is>
          <t>SRC-275</t>
        </is>
      </c>
      <c r="Q370" t="inlineStr">
        <is>
          <t>Nikon — AF-S NIKKOR 50mm f/1.8G News Release</t>
        </is>
      </c>
      <c r="R370" t="inlineStr">
        <is>
          <t>https://www.nikon.com/company/news/2011/0427_af-s50mmf18g_01/</t>
        </is>
      </c>
      <c r="S370" t="n">
        <v>5</v>
      </c>
      <c r="T370" t="inlineStr">
        <is>
          <t>Мост к PL-038: на 50 мм легко показать разницу f/1.8 и f/8.</t>
        </is>
      </c>
      <c r="U370" t="inlineStr">
        <is>
          <t>Один объект на 50 мм: слева f/1.8 с размытым фоном, справа f/8 с читаемым фоном.</t>
        </is>
      </c>
      <c r="V370" t="inlineStr">
        <is>
          <t>#PL035 #f18 #niftyfifty #bokeh</t>
        </is>
      </c>
      <c r="Y370" t="inlineStr">
        <is>
          <t>Нормальный объектив / светосильный фикс</t>
        </is>
      </c>
      <c r="Z370" t="inlineStr">
        <is>
          <t>Инструмент / устройство</t>
        </is>
      </c>
    </row>
    <row r="371" ht="17" customHeight="1" s="72">
      <c r="A371" t="inlineStr">
        <is>
          <t>PL-HIST-0370</t>
        </is>
      </c>
      <c r="B371" t="inlineStr">
        <is>
          <t>сегодня</t>
        </is>
      </c>
      <c r="C371" t="inlineStr">
        <is>
          <t>примерно</t>
        </is>
      </c>
      <c r="D371" t="inlineStr">
        <is>
          <t>глобально</t>
        </is>
      </c>
      <c r="E371" t="inlineStr">
        <is>
          <t>портрет / предметка / улица</t>
        </is>
      </c>
      <c r="F371" t="inlineStr">
        <is>
          <t>фотограф</t>
        </is>
      </c>
      <c r="G371" t="inlineStr">
        <is>
          <t>50 мм может работать в разных жанрах: прогулка, детали, предметка, поясной портрет, семейная сцена. Его сила — универсальность без сильного эффекта.</t>
        </is>
      </c>
      <c r="H371" t="inlineStr">
        <is>
          <t>Оптические инструменты</t>
        </is>
      </c>
      <c r="I371" t="inlineStr">
        <is>
          <t>50mm everyday lens</t>
        </is>
      </c>
      <c r="J371" t="inlineStr">
        <is>
          <t>Фотограф получает один объектив для тренировки наблюдения, а не для демонстрации технического эффекта.</t>
        </is>
      </c>
      <c r="K371" t="inlineStr">
        <is>
          <t>Работа в слабом свете</t>
        </is>
      </c>
      <c r="L371" t="inlineStr">
        <is>
          <t>Ограничения в тесном пространстве</t>
        </is>
      </c>
      <c r="M371" t="inlineStr">
        <is>
          <t>Главная линия / универсальность</t>
        </is>
      </c>
      <c r="N371" t="n">
        <v>5</v>
      </c>
      <c r="O371" t="inlineStr">
        <is>
          <t>PL-035</t>
        </is>
      </c>
      <c r="P371" t="inlineStr">
        <is>
          <t>SRC-269</t>
        </is>
      </c>
      <c r="Q371" t="inlineStr">
        <is>
          <t>Nikon — What is focal length?</t>
        </is>
      </c>
      <c r="R371" t="inlineStr">
        <is>
          <t>https://www.nikon.nl/nl_NL/learn-and-explore/magazine/tips-and-tricks/what-is-focal-length-in-photography-a-guide-for-beginners</t>
        </is>
      </c>
      <c r="S371" t="n">
        <v>5</v>
      </c>
      <c r="T371" t="inlineStr">
        <is>
          <t>Нужно не обещать, что 50 мм всегда удобен: в маленькой комнате он может быть тесным.</t>
        </is>
      </c>
      <c r="U371" t="inlineStr">
        <is>
          <t>Контакт-лист из четырёх 50mm кадров: улица, портрет, предмет, семейный момент.</t>
        </is>
      </c>
      <c r="V371" t="inlineStr">
        <is>
          <t>#PL035 #everydaylens #50mm #universal</t>
        </is>
      </c>
      <c r="Y371" t="inlineStr">
        <is>
          <t>Нормальный объектив / универсальность</t>
        </is>
      </c>
      <c r="Z371" t="inlineStr">
        <is>
          <t>Применение / жанр</t>
        </is>
      </c>
    </row>
    <row r="372" ht="17" customHeight="1" s="72">
      <c r="A372" t="inlineStr">
        <is>
          <t>PL-HIST-0371</t>
        </is>
      </c>
      <c r="B372" t="inlineStr">
        <is>
          <t>сегодня</t>
        </is>
      </c>
      <c r="C372" t="inlineStr">
        <is>
          <t>примерно</t>
        </is>
      </c>
      <c r="D372" t="inlineStr">
        <is>
          <t>глобально</t>
        </is>
      </c>
      <c r="E372" t="inlineStr">
        <is>
          <t>маленькая комната / архитектура</t>
        </is>
      </c>
      <c r="F372" t="inlineStr">
        <is>
          <t>фотограф</t>
        </is>
      </c>
      <c r="G372" t="inlineStr">
        <is>
          <t>У нормального 50 мм есть ограничение: в тесном помещении он может быть слишком узким, а для крупного лицевого портрета — иногда требует слишком близкой дистанции.</t>
        </is>
      </c>
      <c r="H372" t="inlineStr">
        <is>
          <t>Оптические инструменты</t>
        </is>
      </c>
      <c r="I372" t="inlineStr">
        <is>
          <t>50mm limitations</t>
        </is>
      </c>
      <c r="J372" t="inlineStr">
        <is>
          <t>Объектив выбирается под задачу: нормальность не означает универсальное решение для любого кадра.</t>
        </is>
      </c>
      <c r="K372" t="inlineStr">
        <is>
          <t>Универсальность</t>
        </is>
      </c>
      <c r="L372" t="inlineStr">
        <is>
          <t>Сравнение 35/50/85</t>
        </is>
      </c>
      <c r="M372" t="inlineStr">
        <is>
          <t>Главная линия / осознанный выбор</t>
        </is>
      </c>
      <c r="N372" t="n">
        <v>5</v>
      </c>
      <c r="O372" t="inlineStr">
        <is>
          <t>PL-035</t>
        </is>
      </c>
      <c r="P372" t="inlineStr">
        <is>
          <t>SRC-269</t>
        </is>
      </c>
      <c r="Q372" t="inlineStr">
        <is>
          <t>Nikon — What is focal length?</t>
        </is>
      </c>
      <c r="R372" t="inlineStr">
        <is>
          <t>https://www.nikon.nl/nl_NL/learn-and-explore/magazine/tips-and-tricks/what-is-focal-length-in-photography-a-guide-for-beginners</t>
        </is>
      </c>
      <c r="S372" t="n">
        <v>5</v>
      </c>
      <c r="T372" t="inlineStr">
        <is>
          <t>Здесь полезно показать, почему после 50 мм мы отдельно изучаем портретник.</t>
        </is>
      </c>
      <c r="U372" t="inlineStr">
        <is>
          <t>Комната: фотограф с 50 мм не может отойти назад; рядом отметка «нужен шире».</t>
        </is>
      </c>
      <c r="V372" t="inlineStr">
        <is>
          <t>#PL035 #limitations #lenschoice #distance</t>
        </is>
      </c>
      <c r="Y372" t="inlineStr">
        <is>
          <t>Нормальный объектив / ограничения</t>
        </is>
      </c>
      <c r="Z372" t="inlineStr">
        <is>
          <t>Связь / переход</t>
        </is>
      </c>
    </row>
    <row r="373" ht="17" customHeight="1" s="72">
      <c r="A373" t="inlineStr">
        <is>
          <t>PL-HIST-0372</t>
        </is>
      </c>
      <c r="B373" t="inlineStr">
        <is>
          <t>сегодня</t>
        </is>
      </c>
      <c r="C373" t="inlineStr">
        <is>
          <t>примерно</t>
        </is>
      </c>
      <c r="D373" t="inlineStr">
        <is>
          <t>глобально</t>
        </is>
      </c>
      <c r="E373" t="inlineStr">
        <is>
          <t>35 мм / 50 мм / 85 мм</t>
        </is>
      </c>
      <c r="F373" t="inlineStr">
        <is>
          <t>фотограф</t>
        </is>
      </c>
      <c r="G373" t="inlineStr">
        <is>
          <t>50 мм находится между широким и портретным языком: 35 мм даёт больше среды, 50 мм — баланс, 85 мм — больше отделения и спокойнее лицо.</t>
        </is>
      </c>
      <c r="H373" t="inlineStr">
        <is>
          <t>Оптические инструменты</t>
        </is>
      </c>
      <c r="I373" t="inlineStr">
        <is>
          <t>35/50/85 comparison</t>
        </is>
      </c>
      <c r="J373" t="inlineStr">
        <is>
          <t>Фотограф начинает выбирать фокусное по смыслу: контекст, баланс или акцент на человеке.</t>
        </is>
      </c>
      <c r="K373" t="inlineStr">
        <is>
          <t>Ограничения в тесном пространстве</t>
        </is>
      </c>
      <c r="L373" t="inlineStr">
        <is>
          <t>Портретный объектив</t>
        </is>
      </c>
      <c r="M373" t="inlineStr">
        <is>
          <t>Главная линия / сравнительный выбор</t>
        </is>
      </c>
      <c r="N373" t="n">
        <v>5</v>
      </c>
      <c r="O373" t="inlineStr">
        <is>
          <t>PL-035</t>
        </is>
      </c>
      <c r="P373" t="inlineStr">
        <is>
          <t>SRC-269</t>
        </is>
      </c>
      <c r="Q373" t="inlineStr">
        <is>
          <t>Nikon — What is focal length?</t>
        </is>
      </c>
      <c r="R373" t="inlineStr">
        <is>
          <t>https://www.nikon.nl/nl_NL/learn-and-explore/magazine/tips-and-tricks/what-is-focal-length-in-photography-a-guide-for-beginners</t>
        </is>
      </c>
      <c r="S373" t="n">
        <v>5</v>
      </c>
      <c r="T373" t="inlineStr">
        <is>
          <t>Это отличный слайд для будущей карусели: три одинаковых героя в трёх фокусных.</t>
        </is>
      </c>
      <c r="U373" t="inlineStr">
        <is>
          <t>Триптих портрета 35/50/85 с одинаковым человеком, разная доля фона.</t>
        </is>
      </c>
      <c r="V373" t="inlineStr">
        <is>
          <t>#PL035 #35mm #50mm #85mm #comparison</t>
        </is>
      </c>
      <c r="Y373" t="inlineStr">
        <is>
          <t>Нормальный объектив / сравнение</t>
        </is>
      </c>
      <c r="Z373" t="inlineStr">
        <is>
          <t>Применение / жанр</t>
        </is>
      </c>
    </row>
    <row r="374" ht="17" customHeight="1" s="72">
      <c r="A374" t="inlineStr">
        <is>
          <t>PL-HIST-0373</t>
        </is>
      </c>
      <c r="B374" t="inlineStr">
        <is>
          <t>сегодня</t>
        </is>
      </c>
      <c r="C374" t="inlineStr">
        <is>
          <t>примерно</t>
        </is>
      </c>
      <c r="D374" t="inlineStr">
        <is>
          <t>глобально</t>
        </is>
      </c>
      <c r="E374" t="inlineStr">
        <is>
          <t>PHOTO LAB / модуль объективов</t>
        </is>
      </c>
      <c r="F374" t="inlineStr">
        <is>
          <t>PHOTO LAB by VF</t>
        </is>
      </c>
      <c r="G374" t="inlineStr">
        <is>
          <t>Итог PL-035: нормальный 50 мм — это спокойная середина. Он учит видеть кадр без оптической драматизации и готовит к осознанному выбору портретного объектива.</t>
        </is>
      </c>
      <c r="H374" t="inlineStr">
        <is>
          <t>Оптические инструменты</t>
        </is>
      </c>
      <c r="I374" t="inlineStr">
        <is>
          <t>50mm as visual discipline</t>
        </is>
      </c>
      <c r="J374" t="inlineStr">
        <is>
          <t>Нормальный объектив становится школой наблюдения: меньше эффекта, больше внимания к свету, моменту и расстоянию.</t>
        </is>
      </c>
      <c r="K374" t="inlineStr">
        <is>
          <t>Сравнение 35/50/85</t>
        </is>
      </c>
      <c r="L374" t="inlineStr">
        <is>
          <t>PL-036 — портретный объектив</t>
        </is>
      </c>
      <c r="M374" t="inlineStr">
        <is>
          <t>Связь / переход</t>
        </is>
      </c>
      <c r="N374" t="n">
        <v>5</v>
      </c>
      <c r="O374" t="inlineStr">
        <is>
          <t>PL-035</t>
        </is>
      </c>
      <c r="P374" t="inlineStr">
        <is>
          <t>SRC-273</t>
        </is>
      </c>
      <c r="Q374" t="inlineStr">
        <is>
          <t>Nikon — NIKKOR The Thousand and One Nights No.49</t>
        </is>
      </c>
      <c r="R374" t="inlineStr">
        <is>
          <t>https://imaging.nikon.com/imaging/information/story/0049/index.html</t>
        </is>
      </c>
      <c r="S374" t="n">
        <v>5</v>
      </c>
      <c r="T374" t="inlineStr">
        <is>
          <t>Главный вывод: 50 мм — не «самый правильный», а самый честный учебный компромисс.</t>
        </is>
      </c>
      <c r="U374" t="inlineStr">
        <is>
          <t>50mm объектив на столе, рядом карточка «баланс / дистанция / момент».</t>
        </is>
      </c>
      <c r="V374" t="inlineStr">
        <is>
          <t>#PL035 #bridge #portraitlens #visualdiscipline</t>
        </is>
      </c>
      <c r="Y374" t="inlineStr">
        <is>
          <t>Нормальный объектив / итог и мост</t>
        </is>
      </c>
      <c r="Z374" t="inlineStr">
        <is>
          <t>Связь / переход</t>
        </is>
      </c>
    </row>
    <row r="375" ht="17" customHeight="1" s="72">
      <c r="A375" t="inlineStr">
        <is>
          <t>PL-HIST-0374</t>
        </is>
      </c>
      <c r="B375" t="inlineStr">
        <is>
          <t>сегодня</t>
        </is>
      </c>
      <c r="C375" t="inlineStr">
        <is>
          <t>примерно</t>
        </is>
      </c>
      <c r="D375" t="inlineStr">
        <is>
          <t>глобально</t>
        </is>
      </c>
      <c r="E375" t="inlineStr">
        <is>
          <t>портрет / 35 мм full-frame</t>
        </is>
      </c>
      <c r="F375" t="inlineStr">
        <is>
          <t>фотографы</t>
        </is>
      </c>
      <c r="G375" t="inlineStr">
        <is>
          <t>Портретный объектив — это не один конкретный миллиметраж, а фокусное и дистанция, которые помогают передать лицо без грубого перспективного преувеличения.</t>
        </is>
      </c>
      <c r="H375" t="inlineStr">
        <is>
          <t>Оптические инструменты</t>
        </is>
      </c>
      <c r="I375" t="inlineStr">
        <is>
          <t>Portrait lens concept</t>
        </is>
      </c>
      <c r="J375" t="inlineStr">
        <is>
          <t>Фотограф начинает выбирать объектив не по названию, а по отношению к человеку: дистанция, пропорции, фон и контакт.</t>
        </is>
      </c>
      <c r="K375" t="inlineStr">
        <is>
          <t>PL-035 — нормальный 50 мм</t>
        </is>
      </c>
      <c r="L375" t="inlineStr">
        <is>
          <t>Классические 85/105/135 мм</t>
        </is>
      </c>
      <c r="M375" t="inlineStr">
        <is>
          <t>Главная линия / портретный язык</t>
        </is>
      </c>
      <c r="N375" t="n">
        <v>5</v>
      </c>
      <c r="O375" t="inlineStr">
        <is>
          <t>PL-036</t>
        </is>
      </c>
      <c r="P375" t="inlineStr">
        <is>
          <t>SRC-276</t>
        </is>
      </c>
      <c r="Q375" t="inlineStr">
        <is>
          <t>Nikon — Portrait Photography Quickstart</t>
        </is>
      </c>
      <c r="R375" t="inlineStr">
        <is>
          <t>https://www.nikon.nl/nl_NL/learn-and-explore/magazine/nikon-quickstart/improve-your-portrait-photography-with-your-nikon-quickstart-cheat-sheet</t>
        </is>
      </c>
      <c r="S375" t="n">
        <v>5</v>
      </c>
      <c r="T375" t="inlineStr">
        <is>
          <t>Флагман PL-036: портретник нужен не для «красивого боке», а для уважительной дистанции и формы лица.</t>
        </is>
      </c>
      <c r="U375" t="inlineStr">
        <is>
          <t>Портретная дистанция: фотограф, модель, 85mm объектив, фон мягко отделён.</t>
        </is>
      </c>
      <c r="V375" t="inlineStr">
        <is>
          <t>#PL036 #portraitlens #85mm #humanform</t>
        </is>
      </c>
      <c r="Y375" t="inlineStr">
        <is>
          <t>Портретный объектив / базовое определение</t>
        </is>
      </c>
      <c r="Z375" t="inlineStr">
        <is>
          <t>Ключевой исторический узел</t>
        </is>
      </c>
      <c r="AA375" t="inlineStr">
        <is>
          <t>да</t>
        </is>
      </c>
    </row>
    <row r="376" ht="17" customHeight="1" s="72">
      <c r="A376" t="inlineStr">
        <is>
          <t>PL-HIST-0375</t>
        </is>
      </c>
      <c r="B376" t="inlineStr">
        <is>
          <t>сегодня</t>
        </is>
      </c>
      <c r="C376" t="inlineStr">
        <is>
          <t>примерно</t>
        </is>
      </c>
      <c r="D376" t="inlineStr">
        <is>
          <t>глобально</t>
        </is>
      </c>
      <c r="E376" t="inlineStr">
        <is>
          <t>портрет / 35 мм full-frame</t>
        </is>
      </c>
      <c r="F376" t="inlineStr">
        <is>
          <t>фотографы</t>
        </is>
      </c>
      <c r="G376" t="inlineStr">
        <is>
          <t>Классические портретные фокусные часто находятся около 85 мм, 105 мм и 135 мм: они дают умеренно узкий угол зрения и удобную дистанцию для человека.</t>
        </is>
      </c>
      <c r="H376" t="inlineStr">
        <is>
          <t>Оптические инструменты</t>
        </is>
      </c>
      <c r="I376" t="inlineStr">
        <is>
          <t>85mm / 105mm / 135mm portrait range</t>
        </is>
      </c>
      <c r="J376" t="inlineStr">
        <is>
          <t>Портрет становится управлением дистанцией: камера не лезет слишком близко, а лицо выглядит спокойнее.</t>
        </is>
      </c>
      <c r="K376" t="inlineStr">
        <is>
          <t>Портретный объектив</t>
        </is>
      </c>
      <c r="L376" t="inlineStr">
        <is>
          <t>Рабочая дистанция</t>
        </is>
      </c>
      <c r="M376" t="inlineStr">
        <is>
          <t>Главная линия / классические фокусные</t>
        </is>
      </c>
      <c r="N376" t="n">
        <v>5</v>
      </c>
      <c r="O376" t="inlineStr">
        <is>
          <t>PL-036</t>
        </is>
      </c>
      <c r="P376" t="inlineStr">
        <is>
          <t>SRC-276</t>
        </is>
      </c>
      <c r="Q376" t="inlineStr">
        <is>
          <t>Nikon — Portrait Photography Quickstart</t>
        </is>
      </c>
      <c r="R376" t="inlineStr">
        <is>
          <t>https://www.nikon.nl/nl_NL/learn-and-explore/magazine/nikon-quickstart/improve-your-portrait-photography-with-your-nikon-quickstart-cheat-sheet</t>
        </is>
      </c>
      <c r="S376" t="n">
        <v>5</v>
      </c>
      <c r="T376" t="inlineStr">
        <is>
          <t>Уточнить: 50 мм тоже может быть портретным, особенно поясной/средовой портрет; но для головы чаще удобнее 85+.</t>
        </is>
      </c>
      <c r="U376" t="inlineStr">
        <is>
          <t>Три объектива 85/105/135 на одной линии, каждый даёт чуть более узкую рамку.</t>
        </is>
      </c>
      <c r="V376" t="inlineStr">
        <is>
          <t>#PL036 #85mm #105mm #135mm #portrait</t>
        </is>
      </c>
      <c r="Y376" t="inlineStr">
        <is>
          <t>Портретный объектив / классический диапазон</t>
        </is>
      </c>
      <c r="Z376" t="inlineStr">
        <is>
          <t>Инструмент / устройство</t>
        </is>
      </c>
    </row>
    <row r="377" ht="17" customHeight="1" s="72">
      <c r="A377" t="inlineStr">
        <is>
          <t>PL-HIST-0376</t>
        </is>
      </c>
      <c r="B377" t="inlineStr">
        <is>
          <t>сегодня</t>
        </is>
      </c>
      <c r="C377" t="inlineStr">
        <is>
          <t>примерно</t>
        </is>
      </c>
      <c r="D377" t="inlineStr">
        <is>
          <t>глобально</t>
        </is>
      </c>
      <c r="E377" t="inlineStr">
        <is>
          <t>портрет / крупный план</t>
        </is>
      </c>
      <c r="F377" t="inlineStr">
        <is>
          <t>фотограф</t>
        </is>
      </c>
      <c r="G377" t="inlineStr">
        <is>
          <t>Рабочая дистанция важнее ярлыка «портретный»: если подойти слишком близко даже с хорошим объективом, лицо может выглядеть непривычно из-за перспективы.</t>
        </is>
      </c>
      <c r="H377" t="inlineStr">
        <is>
          <t>Оптические инструменты</t>
        </is>
      </c>
      <c r="I377" t="inlineStr">
        <is>
          <t>Portrait working distance</t>
        </is>
      </c>
      <c r="J377" t="inlineStr">
        <is>
          <t>Новичок понимает, что портретный объектив помогает отойти на комфортное расстояние, а не магически «исправляет» лицо.</t>
        </is>
      </c>
      <c r="K377" t="inlineStr">
        <is>
          <t>Классические 85/105/135 мм</t>
        </is>
      </c>
      <c r="L377" t="inlineStr">
        <is>
          <t>Лицо и перспектива</t>
        </is>
      </c>
      <c r="M377" t="inlineStr">
        <is>
          <t>Главная линия / дистанция</t>
        </is>
      </c>
      <c r="N377" t="n">
        <v>5</v>
      </c>
      <c r="O377" t="inlineStr">
        <is>
          <t>PL-036</t>
        </is>
      </c>
      <c r="P377" t="inlineStr">
        <is>
          <t>SRC-277</t>
        </is>
      </c>
      <c r="Q377" t="inlineStr">
        <is>
          <t>B&amp;H eXplora — Top 10 Lenses for Shooting Pro-Caliber Portraits</t>
        </is>
      </c>
      <c r="R377" t="inlineStr">
        <is>
          <t>https://www.bhphotovideo.com/explora/photography/hands-on-review/top-10-lenses-for-shooting-pro-caliber-portraits</t>
        </is>
      </c>
      <c r="S377" t="n">
        <v>5</v>
      </c>
      <c r="T377" t="inlineStr">
        <is>
          <t>Связать с PL-034: искажение лица — чаще вопрос дистанции, а не «плохого широкого угла».</t>
        </is>
      </c>
      <c r="U377" t="inlineStr">
        <is>
          <t>Схема: слишком близко — нос крупнее; дальше — пропорции спокойнее.</t>
        </is>
      </c>
      <c r="V377" t="inlineStr">
        <is>
          <t>#PL036 #workingdistance #perspective #headshot</t>
        </is>
      </c>
      <c r="Y377" t="inlineStr">
        <is>
          <t>Портретный объектив / дистанция</t>
        </is>
      </c>
      <c r="Z377" t="inlineStr">
        <is>
          <t>Технология / процесс</t>
        </is>
      </c>
    </row>
    <row r="378" ht="17" customHeight="1" s="72">
      <c r="A378" t="inlineStr">
        <is>
          <t>PL-HIST-0377</t>
        </is>
      </c>
      <c r="B378" t="inlineStr">
        <is>
          <t>сегодня</t>
        </is>
      </c>
      <c r="C378" t="inlineStr">
        <is>
          <t>примерно</t>
        </is>
      </c>
      <c r="D378" t="inlineStr">
        <is>
          <t>глобально</t>
        </is>
      </c>
      <c r="E378" t="inlineStr">
        <is>
          <t>голова / плечи / поясной портрет</t>
        </is>
      </c>
      <c r="F378" t="inlineStr">
        <is>
          <t>фотограф</t>
        </is>
      </c>
      <c r="G378" t="inlineStr">
        <is>
          <t>85 мм на full-frame часто воспринимается как классический портретный выбор: он удобен для головы, плечевого портрета, моды, свадьбы и съёмки человека.</t>
        </is>
      </c>
      <c r="H378" t="inlineStr">
        <is>
          <t>Оптические инструменты</t>
        </is>
      </c>
      <c r="I378" t="inlineStr">
        <is>
          <t>85mm portrait lens</t>
        </is>
      </c>
      <c r="J378" t="inlineStr">
        <is>
          <t>Портретный объектив становится практическим стандартом: достаточно близко для контакта, достаточно далеко для спокойных пропорций.</t>
        </is>
      </c>
      <c r="K378" t="inlineStr">
        <is>
          <t>Рабочая дистанция</t>
        </is>
      </c>
      <c r="L378" t="inlineStr">
        <is>
          <t>105/135 и tighter portraits</t>
        </is>
      </c>
      <c r="M378" t="inlineStr">
        <is>
          <t>Главная линия / 85 мм</t>
        </is>
      </c>
      <c r="N378" t="n">
        <v>5</v>
      </c>
      <c r="O378" t="inlineStr">
        <is>
          <t>PL-036</t>
        </is>
      </c>
      <c r="P378" t="inlineStr">
        <is>
          <t>SRC-278</t>
        </is>
      </c>
      <c r="Q378" t="inlineStr">
        <is>
          <t>Nikon USA — NIKKOR Z 85mm f/1.8 S Overview</t>
        </is>
      </c>
      <c r="R378" t="inlineStr">
        <is>
          <t>https://www.nikonusa.com/p/nikkor-z-85mm-f18-s/20090/overview</t>
        </is>
      </c>
      <c r="S378" t="n">
        <v>5</v>
      </c>
      <c r="T378" t="inlineStr">
        <is>
          <t>Сформулировать без догмы: 85 мм — отличный ориентир, не обязательный закон.</t>
        </is>
      </c>
      <c r="U378" t="inlineStr">
        <is>
          <t>Крупно: 85mm lens, за ним мягкий портрет в окне света.</t>
        </is>
      </c>
      <c r="V378" t="inlineStr">
        <is>
          <t>#PL036 #85mm #headshot #wedding #fashion</t>
        </is>
      </c>
      <c r="Y378" t="inlineStr">
        <is>
          <t>Портретный объектив / 85 мм</t>
        </is>
      </c>
      <c r="Z378" t="inlineStr">
        <is>
          <t>Инструмент / устройство</t>
        </is>
      </c>
    </row>
    <row r="379" ht="17" customHeight="1" s="72">
      <c r="A379" t="inlineStr">
        <is>
          <t>PL-HIST-0378</t>
        </is>
      </c>
      <c r="B379" t="inlineStr">
        <is>
          <t>сегодня</t>
        </is>
      </c>
      <c r="C379" t="inlineStr">
        <is>
          <t>примерно</t>
        </is>
      </c>
      <c r="D379" t="inlineStr">
        <is>
          <t>глобально</t>
        </is>
      </c>
      <c r="E379" t="inlineStr">
        <is>
          <t>крупный портрет / студия</t>
        </is>
      </c>
      <c r="F379" t="inlineStr">
        <is>
          <t>фотограф</t>
        </is>
      </c>
      <c r="G379" t="inlineStr">
        <is>
          <t>Более длинные портретные фокусные 105–135 мм дают ещё большую рабочую дистанцию и сильнее отделяют человека от фона при той же композиции.</t>
        </is>
      </c>
      <c r="H379" t="inlineStr">
        <is>
          <t>Оптические инструменты</t>
        </is>
      </c>
      <c r="I379" t="inlineStr">
        <is>
          <t>105mm / 135mm portrait lens</t>
        </is>
      </c>
      <c r="J379" t="inlineStr">
        <is>
          <t>Фотограф получает более спокойный фон и меньшую навязчивость камеры — особенно для крупного портрета.</t>
        </is>
      </c>
      <c r="K379" t="inlineStr">
        <is>
          <t>85 мм</t>
        </is>
      </c>
      <c r="L379" t="inlineStr">
        <is>
          <t>Светосила и фон</t>
        </is>
      </c>
      <c r="M379" t="inlineStr">
        <is>
          <t>Главная линия / длинный портретник</t>
        </is>
      </c>
      <c r="N379" t="n">
        <v>5</v>
      </c>
      <c r="O379" t="inlineStr">
        <is>
          <t>PL-036</t>
        </is>
      </c>
      <c r="P379" t="inlineStr">
        <is>
          <t>SRC-276</t>
        </is>
      </c>
      <c r="Q379" t="inlineStr">
        <is>
          <t>Nikon — Portrait Photography Quickstart</t>
        </is>
      </c>
      <c r="R379" t="inlineStr">
        <is>
          <t>https://www.nikon.nl/nl_NL/learn-and-explore/magazine/nikon-quickstart/improve-your-portrait-photography-with-your-nikon-quickstart-cheat-sheet</t>
        </is>
      </c>
      <c r="S379" t="n">
        <v>5</v>
      </c>
      <c r="T379" t="inlineStr">
        <is>
          <t>Важно не говорить «сжимает лицо» буквально: сжатие возникает из-за большей дистанции при сохранении размера лица.</t>
        </is>
      </c>
      <c r="U379" t="inlineStr">
        <is>
          <t>Сравнение 85 и 135 мм: фон на 135 крупнее и мягче, модель того же размера.</t>
        </is>
      </c>
      <c r="V379" t="inlineStr">
        <is>
          <t>#PL036 #135mm #compression #background</t>
        </is>
      </c>
      <c r="Y379" t="inlineStr">
        <is>
          <t>Портретный объектив / 105–135 мм</t>
        </is>
      </c>
      <c r="Z379" t="inlineStr">
        <is>
          <t>Инструмент / устройство</t>
        </is>
      </c>
    </row>
    <row r="380" ht="17" customHeight="1" s="72">
      <c r="A380" t="inlineStr">
        <is>
          <t>PL-HIST-0379</t>
        </is>
      </c>
      <c r="B380" t="inlineStr">
        <is>
          <t>сегодня</t>
        </is>
      </c>
      <c r="C380" t="inlineStr">
        <is>
          <t>примерно</t>
        </is>
      </c>
      <c r="D380" t="inlineStr">
        <is>
          <t>глобально</t>
        </is>
      </c>
      <c r="E380" t="inlineStr">
        <is>
          <t>портрет / открытая диафрагма</t>
        </is>
      </c>
      <c r="F380" t="inlineStr">
        <is>
          <t>фотограф</t>
        </is>
      </c>
      <c r="G380" t="inlineStr">
        <is>
          <t>Большая максимальная диафрагма помогает отделить человека от фона: f/1.8, f/1.4 или f/1.2 дают малую глубину резкости и мягкое размытие.</t>
        </is>
      </c>
      <c r="H380" t="inlineStr">
        <is>
          <t>Оптические инструменты</t>
        </is>
      </c>
      <c r="I380" t="inlineStr">
        <is>
          <t>Portrait aperture and background separation</t>
        </is>
      </c>
      <c r="J380" t="inlineStr">
        <is>
          <t>Объектив начинает управлять вниманием зрителя: резкий глаз и мягкий фон делают лицо главным.</t>
        </is>
      </c>
      <c r="K380" t="inlineStr">
        <is>
          <t>105/135 и tighter portraits</t>
        </is>
      </c>
      <c r="L380" t="inlineStr">
        <is>
          <t>Фокус по глазу</t>
        </is>
      </c>
      <c r="M380" t="inlineStr">
        <is>
          <t>Главная линия / отделение фона</t>
        </is>
      </c>
      <c r="N380" t="n">
        <v>5</v>
      </c>
      <c r="O380" t="inlineStr">
        <is>
          <t>PL-036</t>
        </is>
      </c>
      <c r="P380" t="inlineStr">
        <is>
          <t>SRC-276</t>
        </is>
      </c>
      <c r="Q380" t="inlineStr">
        <is>
          <t>Nikon — Portrait Photography Quickstart</t>
        </is>
      </c>
      <c r="R380" t="inlineStr">
        <is>
          <t>https://www.nikon.nl/nl_NL/learn-and-explore/magazine/nikon-quickstart/improve-your-portrait-photography-with-your-nikon-quickstart-cheat-sheet</t>
        </is>
      </c>
      <c r="S380" t="n">
        <v>5</v>
      </c>
      <c r="T380" t="inlineStr">
        <is>
          <t>Связать с будущими уроками про диафрагму и ГРИП.</t>
        </is>
      </c>
      <c r="U380" t="inlineStr">
        <is>
          <t>Портрет: глаз резкий, фон растворён; рядом шкала f/1.8 → f/8.</t>
        </is>
      </c>
      <c r="V380" t="inlineStr">
        <is>
          <t>#PL036 #aperture #bokeh #separation</t>
        </is>
      </c>
      <c r="Y380" t="inlineStr">
        <is>
          <t>Портретный объектив / светосила и фон</t>
        </is>
      </c>
      <c r="Z380" t="inlineStr">
        <is>
          <t>Технология / процесс</t>
        </is>
      </c>
    </row>
    <row r="381" ht="17" customHeight="1" s="72">
      <c r="A381" t="inlineStr">
        <is>
          <t>PL-HIST-0380</t>
        </is>
      </c>
      <c r="B381" t="inlineStr">
        <is>
          <t>сегодня</t>
        </is>
      </c>
      <c r="C381" t="inlineStr">
        <is>
          <t>примерно</t>
        </is>
      </c>
      <c r="D381" t="inlineStr">
        <is>
          <t>глобально</t>
        </is>
      </c>
      <c r="E381" t="inlineStr">
        <is>
          <t>портрет / фокусировка</t>
        </is>
      </c>
      <c r="F381" t="inlineStr">
        <is>
          <t>фотограф</t>
        </is>
      </c>
      <c r="G381" t="inlineStr">
        <is>
          <t>В портрете критична точка фокуса: даже самый дорогой портретник не спасает кадр, если глаза нерезкие или фокус ушёл на фон.</t>
        </is>
      </c>
      <c r="H381" t="inlineStr">
        <is>
          <t>Оптические инструменты</t>
        </is>
      </c>
      <c r="I381" t="inlineStr">
        <is>
          <t>Portrait focus on eyes</t>
        </is>
      </c>
      <c r="J381" t="inlineStr">
        <is>
          <t>Фотограф учится ставить техническую точность на службу человеку: резкость нужна там, где зритель ищет контакт.</t>
        </is>
      </c>
      <c r="K381" t="inlineStr">
        <is>
          <t>Светосила и фон</t>
        </is>
      </c>
      <c r="L381" t="inlineStr">
        <is>
          <t>Фон и контекст</t>
        </is>
      </c>
      <c r="M381" t="inlineStr">
        <is>
          <t>Главная линия / фокусировка</t>
        </is>
      </c>
      <c r="N381" t="n">
        <v>5</v>
      </c>
      <c r="O381" t="inlineStr">
        <is>
          <t>PL-036</t>
        </is>
      </c>
      <c r="P381" t="inlineStr">
        <is>
          <t>SRC-276</t>
        </is>
      </c>
      <c r="Q381" t="inlineStr">
        <is>
          <t>Nikon — Portrait Photography Quickstart</t>
        </is>
      </c>
      <c r="R381" t="inlineStr">
        <is>
          <t>https://www.nikon.nl/nl_NL/learn-and-explore/magazine/nikon-quickstart/improve-your-portrait-photography-with-your-nikon-quickstart-cheat-sheet</t>
        </is>
      </c>
      <c r="S381" t="n">
        <v>5</v>
      </c>
      <c r="T381" t="inlineStr">
        <is>
          <t>Даже в уроке про объектив важно говорить не только про объектив, но и про точку внимания.</t>
        </is>
      </c>
      <c r="U381" t="inlineStr">
        <is>
          <t>Макро-кадр глаза, фокусировочная рамка; фон мягкий.</t>
        </is>
      </c>
      <c r="V381" t="inlineStr">
        <is>
          <t>#PL036 #eyes #focus #depthoffield</t>
        </is>
      </c>
      <c r="Y381" t="inlineStr">
        <is>
          <t>Портретный объектив / фокус по глазам</t>
        </is>
      </c>
      <c r="Z381" t="inlineStr">
        <is>
          <t>Технология / процесс</t>
        </is>
      </c>
    </row>
    <row r="382" ht="17" customHeight="1" s="72">
      <c r="A382" t="inlineStr">
        <is>
          <t>PL-HIST-0381</t>
        </is>
      </c>
      <c r="B382" t="inlineStr">
        <is>
          <t>сегодня</t>
        </is>
      </c>
      <c r="C382" t="inlineStr">
        <is>
          <t>примерно</t>
        </is>
      </c>
      <c r="D382" t="inlineStr">
        <is>
          <t>глобально</t>
        </is>
      </c>
      <c r="E382" t="inlineStr">
        <is>
          <t>средовой портрет</t>
        </is>
      </c>
      <c r="F382" t="inlineStr">
        <is>
          <t>фотограф</t>
        </is>
      </c>
      <c r="G382" t="inlineStr">
        <is>
          <t>Портретный объектив не обязан убивать фон. В средовом портрете фон может рассказывать о человеке, его профессии, доме или городе.</t>
        </is>
      </c>
      <c r="H382" t="inlineStr">
        <is>
          <t>Оптические инструменты</t>
        </is>
      </c>
      <c r="I382" t="inlineStr">
        <is>
          <t>Environmental portrait lens choice</t>
        </is>
      </c>
      <c r="J382" t="inlineStr">
        <is>
          <t>Фотограф выбирает баланс: отделить человека от хаоса или оставить среду как часть истории.</t>
        </is>
      </c>
      <c r="K382" t="inlineStr">
        <is>
          <t>Фокус по глазу</t>
        </is>
      </c>
      <c r="L382" t="inlineStr">
        <is>
          <t>Портретник и контакт</t>
        </is>
      </c>
      <c r="M382" t="inlineStr">
        <is>
          <t>Главная линия / портрет в среде</t>
        </is>
      </c>
      <c r="N382" t="n">
        <v>5</v>
      </c>
      <c r="O382" t="inlineStr">
        <is>
          <t>PL-036</t>
        </is>
      </c>
      <c r="P382" t="inlineStr">
        <is>
          <t>SRC-277</t>
        </is>
      </c>
      <c r="Q382" t="inlineStr">
        <is>
          <t>B&amp;H eXplora — Top 10 Lenses for Shooting Pro-Caliber Portraits</t>
        </is>
      </c>
      <c r="R382" t="inlineStr">
        <is>
          <t>https://www.bhphotovideo.com/explora/photography/hands-on-review/top-10-lenses-for-shooting-pro-caliber-portraits</t>
        </is>
      </c>
      <c r="S382" t="n">
        <v>5</v>
      </c>
      <c r="T382" t="inlineStr">
        <is>
          <t>Хороший контр-тезис против «всё в боке»: портрет — это не всегда размытый фон.</t>
        </is>
      </c>
      <c r="U382" t="inlineStr">
        <is>
          <t>Мастерская/студия: человек резкий, фон читается, но не спорит с лицом.</t>
        </is>
      </c>
      <c r="V382" t="inlineStr">
        <is>
          <t>#PL036 #environmentalportrait #context #background</t>
        </is>
      </c>
      <c r="Y382" t="inlineStr">
        <is>
          <t>Портретный объектив / средовой портрет</t>
        </is>
      </c>
      <c r="Z382" t="inlineStr">
        <is>
          <t>Применение / жанр</t>
        </is>
      </c>
    </row>
    <row r="383" ht="17" customHeight="1" s="72">
      <c r="A383" t="inlineStr">
        <is>
          <t>PL-HIST-0382</t>
        </is>
      </c>
      <c r="B383" t="inlineStr">
        <is>
          <t>сегодня</t>
        </is>
      </c>
      <c r="C383" t="inlineStr">
        <is>
          <t>примерно</t>
        </is>
      </c>
      <c r="D383" t="inlineStr">
        <is>
          <t>глобально</t>
        </is>
      </c>
      <c r="E383" t="inlineStr">
        <is>
          <t>психология съёмки</t>
        </is>
      </c>
      <c r="F383" t="inlineStr">
        <is>
          <t>фотограф / модель</t>
        </is>
      </c>
      <c r="G383" t="inlineStr">
        <is>
          <t>Фокусное расстояние влияет на общение: слишком близкая камера может напрягать человека, а слишком дальняя — разрушать контакт.</t>
        </is>
      </c>
      <c r="H383" t="inlineStr">
        <is>
          <t>Оптические инструменты</t>
        </is>
      </c>
      <c r="I383" t="inlineStr">
        <is>
          <t>Portrait distance and human contact</t>
        </is>
      </c>
      <c r="J383" t="inlineStr">
        <is>
          <t>Объектив становится этическим инструментом: он задаёт комфортную дистанцию между фотографом и человеком.</t>
        </is>
      </c>
      <c r="K383" t="inlineStr">
        <is>
          <t>Фон и контекст</t>
        </is>
      </c>
      <c r="L383" t="inlineStr">
        <is>
          <t>Жанровые портреты</t>
        </is>
      </c>
      <c r="M383" t="inlineStr">
        <is>
          <t>Главная линия / психологическая дистанция</t>
        </is>
      </c>
      <c r="N383" t="n">
        <v>5</v>
      </c>
      <c r="O383" t="inlineStr">
        <is>
          <t>PL-036</t>
        </is>
      </c>
      <c r="P383" t="inlineStr">
        <is>
          <t>SRC-277</t>
        </is>
      </c>
      <c r="Q383" t="inlineStr">
        <is>
          <t>B&amp;H eXplora — Top 10 Lenses for Shooting Pro-Caliber Portraits</t>
        </is>
      </c>
      <c r="R383" t="inlineStr">
        <is>
          <t>https://www.bhphotovideo.com/explora/photography/hands-on-review/top-10-lenses-for-shooting-pro-caliber-portraits</t>
        </is>
      </c>
      <c r="S383" t="n">
        <v>5</v>
      </c>
      <c r="T383" t="inlineStr">
        <is>
          <t>Очень важный для авторского PHOTO LAB тезис: техника влияет на атмосферу съёмки.</t>
        </is>
      </c>
      <c r="U383" t="inlineStr">
        <is>
          <t>Фотограф общается с моделью на комфортной дистанции; камера не вторгается в лицо.</t>
        </is>
      </c>
      <c r="V383" t="inlineStr">
        <is>
          <t>#PL036 #portrait #contact #ethics</t>
        </is>
      </c>
      <c r="Y383" t="inlineStr">
        <is>
          <t>Портретный объектив / дистанция общения</t>
        </is>
      </c>
      <c r="Z383" t="inlineStr">
        <is>
          <t>Применение / жанр</t>
        </is>
      </c>
    </row>
    <row r="384" ht="17" customHeight="1" s="72">
      <c r="A384" t="inlineStr">
        <is>
          <t>PL-HIST-0383</t>
        </is>
      </c>
      <c r="B384" t="inlineStr">
        <is>
          <t>сегодня</t>
        </is>
      </c>
      <c r="C384" t="inlineStr">
        <is>
          <t>примерно</t>
        </is>
      </c>
      <c r="D384" t="inlineStr">
        <is>
          <t>глобально</t>
        </is>
      </c>
      <c r="E384" t="inlineStr">
        <is>
          <t>портрет / свадьба / репортаж</t>
        </is>
      </c>
      <c r="F384" t="inlineStr">
        <is>
          <t>фотограф</t>
        </is>
      </c>
      <c r="G384" t="inlineStr">
        <is>
          <t>Портретные объективы часто работают не только в студии: 85 мм может быть полезен в свадьбе, моде, уличном портрете, видеоинтервью и деталях.</t>
        </is>
      </c>
      <c r="H384" t="inlineStr">
        <is>
          <t>Оптические инструменты</t>
        </is>
      </c>
      <c r="I384" t="inlineStr">
        <is>
          <t>Portrait lens use cases</t>
        </is>
      </c>
      <c r="J384" t="inlineStr">
        <is>
          <t>Портретный язык выходит за пределы «фото на документы»: он помогает выделять человека в реальной среде.</t>
        </is>
      </c>
      <c r="K384" t="inlineStr">
        <is>
          <t>Портретник и контакт</t>
        </is>
      </c>
      <c r="L384" t="inlineStr">
        <is>
          <t>Мост к телеобъективу</t>
        </is>
      </c>
      <c r="M384" t="inlineStr">
        <is>
          <t>Главная линия / жанровое применение</t>
        </is>
      </c>
      <c r="N384" t="n">
        <v>5</v>
      </c>
      <c r="O384" t="inlineStr">
        <is>
          <t>PL-036</t>
        </is>
      </c>
      <c r="P384" t="inlineStr">
        <is>
          <t>SRC-278</t>
        </is>
      </c>
      <c r="Q384" t="inlineStr">
        <is>
          <t>Nikon USA — NIKKOR Z 85mm f/1.8 S Overview</t>
        </is>
      </c>
      <c r="R384" t="inlineStr">
        <is>
          <t>https://www.nikonusa.com/p/nikkor-z-85mm-f18-s/20090/overview</t>
        </is>
      </c>
      <c r="S384" t="n">
        <v>5</v>
      </c>
      <c r="T384" t="inlineStr">
        <is>
          <t>Показать универсальность 85 мм без превращения его в универсальный объектив для всего.</t>
        </is>
      </c>
      <c r="U384" t="inlineStr">
        <is>
          <t>Контакт-лист: headshot, wedding detail, street portrait, interview frame.</t>
        </is>
      </c>
      <c r="V384" t="inlineStr">
        <is>
          <t>#PL036 #wedding #fashion #interview #streetportrait</t>
        </is>
      </c>
      <c r="Y384" t="inlineStr">
        <is>
          <t>Портретный объектив / применение</t>
        </is>
      </c>
      <c r="Z384" t="inlineStr">
        <is>
          <t>Применение / жанр</t>
        </is>
      </c>
    </row>
    <row r="385" ht="17" customHeight="1" s="72">
      <c r="A385" t="inlineStr">
        <is>
          <t>PL-HIST-0384</t>
        </is>
      </c>
      <c r="B385" t="inlineStr">
        <is>
          <t>сегодня</t>
        </is>
      </c>
      <c r="C385" t="inlineStr">
        <is>
          <t>примерно</t>
        </is>
      </c>
      <c r="D385" t="inlineStr">
        <is>
          <t>глобально</t>
        </is>
      </c>
      <c r="E385" t="inlineStr">
        <is>
          <t>PHOTO LAB / модуль объективов</t>
        </is>
      </c>
      <c r="F385" t="inlineStr">
        <is>
          <t>PHOTO LAB by VF</t>
        </is>
      </c>
      <c r="G385" t="inlineStr">
        <is>
          <t>Итог PL-036: портретный объектив — это способ уважительно работать с человеком: выбрать дистанцию, пропорции, фон, резкость и настроение.</t>
        </is>
      </c>
      <c r="H385" t="inlineStr">
        <is>
          <t>Оптические инструменты</t>
        </is>
      </c>
      <c r="I385" t="inlineStr">
        <is>
          <t>Portrait lens as human distance</t>
        </is>
      </c>
      <c r="J385" t="inlineStr">
        <is>
          <t>Портретник превращает технический выбор в человеческий: как близко быть, что оставить вокруг, где поставить внимание.</t>
        </is>
      </c>
      <c r="K385" t="inlineStr">
        <is>
          <t>Жанровые портреты</t>
        </is>
      </c>
      <c r="L385" t="inlineStr">
        <is>
          <t>PL-037 — телеобъектив</t>
        </is>
      </c>
      <c r="M385" t="inlineStr">
        <is>
          <t>Связь / переход</t>
        </is>
      </c>
      <c r="N385" t="n">
        <v>5</v>
      </c>
      <c r="O385" t="inlineStr">
        <is>
          <t>PL-036</t>
        </is>
      </c>
      <c r="P385" t="inlineStr">
        <is>
          <t>SRC-276</t>
        </is>
      </c>
      <c r="Q385" t="inlineStr">
        <is>
          <t>Nikon — Portrait Photography Quickstart</t>
        </is>
      </c>
      <c r="R385" t="inlineStr">
        <is>
          <t>https://www.nikon.nl/nl_NL/learn-and-explore/magazine/nikon-quickstart/improve-your-portrait-photography-with-your-nikon-quickstart-cheat-sheet</t>
        </is>
      </c>
      <c r="S385" t="n">
        <v>5</v>
      </c>
      <c r="T385" t="inlineStr">
        <is>
          <t>Главная мысль: портретник нужен не только для красивого размытия, а для спокойного отношения к лицу.</t>
        </is>
      </c>
      <c r="U385" t="inlineStr">
        <is>
          <t>Портретник лежит рядом с маленьким отпечатком; на карточке слова «дистанция / лицо / фон».</t>
        </is>
      </c>
      <c r="V385" t="inlineStr">
        <is>
          <t>#PL036 #bridge #telephoto #humanphotography</t>
        </is>
      </c>
      <c r="Y385" t="inlineStr">
        <is>
          <t>Портретный объектив / итог и мост</t>
        </is>
      </c>
      <c r="Z385" t="inlineStr">
        <is>
          <t>Связь / переход</t>
        </is>
      </c>
    </row>
    <row r="386" ht="17" customHeight="1" s="72">
      <c r="A386" t="inlineStr">
        <is>
          <t>PL-HIST-0385</t>
        </is>
      </c>
      <c r="B386" t="inlineStr">
        <is>
          <t>сегодня</t>
        </is>
      </c>
      <c r="C386" t="inlineStr">
        <is>
          <t>примерно</t>
        </is>
      </c>
      <c r="D386" t="inlineStr">
        <is>
          <t>глобально</t>
        </is>
      </c>
      <c r="E386" t="inlineStr">
        <is>
          <t>спорт / природа / портрет</t>
        </is>
      </c>
      <c r="F386" t="inlineStr">
        <is>
          <t>фотографы</t>
        </is>
      </c>
      <c r="G386" t="inlineStr">
        <is>
          <t>Телеобъектив — это объектив с длинным фокусным расстоянием и узким углом зрения: он показывает меньше пространства, но крупнее выделяет удалённые детали.</t>
        </is>
      </c>
      <c r="H386" t="inlineStr">
        <is>
          <t>Оптические инструменты</t>
        </is>
      </c>
      <c r="I386" t="inlineStr">
        <is>
          <t>Telephoto lens / long focal length</t>
        </is>
      </c>
      <c r="J386" t="inlineStr">
        <is>
          <t>Фотограф получает инструмент дистанции: можно снимать далеко, изолировать объект и строить кадр через сжатое пространство.</t>
        </is>
      </c>
      <c r="K386" t="inlineStr">
        <is>
          <t>PL-036 — портретный объектив</t>
        </is>
      </c>
      <c r="L386" t="inlineStr">
        <is>
          <t>Узкий угол зрения</t>
        </is>
      </c>
      <c r="M386" t="inlineStr">
        <is>
          <t>Главная линия / телеязык</t>
        </is>
      </c>
      <c r="N386" t="n">
        <v>5</v>
      </c>
      <c r="O386" t="inlineStr">
        <is>
          <t>PL-037</t>
        </is>
      </c>
      <c r="P386" t="inlineStr">
        <is>
          <t>SRC-280</t>
        </is>
      </c>
      <c r="Q386" t="inlineStr">
        <is>
          <t>Cambridge in Colour — Using Telephoto Lenses</t>
        </is>
      </c>
      <c r="R386" t="inlineStr">
        <is>
          <t>https://www.cambridgeincolour.com/tutorials/telephoto-lenses.htm</t>
        </is>
      </c>
      <c r="S386" t="n">
        <v>5</v>
      </c>
      <c r="T386" t="inlineStr">
        <is>
          <t>Флагман PL-037: телеобъектив — это не только «приблизить», а выбрать узкий фрагмент мира.</t>
        </is>
      </c>
      <c r="U386" t="inlineStr">
        <is>
          <t>Узкий конус угла зрения от камеры до далёкого объекта; фон крупно сжат за объектом.</t>
        </is>
      </c>
      <c r="V386" t="inlineStr">
        <is>
          <t>#PL037 #telephoto #longlens #angleofview</t>
        </is>
      </c>
      <c r="Y386" t="inlineStr">
        <is>
          <t>Телеобъектив / базовое определение</t>
        </is>
      </c>
      <c r="Z386" t="inlineStr">
        <is>
          <t>Ключевой исторический узел</t>
        </is>
      </c>
      <c r="AA386" t="inlineStr">
        <is>
          <t>да</t>
        </is>
      </c>
    </row>
    <row r="387" ht="17" customHeight="1" s="72">
      <c r="A387" t="inlineStr">
        <is>
          <t>PL-HIST-0386</t>
        </is>
      </c>
      <c r="B387" t="inlineStr">
        <is>
          <t>сегодня</t>
        </is>
      </c>
      <c r="C387" t="inlineStr">
        <is>
          <t>примерно</t>
        </is>
      </c>
      <c r="D387" t="inlineStr">
        <is>
          <t>глобально</t>
        </is>
      </c>
      <c r="E387" t="inlineStr">
        <is>
          <t>35 мм / full-frame</t>
        </is>
      </c>
      <c r="F387" t="inlineStr">
        <is>
          <t>фотограф</t>
        </is>
      </c>
      <c r="G387" t="inlineStr">
        <is>
          <t>В современной классификации телеязык начинается после нормального диапазона: 70–200 мм часто работает как универсальный теле-зум, а 300+ мм — для спорта и дикой природы.</t>
        </is>
      </c>
      <c r="H387" t="inlineStr">
        <is>
          <t>Оптические инструменты</t>
        </is>
      </c>
      <c r="I387" t="inlineStr">
        <is>
          <t>Telephoto focal-length ranges</t>
        </is>
      </c>
      <c r="J387" t="inlineStr">
        <is>
          <t>Фокусное расстояние становится выбором дистанции и масштаба: от портретного теле до дальнего наблюдения.</t>
        </is>
      </c>
      <c r="K387" t="inlineStr">
        <is>
          <t>Телеобъектив</t>
        </is>
      </c>
      <c r="L387" t="inlineStr">
        <is>
          <t>Рабочая дистанция</t>
        </is>
      </c>
      <c r="M387" t="inlineStr">
        <is>
          <t>Главная линия / диапазоны</t>
        </is>
      </c>
      <c r="N387" t="n">
        <v>5</v>
      </c>
      <c r="O387" t="inlineStr">
        <is>
          <t>PL-037</t>
        </is>
      </c>
      <c r="P387" t="inlineStr">
        <is>
          <t>SRC-269</t>
        </is>
      </c>
      <c r="Q387" t="inlineStr">
        <is>
          <t>Nikon — What is focal length?</t>
        </is>
      </c>
      <c r="R387" t="inlineStr">
        <is>
          <t>https://www.nikon.nl/nl_NL/learn-and-explore/magazine/tips-and-tricks/what-is-focal-length-in-photography-a-guide-for-beginners</t>
        </is>
      </c>
      <c r="S387" t="n">
        <v>5</v>
      </c>
      <c r="T387" t="inlineStr">
        <is>
          <t>Не фиксировать слишком жёстко, потому что категории зависят от формата и производителя.</t>
        </is>
      </c>
      <c r="U387" t="inlineStr">
        <is>
          <t>Шкала 70–200–300–600 мм с пиктограммами: портрет, спорт, птица.</t>
        </is>
      </c>
      <c r="V387" t="inlineStr">
        <is>
          <t>#PL037 #70200 #300mm #wildlife #sports</t>
        </is>
      </c>
      <c r="Y387" t="inlineStr">
        <is>
          <t>Телеобъектив / диапазоны</t>
        </is>
      </c>
      <c r="Z387" t="inlineStr">
        <is>
          <t>Инструмент / устройство</t>
        </is>
      </c>
    </row>
    <row r="388" ht="17" customHeight="1" s="72">
      <c r="A388" t="inlineStr">
        <is>
          <t>PL-HIST-0387</t>
        </is>
      </c>
      <c r="B388" t="inlineStr">
        <is>
          <t>сегодня</t>
        </is>
      </c>
      <c r="C388" t="inlineStr">
        <is>
          <t>примерно</t>
        </is>
      </c>
      <c r="D388" t="inlineStr">
        <is>
          <t>глобально</t>
        </is>
      </c>
      <c r="E388" t="inlineStr">
        <is>
          <t>спорт / сцена / дикая природа</t>
        </is>
      </c>
      <c r="F388" t="inlineStr">
        <is>
          <t>фотограф</t>
        </is>
      </c>
      <c r="G388" t="inlineStr">
        <is>
          <t>Главная практическая сила телеобъектива — рабочая дистанция: можно снимать объект, к которому нельзя или не нужно подходить близко.</t>
        </is>
      </c>
      <c r="H388" t="inlineStr">
        <is>
          <t>Оптические инструменты</t>
        </is>
      </c>
      <c r="I388" t="inlineStr">
        <is>
          <t>Telephoto working distance</t>
        </is>
      </c>
      <c r="J388" t="inlineStr">
        <is>
          <t>Фотограф сохраняет дистанцию: животное, спортсмен, сцена или человек остаются в естественном поведении.</t>
        </is>
      </c>
      <c r="K388" t="inlineStr">
        <is>
          <t>Узкий угол зрения</t>
        </is>
      </c>
      <c r="L388" t="inlineStr">
        <is>
          <t>Изоляция объекта</t>
        </is>
      </c>
      <c r="M388" t="inlineStr">
        <is>
          <t>Главная линия / дистанция</t>
        </is>
      </c>
      <c r="N388" t="n">
        <v>5</v>
      </c>
      <c r="O388" t="inlineStr">
        <is>
          <t>PL-037</t>
        </is>
      </c>
      <c r="P388" t="inlineStr">
        <is>
          <t>SRC-280</t>
        </is>
      </c>
      <c r="Q388" t="inlineStr">
        <is>
          <t>Cambridge in Colour — Using Telephoto Lenses</t>
        </is>
      </c>
      <c r="R388" t="inlineStr">
        <is>
          <t>https://www.cambridgeincolour.com/tutorials/telephoto-lenses.htm</t>
        </is>
      </c>
      <c r="S388" t="n">
        <v>5</v>
      </c>
      <c r="T388" t="inlineStr">
        <is>
          <t>Сделать акцент: телеобъектив часто уважает дистанцию и не вмешивается в сцену.</t>
        </is>
      </c>
      <c r="U388" t="inlineStr">
        <is>
          <t>Фотограф на краю поля/сцены снимает удалённый объект, линия показывает дистанцию.</t>
        </is>
      </c>
      <c r="V388" t="inlineStr">
        <is>
          <t>#PL037 #distance #sports #wildlife #stage</t>
        </is>
      </c>
      <c r="Y388" t="inlineStr">
        <is>
          <t>Телеобъектив / рабочая дистанция</t>
        </is>
      </c>
      <c r="Z388" t="inlineStr">
        <is>
          <t>Применение / жанр</t>
        </is>
      </c>
    </row>
    <row r="389" ht="17" customHeight="1" s="72">
      <c r="A389" t="inlineStr">
        <is>
          <t>PL-HIST-0388</t>
        </is>
      </c>
      <c r="B389" t="inlineStr">
        <is>
          <t>сегодня</t>
        </is>
      </c>
      <c r="C389" t="inlineStr">
        <is>
          <t>примерно</t>
        </is>
      </c>
      <c r="D389" t="inlineStr">
        <is>
          <t>глобально</t>
        </is>
      </c>
      <c r="E389" t="inlineStr">
        <is>
          <t>портрет / улица / природа</t>
        </is>
      </c>
      <c r="F389" t="inlineStr">
        <is>
          <t>фотограф</t>
        </is>
      </c>
      <c r="G389" t="inlineStr">
        <is>
          <t>Узкий угол зрения помогает убрать лишнее: телеобъектив изолирует объект от хаотичного окружения и делает фон менее навязчивым.</t>
        </is>
      </c>
      <c r="H389" t="inlineStr">
        <is>
          <t>Оптические инструменты</t>
        </is>
      </c>
      <c r="I389" t="inlineStr">
        <is>
          <t>Subject isolation</t>
        </is>
      </c>
      <c r="J389" t="inlineStr">
        <is>
          <t>Телеобъектив превращается в инструмент отбора: фотограф буквально вырезает из мира небольшой важный фрагмент.</t>
        </is>
      </c>
      <c r="K389" t="inlineStr">
        <is>
          <t>Рабочая дистанция</t>
        </is>
      </c>
      <c r="L389" t="inlineStr">
        <is>
          <t>Сжатие пространства</t>
        </is>
      </c>
      <c r="M389" t="inlineStr">
        <is>
          <t>Главная линия / изоляция объекта</t>
        </is>
      </c>
      <c r="N389" t="n">
        <v>5</v>
      </c>
      <c r="O389" t="inlineStr">
        <is>
          <t>PL-037</t>
        </is>
      </c>
      <c r="P389" t="inlineStr">
        <is>
          <t>SRC-280</t>
        </is>
      </c>
      <c r="Q389" t="inlineStr">
        <is>
          <t>Cambridge in Colour — Using Telephoto Lenses</t>
        </is>
      </c>
      <c r="R389" t="inlineStr">
        <is>
          <t>https://www.cambridgeincolour.com/tutorials/telephoto-lenses.htm</t>
        </is>
      </c>
      <c r="S389" t="n">
        <v>5</v>
      </c>
      <c r="T389" t="inlineStr">
        <is>
          <t>Связать с композицией: телеобъектив упрощает фон, но требует точного выбора.</t>
        </is>
      </c>
      <c r="U389" t="inlineStr">
        <is>
          <t>Один цветок/человек на фоне города, фон сильно размытый и упрощённый.</t>
        </is>
      </c>
      <c r="V389" t="inlineStr">
        <is>
          <t>#PL037 #isolation #background #composition</t>
        </is>
      </c>
      <c r="Y389" t="inlineStr">
        <is>
          <t>Телеобъектив / изоляция объекта</t>
        </is>
      </c>
      <c r="Z389" t="inlineStr">
        <is>
          <t>Применение / жанр</t>
        </is>
      </c>
    </row>
    <row r="390" ht="17" customHeight="1" s="72">
      <c r="A390" t="inlineStr">
        <is>
          <t>PL-HIST-0389</t>
        </is>
      </c>
      <c r="B390" t="inlineStr">
        <is>
          <t>сегодня</t>
        </is>
      </c>
      <c r="C390" t="inlineStr">
        <is>
          <t>примерно</t>
        </is>
      </c>
      <c r="D390" t="inlineStr">
        <is>
          <t>глобально</t>
        </is>
      </c>
      <c r="E390" t="inlineStr">
        <is>
          <t>пейзаж / город / портрет</t>
        </is>
      </c>
      <c r="F390" t="inlineStr">
        <is>
          <t>фотограф</t>
        </is>
      </c>
      <c r="G390" t="inlineStr">
        <is>
          <t>Так называемое «сжатие пространства» связано прежде всего с большей дистанцией съёмки: когда фотограф отходит назад и берёт длинный фокус, фон кажется ближе к объекту.</t>
        </is>
      </c>
      <c r="H390" t="inlineStr">
        <is>
          <t>Оптические инструменты</t>
        </is>
      </c>
      <c r="I390" t="inlineStr">
        <is>
          <t>Telephoto compression / distance</t>
        </is>
      </c>
      <c r="J390" t="inlineStr">
        <is>
          <t>Новичок понимает, что телеобъектив меняет кадр вместе с позицией камеры: перспектива рождается из дистанции.</t>
        </is>
      </c>
      <c r="K390" t="inlineStr">
        <is>
          <t>Изоляция объекта</t>
        </is>
      </c>
      <c r="L390" t="inlineStr">
        <is>
          <t>Слойность дальних планов</t>
        </is>
      </c>
      <c r="M390" t="inlineStr">
        <is>
          <t>Главная линия / перспектива и дистанция</t>
        </is>
      </c>
      <c r="N390" t="n">
        <v>5</v>
      </c>
      <c r="O390" t="inlineStr">
        <is>
          <t>PL-037</t>
        </is>
      </c>
      <c r="P390" t="inlineStr">
        <is>
          <t>SRC-270</t>
        </is>
      </c>
      <c r="Q390" t="inlineStr">
        <is>
          <t>Nikon Support — Choosing the right lenses: Perspective</t>
        </is>
      </c>
      <c r="R390" t="inlineStr">
        <is>
          <t>https://www.nikonimgsupport.com/na/NSG_article?articleNo=000047395&amp;configured=1&amp;lang=en_SG</t>
        </is>
      </c>
      <c r="S390" t="n">
        <v>5</v>
      </c>
      <c r="T390" t="inlineStr">
        <is>
          <t>Повторить честный принцип: перспектива контролируется позицией, а не стеклом само по себе.</t>
        </is>
      </c>
      <c r="U390" t="inlineStr">
        <is>
          <t>Схема: камера далеко, объект и горы визуально сближаются; стрелка «дистанция».</t>
        </is>
      </c>
      <c r="V390" t="inlineStr">
        <is>
          <t>#PL037 #compression #perspective #distance</t>
        </is>
      </c>
      <c r="Y390" t="inlineStr">
        <is>
          <t>Телеобъектив / компрессия пространства</t>
        </is>
      </c>
      <c r="Z390" t="inlineStr">
        <is>
          <t>Технология / процесс</t>
        </is>
      </c>
    </row>
    <row r="391" ht="17" customHeight="1" s="72">
      <c r="A391" t="inlineStr">
        <is>
          <t>PL-HIST-0390</t>
        </is>
      </c>
      <c r="B391" t="inlineStr">
        <is>
          <t>сегодня</t>
        </is>
      </c>
      <c r="C391" t="inlineStr">
        <is>
          <t>примерно</t>
        </is>
      </c>
      <c r="D391" t="inlineStr">
        <is>
          <t>глобально</t>
        </is>
      </c>
      <c r="E391" t="inlineStr">
        <is>
          <t>пейзаж / архитектура / город</t>
        </is>
      </c>
      <c r="F391" t="inlineStr">
        <is>
          <t>фотограф</t>
        </is>
      </c>
      <c r="G391" t="inlineStr">
        <is>
          <t>Телеобъектив может строить пейзаж не через широту, а через слои: горы, крыши, силуэты и линии накладываются друг на друга.</t>
        </is>
      </c>
      <c r="H391" t="inlineStr">
        <is>
          <t>Оптические инструменты</t>
        </is>
      </c>
      <c r="I391" t="inlineStr">
        <is>
          <t>Telephoto landscape layers</t>
        </is>
      </c>
      <c r="J391" t="inlineStr">
        <is>
          <t>Фотограф учится видеть не только общий вид, но и фрагмент: телелинза превращает дальние планы в графику.</t>
        </is>
      </c>
      <c r="K391" t="inlineStr">
        <is>
          <t>Сжатие пространства</t>
        </is>
      </c>
      <c r="L391" t="inlineStr">
        <is>
          <t>Шевелёнка и выдержка</t>
        </is>
      </c>
      <c r="M391" t="inlineStr">
        <is>
          <t>Главная линия / слойность</t>
        </is>
      </c>
      <c r="N391" t="n">
        <v>5</v>
      </c>
      <c r="O391" t="inlineStr">
        <is>
          <t>PL-037</t>
        </is>
      </c>
      <c r="P391" t="inlineStr">
        <is>
          <t>SRC-280</t>
        </is>
      </c>
      <c r="Q391" t="inlineStr">
        <is>
          <t>Cambridge in Colour — Using Telephoto Lenses</t>
        </is>
      </c>
      <c r="R391" t="inlineStr">
        <is>
          <t>https://www.cambridgeincolour.com/tutorials/telephoto-lenses.htm</t>
        </is>
      </c>
      <c r="S391" t="n">
        <v>5</v>
      </c>
      <c r="T391" t="inlineStr">
        <is>
          <t>Хороший мост к fine art: телеобъектив даёт минимализм, графику, ритм.</t>
        </is>
      </c>
      <c r="U391" t="inlineStr">
        <is>
          <t>Горные гряды или городские крыши слоями, без широкого неба.</t>
        </is>
      </c>
      <c r="V391" t="inlineStr">
        <is>
          <t>#PL037 #landscape #layers #fineart #minimalism</t>
        </is>
      </c>
      <c r="Y391" t="inlineStr">
        <is>
          <t>Телеобъектив / слои и графика</t>
        </is>
      </c>
      <c r="Z391" t="inlineStr">
        <is>
          <t>Применение / жанр</t>
        </is>
      </c>
    </row>
    <row r="392" ht="17" customHeight="1" s="72">
      <c r="A392" t="inlineStr">
        <is>
          <t>PL-HIST-0391</t>
        </is>
      </c>
      <c r="B392" t="inlineStr">
        <is>
          <t>сегодня</t>
        </is>
      </c>
      <c r="C392" t="inlineStr">
        <is>
          <t>примерно</t>
        </is>
      </c>
      <c r="D392" t="inlineStr">
        <is>
          <t>глобально</t>
        </is>
      </c>
      <c r="E392" t="inlineStr">
        <is>
          <t>с рук / длинный фокус</t>
        </is>
      </c>
      <c r="F392" t="inlineStr">
        <is>
          <t>фотограф</t>
        </is>
      </c>
      <c r="G392" t="inlineStr">
        <is>
          <t>Чем длиннее фокусное расстояние, тем заметнее дрожание камеры. Для резкости нужны более короткая выдержка, штатив, стабилизация или хорошая техника удержания.</t>
        </is>
      </c>
      <c r="H392" t="inlineStr">
        <is>
          <t>Оптические инструменты</t>
        </is>
      </c>
      <c r="I392" t="inlineStr">
        <is>
          <t>Telephoto camera shake</t>
        </is>
      </c>
      <c r="J392" t="inlineStr">
        <is>
          <t>Телеобъектив связывает оптику с экспозицией: длинный фокус часто требует больше света или более высокой чувствительности.</t>
        </is>
      </c>
      <c r="K392" t="inlineStr">
        <is>
          <t>Слойность дальних планов</t>
        </is>
      </c>
      <c r="L392" t="inlineStr">
        <is>
          <t>Глубина резкости</t>
        </is>
      </c>
      <c r="M392" t="inlineStr">
        <is>
          <t>Главная линия / техническое ограничение</t>
        </is>
      </c>
      <c r="N392" t="n">
        <v>5</v>
      </c>
      <c r="O392" t="inlineStr">
        <is>
          <t>PL-037</t>
        </is>
      </c>
      <c r="P392" t="inlineStr">
        <is>
          <t>SRC-280</t>
        </is>
      </c>
      <c r="Q392" t="inlineStr">
        <is>
          <t>Cambridge in Colour — Using Telephoto Lenses</t>
        </is>
      </c>
      <c r="R392" t="inlineStr">
        <is>
          <t>https://www.cambridgeincolour.com/tutorials/telephoto-lenses.htm</t>
        </is>
      </c>
      <c r="S392" t="n">
        <v>5</v>
      </c>
      <c r="T392" t="inlineStr">
        <is>
          <t>Мост к модулю экспозиции: длинный фокус сразу учит думать о выдержке.</t>
        </is>
      </c>
      <c r="U392" t="inlineStr">
        <is>
          <t>Руки держат телеобъектив; рядом пиктограмма 1/250, штатив и стабилизатор.</t>
        </is>
      </c>
      <c r="V392" t="inlineStr">
        <is>
          <t>#PL037 #camerashake #shutterspeed #stabilization</t>
        </is>
      </c>
      <c r="Y392" t="inlineStr">
        <is>
          <t>Телеобъектив / выдержка и шевелёнка</t>
        </is>
      </c>
      <c r="Z392" t="inlineStr">
        <is>
          <t>Технология / процесс</t>
        </is>
      </c>
    </row>
    <row r="393" ht="17" customHeight="1" s="72">
      <c r="A393" t="inlineStr">
        <is>
          <t>PL-HIST-0392</t>
        </is>
      </c>
      <c r="B393" t="inlineStr">
        <is>
          <t>сегодня</t>
        </is>
      </c>
      <c r="C393" t="inlineStr">
        <is>
          <t>примерно</t>
        </is>
      </c>
      <c r="D393" t="inlineStr">
        <is>
          <t>глобально</t>
        </is>
      </c>
      <c r="E393" t="inlineStr">
        <is>
          <t>портрет / макро / спорт</t>
        </is>
      </c>
      <c r="F393" t="inlineStr">
        <is>
          <t>фотограф</t>
        </is>
      </c>
      <c r="G393" t="inlineStr">
        <is>
          <t>Длинное фокусное расстояние и близкая фокусировка могут дать малую глубину резкости: точность фокуса становится критичной.</t>
        </is>
      </c>
      <c r="H393" t="inlineStr">
        <is>
          <t>Оптические инструменты</t>
        </is>
      </c>
      <c r="I393" t="inlineStr">
        <is>
          <t>Telephoto depth of field</t>
        </is>
      </c>
      <c r="J393" t="inlineStr">
        <is>
          <t>Телеобъектив требует дисциплины: при красивом размытии легче потерять главный объект из резкости.</t>
        </is>
      </c>
      <c r="K393" t="inlineStr">
        <is>
          <t>Шевелёнка и выдержка</t>
        </is>
      </c>
      <c r="L393" t="inlineStr">
        <is>
          <t>Вес и габариты</t>
        </is>
      </c>
      <c r="M393" t="inlineStr">
        <is>
          <t>Главная линия / фокусировка</t>
        </is>
      </c>
      <c r="N393" t="n">
        <v>5</v>
      </c>
      <c r="O393" t="inlineStr">
        <is>
          <t>PL-037</t>
        </is>
      </c>
      <c r="P393" t="inlineStr">
        <is>
          <t>SRC-280</t>
        </is>
      </c>
      <c r="Q393" t="inlineStr">
        <is>
          <t>Cambridge in Colour — Using Telephoto Lenses</t>
        </is>
      </c>
      <c r="R393" t="inlineStr">
        <is>
          <t>https://www.cambridgeincolour.com/tutorials/telephoto-lenses.htm</t>
        </is>
      </c>
      <c r="S393" t="n">
        <v>5</v>
      </c>
      <c r="T393" t="inlineStr">
        <is>
          <t>Связать с будущим модулем фокуса: телеобъектив — хороший учитель точности.</t>
        </is>
      </c>
      <c r="U393" t="inlineStr">
        <is>
          <t>Птица/портрет с узкой зоной резкости; фокусная плоскость тонкой золотой линией.</t>
        </is>
      </c>
      <c r="V393" t="inlineStr">
        <is>
          <t>#PL037 #depthoffield #focus #longlens</t>
        </is>
      </c>
      <c r="Y393" t="inlineStr">
        <is>
          <t>Телеобъектив / ГРИП и фокус</t>
        </is>
      </c>
      <c r="Z393" t="inlineStr">
        <is>
          <t>Технология / процесс</t>
        </is>
      </c>
    </row>
    <row r="394" ht="17" customHeight="1" s="72">
      <c r="A394" t="inlineStr">
        <is>
          <t>PL-HIST-0393</t>
        </is>
      </c>
      <c r="B394" t="inlineStr">
        <is>
          <t>сегодня</t>
        </is>
      </c>
      <c r="C394" t="inlineStr">
        <is>
          <t>примерно</t>
        </is>
      </c>
      <c r="D394" t="inlineStr">
        <is>
          <t>глобально</t>
        </is>
      </c>
      <c r="E394" t="inlineStr">
        <is>
          <t>профессиональная техника</t>
        </is>
      </c>
      <c r="F394" t="inlineStr">
        <is>
          <t>фотограф / оператор</t>
        </is>
      </c>
      <c r="G394" t="inlineStr">
        <is>
          <t>Телеобъективы часто больше, тяжелее и дороже: длинный фокус, светосила и качество требуют крупной оптики.</t>
        </is>
      </c>
      <c r="H394" t="inlineStr">
        <is>
          <t>Оптические инструменты</t>
        </is>
      </c>
      <c r="I394" t="inlineStr">
        <is>
          <t>Telephoto size and lens speed</t>
        </is>
      </c>
      <c r="J394" t="inlineStr">
        <is>
          <t>Выбор телеобъектива — это компромисс между дистанцией, светосилой, весом, ценой и мобильностью.</t>
        </is>
      </c>
      <c r="K394" t="inlineStr">
        <is>
          <t>Глубина резкости</t>
        </is>
      </c>
      <c r="L394" t="inlineStr">
        <is>
          <t>Телеконвертеры и кроп</t>
        </is>
      </c>
      <c r="M394" t="inlineStr">
        <is>
          <t>Главная линия / практический компромисс</t>
        </is>
      </c>
      <c r="N394" t="n">
        <v>4</v>
      </c>
      <c r="O394" t="inlineStr">
        <is>
          <t>PL-037</t>
        </is>
      </c>
      <c r="P394" t="inlineStr">
        <is>
          <t>SRC-269</t>
        </is>
      </c>
      <c r="Q394" t="inlineStr">
        <is>
          <t>Nikon — What is focal length?</t>
        </is>
      </c>
      <c r="R394" t="inlineStr">
        <is>
          <t>https://www.nikon.nl/nl_NL/learn-and-explore/magazine/tips-and-tricks/what-is-focal-length-in-photography-a-guide-for-beginners</t>
        </is>
      </c>
      <c r="S394" t="n">
        <v>5</v>
      </c>
      <c r="T394" t="inlineStr">
        <is>
          <t>Не уходить в каталог техники, объяснить простую физику: чтобы собрать много света на длинном фокусе, нужно большое стекло.</t>
        </is>
      </c>
      <c r="U394" t="inlineStr">
        <is>
          <t>Большой белый телеобъектив рядом с маленьким 50 мм; подписи вес/светосила/дистанция.</t>
        </is>
      </c>
      <c r="V394" t="inlineStr">
        <is>
          <t>#PL037 #lenssize #speed #compromise</t>
        </is>
      </c>
      <c r="Y394" t="inlineStr">
        <is>
          <t>Телеобъектив / размер и светосила</t>
        </is>
      </c>
      <c r="Z394" t="inlineStr">
        <is>
          <t>Инструмент / устройство</t>
        </is>
      </c>
    </row>
    <row r="395" ht="17" customHeight="1" s="72">
      <c r="A395" t="inlineStr">
        <is>
          <t>PL-HIST-0394</t>
        </is>
      </c>
      <c r="B395" t="inlineStr">
        <is>
          <t>сегодня</t>
        </is>
      </c>
      <c r="C395" t="inlineStr">
        <is>
          <t>примерно</t>
        </is>
      </c>
      <c r="D395" t="inlineStr">
        <is>
          <t>глобально</t>
        </is>
      </c>
      <c r="E395" t="inlineStr">
        <is>
          <t>дикая природа / спорт</t>
        </is>
      </c>
      <c r="F395" t="inlineStr">
        <is>
          <t>фотограф</t>
        </is>
      </c>
      <c r="G395" t="inlineStr">
        <is>
          <t>Crop-фактор, кроп в кадре и телеконвертеры могут помочь получить более узкое поле зрения, но они не заменяют свет, оптическое качество и точную фокусировку.</t>
        </is>
      </c>
      <c r="H395" t="inlineStr">
        <is>
          <t>Оптические инструменты</t>
        </is>
      </c>
      <c r="I395" t="inlineStr">
        <is>
          <t>Telephoto reach / crop / teleconverter</t>
        </is>
      </c>
      <c r="J395" t="inlineStr">
        <is>
          <t>Новичок видит разницу между «увеличить объект» и сохранить качество изображения.</t>
        </is>
      </c>
      <c r="K395" t="inlineStr">
        <is>
          <t>Вес и габариты</t>
        </is>
      </c>
      <c r="L395" t="inlineStr">
        <is>
          <t>Телеобъектив как язык отбора</t>
        </is>
      </c>
      <c r="M395" t="inlineStr">
        <is>
          <t>Главная линия / дальность</t>
        </is>
      </c>
      <c r="N395" t="n">
        <v>4</v>
      </c>
      <c r="O395" t="inlineStr">
        <is>
          <t>PL-037</t>
        </is>
      </c>
      <c r="P395" t="inlineStr">
        <is>
          <t>SRC-269</t>
        </is>
      </c>
      <c r="Q395" t="inlineStr">
        <is>
          <t>Nikon — What is focal length?</t>
        </is>
      </c>
      <c r="R395" t="inlineStr">
        <is>
          <t>https://www.nikon.nl/nl_NL/learn-and-explore/magazine/tips-and-tricks/what-is-focal-length-in-photography-a-guide-for-beginners</t>
        </is>
      </c>
      <c r="S395" t="n">
        <v>5</v>
      </c>
      <c r="T395" t="inlineStr">
        <is>
          <t>Связать с цифровыми камерами и практикой новичка: не всё решается покупкой более длинного фокуса.</t>
        </is>
      </c>
      <c r="U395" t="inlineStr">
        <is>
          <t>Кадр птицы: полный кадр, кроп и телеконвертер показаны как разные способы узкого поля.</t>
        </is>
      </c>
      <c r="V395" t="inlineStr">
        <is>
          <t>#PL037 #reach #cropfactor #teleconverter</t>
        </is>
      </c>
      <c r="Y395" t="inlineStr">
        <is>
          <t>Телеобъектив / дальность</t>
        </is>
      </c>
      <c r="Z395" t="inlineStr">
        <is>
          <t>Технология / процесс</t>
        </is>
      </c>
    </row>
    <row r="396" ht="17" customHeight="1" s="72">
      <c r="A396" t="inlineStr">
        <is>
          <t>PL-HIST-0395</t>
        </is>
      </c>
      <c r="B396" t="inlineStr">
        <is>
          <t>сегодня</t>
        </is>
      </c>
      <c r="C396" t="inlineStr">
        <is>
          <t>примерно</t>
        </is>
      </c>
      <c r="D396" t="inlineStr">
        <is>
          <t>глобально</t>
        </is>
      </c>
      <c r="E396" t="inlineStr">
        <is>
          <t>PHOTO LAB / модуль объективов</t>
        </is>
      </c>
      <c r="F396" t="inlineStr">
        <is>
          <t>PHOTO LAB by VF</t>
        </is>
      </c>
      <c r="G396" t="inlineStr">
        <is>
          <t>Итог PL-037: телеобъектив — это язык дистанции, отбора и сжатого пространства. Он помогает убрать лишнее и увидеть деталь там, где широкому углу нужен весь мир.</t>
        </is>
      </c>
      <c r="H396" t="inlineStr">
        <is>
          <t>Оптические инструменты</t>
        </is>
      </c>
      <c r="I396" t="inlineStr">
        <is>
          <t>Telephoto as selective language</t>
        </is>
      </c>
      <c r="J396" t="inlineStr">
        <is>
          <t>Телеобъектив превращается в инструмент наблюдения: меньше сцены, больше концентрации.</t>
        </is>
      </c>
      <c r="K396" t="inlineStr">
        <is>
          <t>Телеобъектив как язык отбора</t>
        </is>
      </c>
      <c r="L396" t="inlineStr">
        <is>
          <t>PL-038 — светосила</t>
        </is>
      </c>
      <c r="M396" t="inlineStr">
        <is>
          <t>Связь / переход</t>
        </is>
      </c>
      <c r="N396" t="n">
        <v>5</v>
      </c>
      <c r="O396" t="inlineStr">
        <is>
          <t>PL-037</t>
        </is>
      </c>
      <c r="P396" t="inlineStr">
        <is>
          <t>SRC-280</t>
        </is>
      </c>
      <c r="Q396" t="inlineStr">
        <is>
          <t>Cambridge in Colour — Using Telephoto Lenses</t>
        </is>
      </c>
      <c r="R396" t="inlineStr">
        <is>
          <t>https://www.cambridgeincolour.com/tutorials/telephoto-lenses.htm</t>
        </is>
      </c>
      <c r="S396" t="n">
        <v>5</v>
      </c>
      <c r="T396" t="inlineStr">
        <is>
          <t>Мост к PL-038: чем длиннее фокус и больше светосила, тем физически сложнее объектив.</t>
        </is>
      </c>
      <c r="U396" t="inlineStr">
        <is>
          <t>Далёкий объект выделен в золотой рамке; вокруг много пространства, которое объектив отсекает.</t>
        </is>
      </c>
      <c r="V396" t="inlineStr">
        <is>
          <t>#PL037 #bridge #lensspeed #selection</t>
        </is>
      </c>
      <c r="Y396" t="inlineStr">
        <is>
          <t>Телеобъектив / итог и мост</t>
        </is>
      </c>
      <c r="Z396" t="inlineStr">
        <is>
          <t>Связь / переход</t>
        </is>
      </c>
    </row>
    <row r="397" ht="17" customHeight="1" s="72">
      <c r="A397" t="inlineStr">
        <is>
          <t>PL-HIST-0396</t>
        </is>
      </c>
      <c r="B397" t="inlineStr">
        <is>
          <t>сегодня</t>
        </is>
      </c>
      <c r="C397" t="inlineStr">
        <is>
          <t>примерно</t>
        </is>
      </c>
      <c r="D397" t="inlineStr">
        <is>
          <t>глобально</t>
        </is>
      </c>
      <c r="E397" t="inlineStr">
        <is>
          <t>объектив / диафрагма</t>
        </is>
      </c>
      <c r="F397" t="inlineStr">
        <is>
          <t>фотографы</t>
        </is>
      </c>
      <c r="G397" t="inlineStr">
        <is>
          <t>Светосила объектива — это его максимальная открытая диафрагма: чем меньше число f, тем больше света объектив может пропустить при полностью открытом отверстии.</t>
        </is>
      </c>
      <c r="H397" t="inlineStr">
        <is>
          <t>Оптические инструменты</t>
        </is>
      </c>
      <c r="I397" t="inlineStr">
        <is>
          <t>Maximum aperture / lens speed</t>
        </is>
      </c>
      <c r="J397" t="inlineStr">
        <is>
          <t>Фотограф понимает, почему f/1.4, f/1.8 и f/2.8 называют светосильными: они дают больше света и больше контроля над фоном.</t>
        </is>
      </c>
      <c r="K397" t="inlineStr">
        <is>
          <t>PL-037 — телеобъектив</t>
        </is>
      </c>
      <c r="L397" t="inlineStr">
        <is>
          <t>Число f и диаметр отверстия</t>
        </is>
      </c>
      <c r="M397" t="inlineStr">
        <is>
          <t>Главная линия / светосила</t>
        </is>
      </c>
      <c r="N397" t="n">
        <v>5</v>
      </c>
      <c r="O397" t="inlineStr">
        <is>
          <t>PL-038</t>
        </is>
      </c>
      <c r="P397" t="inlineStr">
        <is>
          <t>SRC-281</t>
        </is>
      </c>
      <c r="Q397" t="inlineStr">
        <is>
          <t>Nikon USA — Understanding Maximum Aperture</t>
        </is>
      </c>
      <c r="R397" t="inlineStr">
        <is>
          <t>https://www.nikonusa.com/learn-and-explore/c/tips-and-techniques/understanding-maximum-aperture</t>
        </is>
      </c>
      <c r="S397" t="n">
        <v>5</v>
      </c>
      <c r="T397" t="inlineStr">
        <is>
          <t>Флагман PL-038: светосила — это не качество фотографии, а физическая способность объектива пропускать свет.</t>
        </is>
      </c>
      <c r="U397" t="inlineStr">
        <is>
          <t>Один объектив раскрыт до f/1.4, рядом тот же до f/8; поток света шире/уже.</t>
        </is>
      </c>
      <c r="V397" t="inlineStr">
        <is>
          <t>#PL038 #lensspeed #maximumaperture #fstop</t>
        </is>
      </c>
      <c r="Y397" t="inlineStr">
        <is>
          <t>Светосила / базовое определение</t>
        </is>
      </c>
      <c r="Z397" t="inlineStr">
        <is>
          <t>Ключевой исторический узел</t>
        </is>
      </c>
      <c r="AA397" t="inlineStr">
        <is>
          <t>да</t>
        </is>
      </c>
    </row>
    <row r="398" ht="17" customHeight="1" s="72">
      <c r="A398" t="inlineStr">
        <is>
          <t>PL-HIST-0397</t>
        </is>
      </c>
      <c r="B398" t="inlineStr">
        <is>
          <t>сегодня</t>
        </is>
      </c>
      <c r="C398" t="inlineStr">
        <is>
          <t>примерно</t>
        </is>
      </c>
      <c r="D398" t="inlineStr">
        <is>
          <t>глобально</t>
        </is>
      </c>
      <c r="E398" t="inlineStr">
        <is>
          <t>оптика / формула f-number</t>
        </is>
      </c>
      <c r="F398" t="inlineStr">
        <is>
          <t>фотограф</t>
        </is>
      </c>
      <c r="G398" t="inlineStr">
        <is>
          <t>Стандартный ряд диафрагмы (1.4 → 2 → 2.8 → 4 → 5.6...) выглядит как случайные числа, но за ним геометрия: площадь отверстия пропорциональна квадрату его диаметра, а диаметр = фокусное расстояние ÷ N. Чтобы ровно вдвое уменьшить площадь (и количество света), число N нужно увеличить не вдвое, а в √2 раза — отсюда и шаг ×1.4 между соседними стопами.</t>
        </is>
      </c>
      <c r="H398" t="inlineStr">
        <is>
          <t>Оптические инструменты</t>
        </is>
      </c>
      <c r="I398" t="inlineStr">
        <is>
          <t>F-stop scale geometry (√2 progression)</t>
        </is>
      </c>
      <c r="J398" t="inlineStr">
        <is>
          <t>Ряд диафрагм перестаёт быть таблицей для запоминания: каждый шаг — это ровно вдвое меньше света, потому что площадь круга растёт по квадрату радиуса, а не линейно.</t>
        </is>
      </c>
      <c r="K398" t="inlineStr">
        <is>
          <t>Светосила</t>
        </is>
      </c>
      <c r="L398" t="inlineStr">
        <is>
          <t>Экспозиция и выдержка</t>
        </is>
      </c>
      <c r="M398" t="inlineStr">
        <is>
          <t>Главная линия / формула</t>
        </is>
      </c>
      <c r="N398" t="n">
        <v>5</v>
      </c>
      <c r="O398" t="inlineStr">
        <is>
          <t>PL-038</t>
        </is>
      </c>
      <c r="P398" t="inlineStr">
        <is>
          <t>SRC-293</t>
        </is>
      </c>
      <c r="Q398" t="inlineStr">
        <is>
          <t>Wikipedia — F-number</t>
        </is>
      </c>
      <c r="R398" t="inlineStr">
        <is>
          <t>https://en.wikipedia.org/wiki/F-number</t>
        </is>
      </c>
      <c r="S398" t="n">
        <v>4</v>
      </c>
      <c r="T398" t="inlineStr">
        <is>
          <t>Мы уже вводили формулу f-number в PL-031 (PL-HIST-0323); здесь — не повтор, а объяснение, почему сам ряд чисел устроен именно так (шаг ×1.4, а не ×2).</t>
        </is>
      </c>
      <c r="U398" t="inlineStr">
        <is>
          <t>Два круга разного диаметра: площадь большего ровно вдвое больше площади меньшего при соотношении диаметров √2.</t>
        </is>
      </c>
      <c r="V398" t="inlineStr">
        <is>
          <t>#PL038 #fnumber #stops #geometry #aperture</t>
        </is>
      </c>
      <c r="Y398" t="inlineStr">
        <is>
          <t>Светосила / геометрия ряда диафрагм</t>
        </is>
      </c>
      <c r="Z398" t="inlineStr">
        <is>
          <t>Терминология / язык</t>
        </is>
      </c>
    </row>
    <row r="399" ht="17" customHeight="1" s="72">
      <c r="A399" t="inlineStr">
        <is>
          <t>PL-HIST-0398</t>
        </is>
      </c>
      <c r="B399" t="inlineStr">
        <is>
          <t>сегодня</t>
        </is>
      </c>
      <c r="C399" t="inlineStr">
        <is>
          <t>примерно</t>
        </is>
      </c>
      <c r="D399" t="inlineStr">
        <is>
          <t>глобально</t>
        </is>
      </c>
      <c r="E399" t="inlineStr">
        <is>
          <t>слабый свет / помещение</t>
        </is>
      </c>
      <c r="F399" t="inlineStr">
        <is>
          <t>фотограф</t>
        </is>
      </c>
      <c r="G399" t="inlineStr">
        <is>
          <t>Светосильный объектив позволяет использовать более короткую выдержку при том же ISO и освещении, потому что через открытую диафрагму проходит больше света.</t>
        </is>
      </c>
      <c r="H399" t="inlineStr">
        <is>
          <t>Оптические инструменты</t>
        </is>
      </c>
      <c r="I399" t="inlineStr">
        <is>
          <t>Maximum aperture and shutter speed</t>
        </is>
      </c>
      <c r="J399" t="inlineStr">
        <is>
          <t>Светосила напрямую связывает объектив с экспозицией: в темноте она может помочь избежать смаза или слишком высокого ISO.</t>
        </is>
      </c>
      <c r="K399" t="inlineStr">
        <is>
          <t>Число f и диаметр отверстия</t>
        </is>
      </c>
      <c r="L399" t="inlineStr">
        <is>
          <t>Малая ГРИП</t>
        </is>
      </c>
      <c r="M399" t="inlineStr">
        <is>
          <t>Главная линия / экспозиционный выигрыш</t>
        </is>
      </c>
      <c r="N399" t="n">
        <v>5</v>
      </c>
      <c r="O399" t="inlineStr">
        <is>
          <t>PL-038</t>
        </is>
      </c>
      <c r="P399" t="inlineStr">
        <is>
          <t>SRC-281</t>
        </is>
      </c>
      <c r="Q399" t="inlineStr">
        <is>
          <t>Nikon USA — Understanding Maximum Aperture</t>
        </is>
      </c>
      <c r="R399" t="inlineStr">
        <is>
          <t>https://www.nikonusa.com/learn-and-explore/c/tips-and-techniques/understanding-maximum-aperture</t>
        </is>
      </c>
      <c r="S399" t="n">
        <v>5</v>
      </c>
      <c r="T399" t="inlineStr">
        <is>
          <t>Не обещать чудо: светосила помогает, но фокус и ГРИП становятся сложнее.</t>
        </is>
      </c>
      <c r="U399" t="inlineStr">
        <is>
          <t>Ночной интерьер: f/1.8 даёт 1/125, f/4 требует 1/25; показано на шкале.</t>
        </is>
      </c>
      <c r="V399" t="inlineStr">
        <is>
          <t>#PL038 #lowlight #shutterspeed #ISO</t>
        </is>
      </c>
      <c r="Y399" t="inlineStr">
        <is>
          <t>Светосила / выдержка и слабый свет</t>
        </is>
      </c>
      <c r="Z399" t="inlineStr">
        <is>
          <t>Технология / процесс</t>
        </is>
      </c>
    </row>
    <row r="400" ht="17" customHeight="1" s="72">
      <c r="A400" t="inlineStr">
        <is>
          <t>PL-HIST-0399</t>
        </is>
      </c>
      <c r="B400" t="inlineStr">
        <is>
          <t>сегодня</t>
        </is>
      </c>
      <c r="C400" t="inlineStr">
        <is>
          <t>примерно</t>
        </is>
      </c>
      <c r="D400" t="inlineStr">
        <is>
          <t>глобально</t>
        </is>
      </c>
      <c r="E400" t="inlineStr">
        <is>
          <t>портрет / предметка</t>
        </is>
      </c>
      <c r="F400" t="inlineStr">
        <is>
          <t>фотограф</t>
        </is>
      </c>
      <c r="G400" t="inlineStr">
        <is>
          <t>Открытая диафрагма уменьшает глубину резкости: объект может отделиться от фона, но точность фокуса становится важнее.</t>
        </is>
      </c>
      <c r="H400" t="inlineStr">
        <is>
          <t>Оптические инструменты</t>
        </is>
      </c>
      <c r="I400" t="inlineStr">
        <is>
          <t>Lens speed and shallow depth of field</t>
        </is>
      </c>
      <c r="J400" t="inlineStr">
        <is>
          <t>Светосила даёт выразительность, но требует дисциплины: красивое размытие легко превращается в промах по фокусу.</t>
        </is>
      </c>
      <c r="K400" t="inlineStr">
        <is>
          <t>Экспозиция и выдержка</t>
        </is>
      </c>
      <c r="L400" t="inlineStr">
        <is>
          <t>Боке</t>
        </is>
      </c>
      <c r="M400" t="inlineStr">
        <is>
          <t>Главная линия / ГРИП</t>
        </is>
      </c>
      <c r="N400" t="n">
        <v>5</v>
      </c>
      <c r="O400" t="inlineStr">
        <is>
          <t>PL-038</t>
        </is>
      </c>
      <c r="P400" t="inlineStr">
        <is>
          <t>SRC-282</t>
        </is>
      </c>
      <c r="Q400" t="inlineStr">
        <is>
          <t>Nikon — What is aperture in photography?</t>
        </is>
      </c>
      <c r="R400" t="inlineStr">
        <is>
          <t>https://www.nikon.nl/nl_NL/learn-and-explore/magazine/tips-and-tricks/what-is-aperture</t>
        </is>
      </c>
      <c r="S400" t="n">
        <v>5</v>
      </c>
      <c r="T400" t="inlineStr">
        <is>
          <t>Связать с портретником и будущими уроками про фокус.</t>
        </is>
      </c>
      <c r="U400" t="inlineStr">
        <is>
          <t>Портрет при f/1.4: один глаз резкий, фон мягкий; рядом зона резкости тонкой линией.</t>
        </is>
      </c>
      <c r="V400" t="inlineStr">
        <is>
          <t>#PL038 #depthoffield #bokeh #focus</t>
        </is>
      </c>
      <c r="Y400" t="inlineStr">
        <is>
          <t>Светосила / малая глубина резкости</t>
        </is>
      </c>
      <c r="Z400" t="inlineStr">
        <is>
          <t>Технология / процесс</t>
        </is>
      </c>
    </row>
    <row r="401" ht="17" customHeight="1" s="72">
      <c r="A401" t="inlineStr">
        <is>
          <t>PL-HIST-0400</t>
        </is>
      </c>
      <c r="B401" t="inlineStr">
        <is>
          <t>сегодня</t>
        </is>
      </c>
      <c r="C401" t="inlineStr">
        <is>
          <t>примерно</t>
        </is>
      </c>
      <c r="D401" t="inlineStr">
        <is>
          <t>глобально</t>
        </is>
      </c>
      <c r="E401" t="inlineStr">
        <is>
          <t>портрет / огни / фон</t>
        </is>
      </c>
      <c r="F401" t="inlineStr">
        <is>
          <t>фотограф</t>
        </is>
      </c>
      <c r="G401" t="inlineStr">
        <is>
          <t>Боке — это не просто «много размытия», а характер нерезких зон: на него влияют диафрагма, фокусное расстояние, дистанции, фон и оптическая конструкция.</t>
        </is>
      </c>
      <c r="H401" t="inlineStr">
        <is>
          <t>Оптические инструменты</t>
        </is>
      </c>
      <c r="I401" t="inlineStr">
        <is>
          <t>Bokeh and lens rendering</t>
        </is>
      </c>
      <c r="J401" t="inlineStr">
        <is>
          <t>Фотограф начинает оценивать объектив не только по резкости, но и по тому, как он рисует нерезкость.</t>
        </is>
      </c>
      <c r="K401" t="inlineStr">
        <is>
          <t>Малая ГРИП</t>
        </is>
      </c>
      <c r="L401" t="inlineStr">
        <is>
          <t>Цена светосилы</t>
        </is>
      </c>
      <c r="M401" t="inlineStr">
        <is>
          <t>Главная линия / характер изображения</t>
        </is>
      </c>
      <c r="N401" t="n">
        <v>5</v>
      </c>
      <c r="O401" t="inlineStr">
        <is>
          <t>PL-038</t>
        </is>
      </c>
      <c r="P401" t="inlineStr">
        <is>
          <t>SRC-283</t>
        </is>
      </c>
      <c r="Q401" t="inlineStr">
        <is>
          <t>B&amp;H eXplora — Aperture in Photography Defined</t>
        </is>
      </c>
      <c r="R401" t="inlineStr">
        <is>
          <t>https://www.bhphotovideo.com/explora/photography/tips-and-solutions/understanding-aperture</t>
        </is>
      </c>
      <c r="S401" t="n">
        <v>5</v>
      </c>
      <c r="T401" t="inlineStr">
        <is>
          <t>Осторожно: боке не измеряется только f/1.4, это комплексный визуальный результат.</t>
        </is>
      </c>
      <c r="U401" t="inlineStr">
        <is>
          <t>Световые кружки на фоне, рядом форма диафрагмы; подписи foreground/subject/background.</t>
        </is>
      </c>
      <c r="V401" t="inlineStr">
        <is>
          <t>#PL038 #bokeh #rendering #blur</t>
        </is>
      </c>
      <c r="Y401" t="inlineStr">
        <is>
          <t>Светосила / боке</t>
        </is>
      </c>
      <c r="Z401" t="inlineStr">
        <is>
          <t>Применение / жанр</t>
        </is>
      </c>
    </row>
    <row r="402" ht="17" customHeight="1" s="72">
      <c r="A402" t="inlineStr">
        <is>
          <t>PL-HIST-0401</t>
        </is>
      </c>
      <c r="B402" t="inlineStr">
        <is>
          <t>сегодня</t>
        </is>
      </c>
      <c r="C402" t="inlineStr">
        <is>
          <t>примерно</t>
        </is>
      </c>
      <c r="D402" t="inlineStr">
        <is>
          <t>глобально</t>
        </is>
      </c>
      <c r="E402" t="inlineStr">
        <is>
          <t>объективы f/1.2–f/2.8</t>
        </is>
      </c>
      <c r="F402" t="inlineStr">
        <is>
          <t>производители / фотографы</t>
        </is>
      </c>
      <c r="G402" t="inlineStr">
        <is>
          <t>Высокая светосила обычно увеличивает размер, вес, цену и сложность объектива: нужно больше стекла и точнее исправлять оптические ошибки.</t>
        </is>
      </c>
      <c r="H402" t="inlineStr">
        <is>
          <t>Оптические инструменты</t>
        </is>
      </c>
      <c r="I402" t="inlineStr">
        <is>
          <t>Fast lens trade-offs</t>
        </is>
      </c>
      <c r="J402" t="inlineStr">
        <is>
          <t>Выбор светосильного объектива становится компромиссом между возможностями и удобством работы.</t>
        </is>
      </c>
      <c r="K402" t="inlineStr">
        <is>
          <t>Боке</t>
        </is>
      </c>
      <c r="L402" t="inlineStr">
        <is>
          <t>Оптические компромиссы на открытой</t>
        </is>
      </c>
      <c r="M402" t="inlineStr">
        <is>
          <t>Главная линия / физический компромисс</t>
        </is>
      </c>
      <c r="N402" t="n">
        <v>5</v>
      </c>
      <c r="O402" t="inlineStr">
        <is>
          <t>PL-038</t>
        </is>
      </c>
      <c r="P402" t="inlineStr">
        <is>
          <t>SRC-281</t>
        </is>
      </c>
      <c r="Q402" t="inlineStr">
        <is>
          <t>Nikon USA — Understanding Maximum Aperture</t>
        </is>
      </c>
      <c r="R402" t="inlineStr">
        <is>
          <t>https://www.nikonusa.com/learn-and-explore/c/tips-and-techniques/understanding-maximum-aperture</t>
        </is>
      </c>
      <c r="S402" t="n">
        <v>5</v>
      </c>
      <c r="T402" t="inlineStr">
        <is>
          <t>Полезный практический вывод: не всегда f/1.2 лучше f/1.8 для конкретной задачи.</t>
        </is>
      </c>
      <c r="U402" t="inlineStr">
        <is>
          <t>Большой f/1.2 объектив рядом с компактным f/1.8; подписи свет/вес/цена.</t>
        </is>
      </c>
      <c r="V402" t="inlineStr">
        <is>
          <t>#PL038 #fastlens #size #weight #price</t>
        </is>
      </c>
      <c r="Y402" t="inlineStr">
        <is>
          <t>Светосила / размер и цена</t>
        </is>
      </c>
      <c r="Z402" t="inlineStr">
        <is>
          <t>Инструмент / устройство</t>
        </is>
      </c>
    </row>
    <row r="403" ht="17" customHeight="1" s="72">
      <c r="A403" t="inlineStr">
        <is>
          <t>PL-HIST-0402</t>
        </is>
      </c>
      <c r="B403" t="inlineStr">
        <is>
          <t>сегодня</t>
        </is>
      </c>
      <c r="C403" t="inlineStr">
        <is>
          <t>примерно</t>
        </is>
      </c>
      <c r="D403" t="inlineStr">
        <is>
          <t>глобально</t>
        </is>
      </c>
      <c r="E403" t="inlineStr">
        <is>
          <t>объектив на открытой диафрагме</t>
        </is>
      </c>
      <c r="F403" t="inlineStr">
        <is>
          <t>фотограф</t>
        </is>
      </c>
      <c r="G403" t="inlineStr">
        <is>
          <t>На полностью открытой диафрагме объектив может показывать виньетирование, мягкость по краям, аберрации и другой характер изображения.</t>
        </is>
      </c>
      <c r="H403" t="inlineStr">
        <is>
          <t>Оптические инструменты</t>
        </is>
      </c>
      <c r="I403" t="inlineStr">
        <is>
          <t>Wide-open lens character</t>
        </is>
      </c>
      <c r="J403" t="inlineStr">
        <is>
          <t>Фотограф понимает: открытая диафрагма — это не всегда технически «лучше», но иногда выразительно сильнее.</t>
        </is>
      </c>
      <c r="K403" t="inlineStr">
        <is>
          <t>Цена светосилы</t>
        </is>
      </c>
      <c r="L403" t="inlineStr">
        <is>
          <t>Прикрытие диафрагмы</t>
        </is>
      </c>
      <c r="M403" t="inlineStr">
        <is>
          <t>Главная линия / оптический характер</t>
        </is>
      </c>
      <c r="N403" t="n">
        <v>5</v>
      </c>
      <c r="O403" t="inlineStr">
        <is>
          <t>PL-038</t>
        </is>
      </c>
      <c r="P403" t="inlineStr">
        <is>
          <t>SRC-283</t>
        </is>
      </c>
      <c r="Q403" t="inlineStr">
        <is>
          <t>B&amp;H eXplora — Aperture in Photography Defined</t>
        </is>
      </c>
      <c r="R403" t="inlineStr">
        <is>
          <t>https://www.bhphotovideo.com/explora/photography/tips-and-solutions/understanding-aperture</t>
        </is>
      </c>
      <c r="S403" t="n">
        <v>5</v>
      </c>
      <c r="T403" t="inlineStr">
        <is>
          <t>Связать с PL-040 «объективы рисуют по-разному», который ещё будет заполнен позже.</t>
        </is>
      </c>
      <c r="U403" t="inlineStr">
        <is>
          <t>Сравнение f/1.4 и f/4 по краям кадра: виньетка, контраст, резкость.</t>
        </is>
      </c>
      <c r="V403" t="inlineStr">
        <is>
          <t>#PL038 #wideopen #aberrations #vignetting</t>
        </is>
      </c>
      <c r="Y403" t="inlineStr">
        <is>
          <t>Светосила / работа на открытой</t>
        </is>
      </c>
      <c r="Z403" t="inlineStr">
        <is>
          <t>Технология / процесс</t>
        </is>
      </c>
    </row>
    <row r="404" ht="17" customHeight="1" s="72">
      <c r="A404" t="inlineStr">
        <is>
          <t>PL-HIST-0403</t>
        </is>
      </c>
      <c r="B404" t="inlineStr">
        <is>
          <t>сегодня</t>
        </is>
      </c>
      <c r="C404" t="inlineStr">
        <is>
          <t>примерно</t>
        </is>
      </c>
      <c r="D404" t="inlineStr">
        <is>
          <t>глобально</t>
        </is>
      </c>
      <c r="E404" t="inlineStr">
        <is>
          <t>пейзаж / студия / предметка</t>
        </is>
      </c>
      <c r="F404" t="inlineStr">
        <is>
          <t>фотограф</t>
        </is>
      </c>
      <c r="G404" t="inlineStr">
        <is>
          <t>Иногда объектив специально прикрывают: f/4, f/5.6 или f/8 могут дать больше резкости, глубины резкости и стабильности по полю кадра.</t>
        </is>
      </c>
      <c r="H404" t="inlineStr">
        <is>
          <t>Оптические инструменты</t>
        </is>
      </c>
      <c r="I404" t="inlineStr">
        <is>
          <t>Stopping down</t>
        </is>
      </c>
      <c r="J404" t="inlineStr">
        <is>
          <t>Светосила — это запас, а не обязанность всегда снимать на открытой диафрагме.</t>
        </is>
      </c>
      <c r="K404" t="inlineStr">
        <is>
          <t>Оптические компромиссы на открытой</t>
        </is>
      </c>
      <c r="L404" t="inlineStr">
        <is>
          <t>Постоянная и переменная светосила</t>
        </is>
      </c>
      <c r="M404" t="inlineStr">
        <is>
          <t>Главная линия / рабочая диафрагма</t>
        </is>
      </c>
      <c r="N404" t="n">
        <v>5</v>
      </c>
      <c r="O404" t="inlineStr">
        <is>
          <t>PL-038</t>
        </is>
      </c>
      <c r="P404" t="inlineStr">
        <is>
          <t>SRC-282</t>
        </is>
      </c>
      <c r="Q404" t="inlineStr">
        <is>
          <t>Nikon — What is aperture in photography?</t>
        </is>
      </c>
      <c r="R404" t="inlineStr">
        <is>
          <t>https://www.nikon.nl/nl_NL/learn-and-explore/magazine/tips-and-tricks/what-is-aperture</t>
        </is>
      </c>
      <c r="S404" t="n">
        <v>5</v>
      </c>
      <c r="T404" t="inlineStr">
        <is>
          <t>Практическое правило: максимальная диафрагма покупается как возможность, рабочая диафрагма выбирается по задаче.</t>
        </is>
      </c>
      <c r="U404" t="inlineStr">
        <is>
          <t>Кольцо диафрагмы: f/1.4 подсвечено как максимум, f/5.6 — как рабочий режим.</t>
        </is>
      </c>
      <c r="V404" t="inlineStr">
        <is>
          <t>#PL038 #stoppingdown #sharpness #workingaperture</t>
        </is>
      </c>
      <c r="Y404" t="inlineStr">
        <is>
          <t>Светосила / прикрытие диафрагмы</t>
        </is>
      </c>
      <c r="Z404" t="inlineStr">
        <is>
          <t>Технология / процесс</t>
        </is>
      </c>
    </row>
    <row r="405" ht="17" customHeight="1" s="72">
      <c r="A405" t="inlineStr">
        <is>
          <t>PL-HIST-0404</t>
        </is>
      </c>
      <c r="B405" t="inlineStr">
        <is>
          <t>сегодня</t>
        </is>
      </c>
      <c r="C405" t="inlineStr">
        <is>
          <t>примерно</t>
        </is>
      </c>
      <c r="D405" t="inlineStr">
        <is>
          <t>глобально</t>
        </is>
      </c>
      <c r="E405" t="inlineStr">
        <is>
          <t>zoom-объективы</t>
        </is>
      </c>
      <c r="F405" t="inlineStr">
        <is>
          <t>производители / фотографы</t>
        </is>
      </c>
      <c r="G405" t="inlineStr">
        <is>
          <t>У зумов светосила может быть постоянной или переменной: 24–70mm f/2.8 сохраняет максимум по диапазону, а 18–55mm f/3.5–5.6 темнеет к длинному концу.</t>
        </is>
      </c>
      <c r="H405" t="inlineStr">
        <is>
          <t>Оптические инструменты</t>
        </is>
      </c>
      <c r="I405" t="inlineStr">
        <is>
          <t>Constant vs variable maximum aperture</t>
        </is>
      </c>
      <c r="J405" t="inlineStr">
        <is>
          <t>Новичок учится читать надписи на объективе и понимать, почему экспозиция меняется при зумировании.</t>
        </is>
      </c>
      <c r="K405" t="inlineStr">
        <is>
          <t>Прикрытие диафрагмы</t>
        </is>
      </c>
      <c r="L405" t="inlineStr">
        <is>
          <t>T-stop и видеосъёмка</t>
        </is>
      </c>
      <c r="M405" t="inlineStr">
        <is>
          <t>Главная линия / зум и светосила</t>
        </is>
      </c>
      <c r="N405" t="n">
        <v>5</v>
      </c>
      <c r="O405" t="inlineStr">
        <is>
          <t>PL-038</t>
        </is>
      </c>
      <c r="P405" t="inlineStr">
        <is>
          <t>SRC-281</t>
        </is>
      </c>
      <c r="Q405" t="inlineStr">
        <is>
          <t>Nikon USA — Understanding Maximum Aperture</t>
        </is>
      </c>
      <c r="R405" t="inlineStr">
        <is>
          <t>https://www.nikonusa.com/learn-and-explore/c/tips-and-techniques/understanding-maximum-aperture</t>
        </is>
      </c>
      <c r="S405" t="n">
        <v>5</v>
      </c>
      <c r="T405" t="inlineStr">
        <is>
          <t>Связать с практикой выбора объектива: f/3.5–5.6 на зуме — не ошибка, а конструктивный компромисс.</t>
        </is>
      </c>
      <c r="U405" t="inlineStr">
        <is>
          <t>Два зума: 24–70/2.8 и 18–55/3.5–5.6; стрелка зума меняет число f.</t>
        </is>
      </c>
      <c r="V405" t="inlineStr">
        <is>
          <t>#PL038 #zoom #variableaperture #constantaperture</t>
        </is>
      </c>
      <c r="Y405" t="inlineStr">
        <is>
          <t>Светосила / постоянная и переменная</t>
        </is>
      </c>
      <c r="Z405" t="inlineStr">
        <is>
          <t>Технология / процесс</t>
        </is>
      </c>
    </row>
    <row r="406" ht="17" customHeight="1" s="72">
      <c r="A406" t="inlineStr">
        <is>
          <t>PL-HIST-0405</t>
        </is>
      </c>
      <c r="B406" t="inlineStr">
        <is>
          <t>сегодня</t>
        </is>
      </c>
      <c r="C406" t="inlineStr">
        <is>
          <t>примерно</t>
        </is>
      </c>
      <c r="D406" t="inlineStr">
        <is>
          <t>глобально</t>
        </is>
      </c>
      <c r="E406" t="inlineStr">
        <is>
          <t>фото / видео</t>
        </is>
      </c>
      <c r="F406" t="inlineStr">
        <is>
          <t>фотограф / оператор</t>
        </is>
      </c>
      <c r="G406" t="inlineStr">
        <is>
          <t>В фотографии обычно используют f-stop, а в кино и видео может встречаться T-stop — он учитывает фактическую светопередачу объектива.</t>
        </is>
      </c>
      <c r="H406" t="inlineStr">
        <is>
          <t>Оптические инструменты</t>
        </is>
      </c>
      <c r="I406" t="inlineStr">
        <is>
          <t>F-stop vs T-stop</t>
        </is>
      </c>
      <c r="J406" t="inlineStr">
        <is>
          <t>Фотограф видит разницу между геометрическим отношением диафрагмы и реальным количеством света после потерь в стекле.</t>
        </is>
      </c>
      <c r="K406" t="inlineStr">
        <is>
          <t>Постоянная и переменная светосила</t>
        </is>
      </c>
      <c r="L406" t="inlineStr">
        <is>
          <t>Диафрагма внутри объектива</t>
        </is>
      </c>
      <c r="M406" t="inlineStr">
        <is>
          <t>Главная линия / точность света</t>
        </is>
      </c>
      <c r="N406" t="n">
        <v>4</v>
      </c>
      <c r="O406" t="inlineStr">
        <is>
          <t>PL-038</t>
        </is>
      </c>
      <c r="P406" t="inlineStr">
        <is>
          <t>SRC-283</t>
        </is>
      </c>
      <c r="Q406" t="inlineStr">
        <is>
          <t>B&amp;H eXplora — Aperture in Photography Defined</t>
        </is>
      </c>
      <c r="R406" t="inlineStr">
        <is>
          <t>https://www.bhphotovideo.com/explora/photography/tips-and-solutions/understanding-aperture</t>
        </is>
      </c>
      <c r="S406" t="n">
        <v>5</v>
      </c>
      <c r="T406" t="inlineStr">
        <is>
          <t>Можно дать как дополнительный узел, не перегружая основной урок формулами.</t>
        </is>
      </c>
      <c r="U406" t="inlineStr">
        <is>
          <t>На объективе две маркировки: f/2.8 и T3.1; свет проходит через несколько элементов.</t>
        </is>
      </c>
      <c r="V406" t="inlineStr">
        <is>
          <t>#PL038 #fstop #tstop #cinema #transmission</t>
        </is>
      </c>
      <c r="Y406" t="inlineStr">
        <is>
          <t>Светосила / f-stop и T-stop</t>
        </is>
      </c>
      <c r="Z406" t="inlineStr">
        <is>
          <t>Терминология / язык</t>
        </is>
      </c>
    </row>
    <row r="407" ht="17" customHeight="1" s="72">
      <c r="A407" t="inlineStr">
        <is>
          <t>PL-HIST-0406</t>
        </is>
      </c>
      <c r="B407" t="inlineStr">
        <is>
          <t>сегодня</t>
        </is>
      </c>
      <c r="C407" t="inlineStr">
        <is>
          <t>примерно</t>
        </is>
      </c>
      <c r="D407" t="inlineStr">
        <is>
          <t>глобально</t>
        </is>
      </c>
      <c r="E407" t="inlineStr">
        <is>
          <t>PHOTO LAB / модуль объективов</t>
        </is>
      </c>
      <c r="F407" t="inlineStr">
        <is>
          <t>PHOTO LAB by VF</t>
        </is>
      </c>
      <c r="G407" t="inlineStr">
        <is>
          <t>Итог PL-038: светосила — это запас света и выразительности. Она помогает в темноте и даёт малую ГРИП, но приносит вес, цену и точность фокуса как цену выбора.</t>
        </is>
      </c>
      <c r="H407" t="inlineStr">
        <is>
          <t>Оптические инструменты</t>
        </is>
      </c>
      <c r="I407" t="inlineStr">
        <is>
          <t>Lens speed as trade-off</t>
        </is>
      </c>
      <c r="J407" t="inlineStr">
        <is>
          <t>Светосила превращается из рекламной цифры в осознанный инструмент экспозиции, фокуса и характера изображения.</t>
        </is>
      </c>
      <c r="K407" t="inlineStr">
        <is>
          <t>T-stop и видеосъёмка</t>
        </is>
      </c>
      <c r="L407" t="inlineStr">
        <is>
          <t>PL-039 — диафрагма внутри объектива</t>
        </is>
      </c>
      <c r="M407" t="inlineStr">
        <is>
          <t>Связь / переход</t>
        </is>
      </c>
      <c r="N407" t="n">
        <v>5</v>
      </c>
      <c r="O407" t="inlineStr">
        <is>
          <t>PL-038</t>
        </is>
      </c>
      <c r="P407" t="inlineStr">
        <is>
          <t>SRC-281</t>
        </is>
      </c>
      <c r="Q407" t="inlineStr">
        <is>
          <t>Nikon USA — Understanding Maximum Aperture</t>
        </is>
      </c>
      <c r="R407" t="inlineStr">
        <is>
          <t>https://www.nikonusa.com/learn-and-explore/c/tips-and-techniques/understanding-maximum-aperture</t>
        </is>
      </c>
      <c r="S407" t="n">
        <v>5</v>
      </c>
      <c r="T407" t="inlineStr">
        <is>
          <t>Главная мысль: светосильный объектив не делает фотографию лучше автоматически.</t>
        </is>
      </c>
      <c r="U407" t="inlineStr">
        <is>
          <t>Объектив с открывающимися лепестками диафрагмы; на фоне шкала свет/ГРИП/вес.</t>
        </is>
      </c>
      <c r="V407" t="inlineStr">
        <is>
          <t>#PL038 #bridge #diaphragm #aperture</t>
        </is>
      </c>
      <c r="Y407" t="inlineStr">
        <is>
          <t>Светосила / итог и мост</t>
        </is>
      </c>
      <c r="Z407" t="inlineStr">
        <is>
          <t>Связь / переход</t>
        </is>
      </c>
    </row>
    <row r="408" ht="17" customHeight="1" s="72">
      <c r="A408" t="inlineStr">
        <is>
          <t>PL-HIST-0407</t>
        </is>
      </c>
      <c r="B408" t="inlineStr">
        <is>
          <t>сегодня</t>
        </is>
      </c>
      <c r="C408" t="inlineStr">
        <is>
          <t>примерно</t>
        </is>
      </c>
      <c r="D408" t="inlineStr">
        <is>
          <t>глобально</t>
        </is>
      </c>
      <c r="E408" t="inlineStr">
        <is>
          <t>внутри объектива</t>
        </is>
      </c>
      <c r="F408" t="inlineStr">
        <is>
          <t>фотографы / производители</t>
        </is>
      </c>
      <c r="G408" t="inlineStr">
        <is>
          <t>То, что фотограф называет «диафрагмой объектива» (входящее в формулу числа f), — это не обязательно физический размер лепестков, а «входной зрачок» (entrance pupil): оптическое изображение диафрагмы, которое видно спереди через передние линзы объектива. Передние элементы могут увеличивать или уменьшать это изображение, поэтому входной зрачок часто крупнее или мельче настоящего механического отверстия.</t>
        </is>
      </c>
      <c r="H408" t="inlineStr">
        <is>
          <t>Оптические инструменты</t>
        </is>
      </c>
      <c r="I408" t="inlineStr">
        <is>
          <t>Entrance pupil / effective aperture</t>
        </is>
      </c>
      <c r="J408" t="inlineStr">
        <is>
          <t>Диафрагма перестаёт быть просто «дыркой с лепестками»: то, что определяет число f, — это оптический образ отверстия, а не сам металл, и оптическая схема объектива может «увеличивать» этот образ.</t>
        </is>
      </c>
      <c r="K408" t="inlineStr">
        <is>
          <t>PL-038 — светосила</t>
        </is>
      </c>
      <c r="L408" t="inlineStr">
        <is>
          <t>Лепестки и форма отверстия</t>
        </is>
      </c>
      <c r="M408" t="inlineStr">
        <is>
          <t>Главная линия / механизм диафрагмы</t>
        </is>
      </c>
      <c r="N408" t="n">
        <v>5</v>
      </c>
      <c r="O408" t="inlineStr">
        <is>
          <t>PL-039</t>
        </is>
      </c>
      <c r="P408" t="inlineStr">
        <is>
          <t>SRC-294</t>
        </is>
      </c>
      <c r="Q408" t="inlineStr">
        <is>
          <t>RP Photonics — Entrance and Exit Pupil</t>
        </is>
      </c>
      <c r="R408" t="inlineStr">
        <is>
          <t>https://www.rp-photonics.com/entrance_and_exit_pupil.html</t>
        </is>
      </c>
      <c r="S408" t="n">
        <v>4</v>
      </c>
      <c r="T408" t="inlineStr">
        <is>
          <t>Флагман PL-039: не повторять «диафрагма — это отверстие» (см. PL-021/PL-032) — раскрыть, что именно измеряется в формуле f-number и почему это не всегда физический диаметр лепестков.</t>
        </is>
      </c>
      <c r="U408" t="inlineStr">
        <is>
          <t>Разрез объектива: физические лепестки внутри и увеличенное «оптическое изображение» отверстия, видимое спереди через переднюю линзу.</t>
        </is>
      </c>
      <c r="V408" t="inlineStr">
        <is>
          <t>#PL039 #entrancepupil #aperture #optics</t>
        </is>
      </c>
      <c r="Y408" t="inlineStr">
        <is>
          <t>Диафрагма / входной зрачок</t>
        </is>
      </c>
      <c r="Z408" t="inlineStr">
        <is>
          <t>Ключевой исторический узел</t>
        </is>
      </c>
      <c r="AA408" t="inlineStr">
        <is>
          <t>да</t>
        </is>
      </c>
    </row>
    <row r="409" ht="17" customHeight="1" s="72">
      <c r="A409" t="inlineStr">
        <is>
          <t>PL-HIST-0408</t>
        </is>
      </c>
      <c r="B409" t="inlineStr">
        <is>
          <t>сегодня</t>
        </is>
      </c>
      <c r="C409" t="inlineStr">
        <is>
          <t>примерно</t>
        </is>
      </c>
      <c r="D409" t="inlineStr">
        <is>
          <t>глобально</t>
        </is>
      </c>
      <c r="E409" t="inlineStr">
        <is>
          <t>объектив / aperture blades</t>
        </is>
      </c>
      <c r="F409" t="inlineStr">
        <is>
          <t>производители объективов</t>
        </is>
      </c>
      <c r="G409" t="inlineStr">
        <is>
          <t>Форма и число лепестков диафрагмы менялись исторически: старые объективы часто имели 5–6 прямых лепестков, из-за чего закрытая диафрагма давала многоугольное отверстие и угловатые блики; современные объективы обычно используют 9–11 скруглённых лепестков, чтобы отверстие оставалось близким к кругу даже при неполном открытии.</t>
        </is>
      </c>
      <c r="H409" t="inlineStr">
        <is>
          <t>Оптические инструменты</t>
        </is>
      </c>
      <c r="I409" t="inlineStr">
        <is>
          <t>Diaphragm blade count / shape evolution</t>
        </is>
      </c>
      <c r="J409" t="inlineStr">
        <is>
          <t>Число и форма лепестков — не только техническая деталь механизма, но и осознанный выбор производителя: он определяет, будет ли смазанный фон при прикрытой диафрагме круглым или гранёным.</t>
        </is>
      </c>
      <c r="K409" t="inlineStr">
        <is>
          <t>Диафрагма</t>
        </is>
      </c>
      <c r="L409" t="inlineStr">
        <is>
          <t>Число лепестков и форма</t>
        </is>
      </c>
      <c r="M409" t="inlineStr">
        <is>
          <t>Главная линия / физика отверстия</t>
        </is>
      </c>
      <c r="N409" t="n">
        <v>5</v>
      </c>
      <c r="O409" t="inlineStr">
        <is>
          <t>PL-039</t>
        </is>
      </c>
      <c r="P409" t="inlineStr">
        <is>
          <t>SRC-285</t>
        </is>
      </c>
      <c r="Q409" t="inlineStr">
        <is>
          <t>B&amp;H eXplora — How Your Digital Camera Works</t>
        </is>
      </c>
      <c r="R409" t="inlineStr">
        <is>
          <t>https://www.bhphotovideo.com/explora/photography/tips-and-solutions/how-your-digital-camera-works</t>
        </is>
      </c>
      <c r="S409" t="n">
        <v>3</v>
      </c>
      <c r="T409" t="inlineStr">
        <is>
          <t>Не повторять определение «лепестки образуют отверстие» (см. PL-032, PL-HIST-0334) — здесь исторический и практический контраст старых/новых конструкций.</t>
        </is>
      </c>
      <c r="U409" t="inlineStr">
        <is>
          <t>Два отверстия диафрагмы рядом: шестиугольное (старый объектив, 6 прямых лепестков) и почти круглое (современный, 9 скруглённых лепестков).</t>
        </is>
      </c>
      <c r="V409" t="inlineStr">
        <is>
          <t>#PL039 #blades #bokeh #lens-design-history</t>
        </is>
      </c>
      <c r="W409" t="inlineStr">
        <is>
          <t>Уточнить типичное число лепестков для конкретных модельных линеек при финальной публикации — сейчас общее наблюдение по индустрии.</t>
        </is>
      </c>
      <c r="Y409" t="inlineStr">
        <is>
          <t>Диафрагма / эволюция формы лепестков</t>
        </is>
      </c>
      <c r="Z409" t="inlineStr">
        <is>
          <t>Технология / процесс</t>
        </is>
      </c>
    </row>
    <row r="410" ht="17" customHeight="1" s="72">
      <c r="A410" t="inlineStr">
        <is>
          <t>PL-HIST-0409</t>
        </is>
      </c>
      <c r="B410" t="inlineStr">
        <is>
          <t>сегодня</t>
        </is>
      </c>
      <c r="C410" t="inlineStr">
        <is>
          <t>примерно</t>
        </is>
      </c>
      <c r="D410" t="inlineStr">
        <is>
          <t>глобально</t>
        </is>
      </c>
      <c r="E410" t="inlineStr">
        <is>
          <t>объективы разных конструкций</t>
        </is>
      </c>
      <c r="F410" t="inlineStr">
        <is>
          <t>фотограф</t>
        </is>
      </c>
      <c r="G410" t="inlineStr">
        <is>
          <t>Количество лепестков и их форма влияют на рисунок нерезких бликов: отверстие может быть более круглым или многоугольным.</t>
        </is>
      </c>
      <c r="H410" t="inlineStr">
        <is>
          <t>Оптические инструменты</t>
        </is>
      </c>
      <c r="I410" t="inlineStr">
        <is>
          <t>Aperture blade shape / bokeh shape</t>
        </is>
      </c>
      <c r="J410" t="inlineStr">
        <is>
          <t>Фотограф начинает понимать, почему два объектива с одинаковой светосилой могут по-разному рисовать фон.</t>
        </is>
      </c>
      <c r="K410" t="inlineStr">
        <is>
          <t>Лепестки и форма отверстия</t>
        </is>
      </c>
      <c r="L410" t="inlineStr">
        <is>
          <t>Глубина резкости</t>
        </is>
      </c>
      <c r="M410" t="inlineStr">
        <is>
          <t>Главная линия / характер изображения</t>
        </is>
      </c>
      <c r="N410" t="n">
        <v>5</v>
      </c>
      <c r="O410" t="inlineStr">
        <is>
          <t>PL-039</t>
        </is>
      </c>
      <c r="P410" t="inlineStr">
        <is>
          <t>SRC-283</t>
        </is>
      </c>
      <c r="Q410" t="inlineStr">
        <is>
          <t>B&amp;H eXplora — Aperture in Photography Defined</t>
        </is>
      </c>
      <c r="R410" t="inlineStr">
        <is>
          <t>https://www.bhphotovideo.com/explora/photography/tips-and-solutions/understanding-aperture</t>
        </is>
      </c>
      <c r="S410" t="n">
        <v>5</v>
      </c>
      <c r="T410" t="inlineStr">
        <is>
          <t>Мост к PL-040: «как объективы рисуют» частично связано с формой диафрагмы.</t>
        </is>
      </c>
      <c r="U410" t="inlineStr">
        <is>
          <t>Блики на фоне: круглые и многоугольные; рядом форма диафрагмы.</t>
        </is>
      </c>
      <c r="V410" t="inlineStr">
        <is>
          <t>#PL039 #bokehshape #blades #rendering</t>
        </is>
      </c>
      <c r="Y410" t="inlineStr">
        <is>
          <t>Диафрагма / форма отверстия</t>
        </is>
      </c>
      <c r="Z410" t="inlineStr">
        <is>
          <t>Технология / процесс</t>
        </is>
      </c>
    </row>
    <row r="411" ht="17" customHeight="1" s="72">
      <c r="A411" t="inlineStr">
        <is>
          <t>PL-HIST-0410</t>
        </is>
      </c>
      <c r="B411" t="inlineStr">
        <is>
          <t>сегодня</t>
        </is>
      </c>
      <c r="C411" t="inlineStr">
        <is>
          <t>примерно</t>
        </is>
      </c>
      <c r="D411" t="inlineStr">
        <is>
          <t>глобально</t>
        </is>
      </c>
      <c r="E411" t="inlineStr">
        <is>
          <t>фокус и ГРИП</t>
        </is>
      </c>
      <c r="F411" t="inlineStr">
        <is>
          <t>фотограф</t>
        </is>
      </c>
      <c r="G411" t="inlineStr">
        <is>
          <t>У глубины резкости нет жёсткой границы «резко / не резко» — есть круг размытия (circle of confusion): точка вне плоскости фокуса превращается в маленький световой кружок, и пока этот кружок остаётся достаточно маленьким для глаза, зона считается «резкой». Размер диафрагмы меняет угол конуса лучей, сходящихся к плоскости фокуса, — чем уже отверстие, тем медленнее растёт кружок при отклонении от фокуса, поэтому закрытая диафрагма растягивает зону кажущейся резкости.</t>
        </is>
      </c>
      <c r="H411" t="inlineStr">
        <is>
          <t>Оптические инструменты</t>
        </is>
      </c>
      <c r="I411" t="inlineStr">
        <is>
          <t>Circle of confusion / depth of field mechanism</t>
        </is>
      </c>
      <c r="J411" t="inlineStr">
        <is>
          <t>«Глубина резкости» перестаёт быть загадочной шкалой на объективе: это просто предел, при котором кружок размытия ещё не заметен глазу, а диафрагма управляет тем, как быстро этот кружок растёт.</t>
        </is>
      </c>
      <c r="K411" t="inlineStr">
        <is>
          <t>Число лепестков и форма</t>
        </is>
      </c>
      <c r="L411" t="inlineStr">
        <is>
          <t>Выдержка и ISO</t>
        </is>
      </c>
      <c r="M411" t="inlineStr">
        <is>
          <t>Главная линия / ГРИП</t>
        </is>
      </c>
      <c r="N411" t="n">
        <v>5</v>
      </c>
      <c r="O411" t="inlineStr">
        <is>
          <t>PL-039</t>
        </is>
      </c>
      <c r="P411" t="inlineStr">
        <is>
          <t>SRC-295</t>
        </is>
      </c>
      <c r="Q411" t="inlineStr">
        <is>
          <t>Wikipedia — Circle of confusion</t>
        </is>
      </c>
      <c r="R411" t="inlineStr">
        <is>
          <t>https://en.wikipedia.org/wiki/Circle_of_confusion</t>
        </is>
      </c>
      <c r="S411" t="n">
        <v>4</v>
      </c>
      <c r="T411" t="inlineStr">
        <is>
          <t>Не повторять «открытая — меньше ГРИП, закрытая — больше» (это уже сказано в PL-038, PL-HIST-0399, и раньше в PL-021/031) — здесь механизм: почему так происходит, через круг размытия и угол конуса лучей.</t>
        </is>
      </c>
      <c r="U411" t="inlineStr">
        <is>
          <t>Конус лучей от точки вне фокуса к плоскости плёнки/сенсора: узкий конус (закрытая диафрагма) даёт маленький кружок, широкий конус (открытая) — большой.</t>
        </is>
      </c>
      <c r="V411" t="inlineStr">
        <is>
          <t>#PL039 #depthoffield #circleofconfusion #optics</t>
        </is>
      </c>
      <c r="Y411" t="inlineStr">
        <is>
          <t>Диафрагма / механизм глубины резкости</t>
        </is>
      </c>
      <c r="Z411" t="inlineStr">
        <is>
          <t>Технология / процесс</t>
        </is>
      </c>
    </row>
    <row r="412" ht="17" customHeight="1" s="72">
      <c r="A412" t="inlineStr">
        <is>
          <t>PL-HIST-0411</t>
        </is>
      </c>
      <c r="B412" t="inlineStr">
        <is>
          <t>сегодня</t>
        </is>
      </c>
      <c r="C412" t="inlineStr">
        <is>
          <t>примерно</t>
        </is>
      </c>
      <c r="D412" t="inlineStr">
        <is>
          <t>глобально</t>
        </is>
      </c>
      <c r="E412" t="inlineStr">
        <is>
          <t>экспозиция</t>
        </is>
      </c>
      <c r="F412" t="inlineStr">
        <is>
          <t>фотограф</t>
        </is>
      </c>
      <c r="G412" t="inlineStr">
        <is>
          <t>Закрывая диафрагму, фотограф уменьшает поток света. Чтобы сохранить ту же экспозицию, нужно компенсировать выдержкой, ISO или светом.</t>
        </is>
      </c>
      <c r="H412" t="inlineStr">
        <is>
          <t>Оптические инструменты</t>
        </is>
      </c>
      <c r="I412" t="inlineStr">
        <is>
          <t>Aperture in exposure triangle</t>
        </is>
      </c>
      <c r="J412" t="inlineStr">
        <is>
          <t>Диафрагма связывается с экспозицией: это не только «размытие», но и дозировка света.</t>
        </is>
      </c>
      <c r="K412" t="inlineStr">
        <is>
          <t>Глубина резкости</t>
        </is>
      </c>
      <c r="L412" t="inlineStr">
        <is>
          <t>Стопы диафрагмы</t>
        </is>
      </c>
      <c r="M412" t="inlineStr">
        <is>
          <t>Главная линия / экспозиционный контроль</t>
        </is>
      </c>
      <c r="N412" t="n">
        <v>5</v>
      </c>
      <c r="O412" t="inlineStr">
        <is>
          <t>PL-039</t>
        </is>
      </c>
      <c r="P412" t="inlineStr">
        <is>
          <t>SRC-282</t>
        </is>
      </c>
      <c r="Q412" t="inlineStr">
        <is>
          <t>Nikon — What is aperture in photography?</t>
        </is>
      </c>
      <c r="R412" t="inlineStr">
        <is>
          <t>https://www.nikon.nl/nl_NL/learn-and-explore/magazine/tips-and-tricks/what-is-aperture</t>
        </is>
      </c>
      <c r="S412" t="n">
        <v>5</v>
      </c>
      <c r="T412" t="inlineStr">
        <is>
          <t>Это прямой мост к PL-041: диафрагма как первая сторона экспозиции.</t>
        </is>
      </c>
      <c r="U412" t="inlineStr">
        <is>
          <t>Треугольник: aperture ↔ shutter ↔ ISO; диафрагма подсвечена.</t>
        </is>
      </c>
      <c r="V412" t="inlineStr">
        <is>
          <t>#PL039 #exposuretriangle #ISO #shutterspeed</t>
        </is>
      </c>
      <c r="Y412" t="inlineStr">
        <is>
          <t>Диафрагма / экспозиция</t>
        </is>
      </c>
      <c r="Z412" t="inlineStr">
        <is>
          <t>Технология / процесс</t>
        </is>
      </c>
    </row>
    <row r="413" ht="17" customHeight="1" s="72">
      <c r="A413" t="inlineStr">
        <is>
          <t>PL-HIST-0412</t>
        </is>
      </c>
      <c r="B413" t="inlineStr">
        <is>
          <t>сегодня</t>
        </is>
      </c>
      <c r="C413" t="inlineStr">
        <is>
          <t>примерно</t>
        </is>
      </c>
      <c r="D413" t="inlineStr">
        <is>
          <t>глобально</t>
        </is>
      </c>
      <c r="E413" t="inlineStr">
        <is>
          <t>шкала диафрагм</t>
        </is>
      </c>
      <c r="F413" t="inlineStr">
        <is>
          <t>фотограф</t>
        </is>
      </c>
      <c r="G413" t="inlineStr">
        <is>
          <t>Стопы диафрагмы идут не линейно: f/2, f/2.8, f/4, f/5.6, f/8 — это шаги, где каждый полный стоп меняет количество света примерно в два раза.</t>
        </is>
      </c>
      <c r="H413" t="inlineStr">
        <is>
          <t>Оптические инструменты</t>
        </is>
      </c>
      <c r="I413" t="inlineStr">
        <is>
          <t>Aperture stops</t>
        </is>
      </c>
      <c r="J413" t="inlineStr">
        <is>
          <t>Фотограф учится мыслить светом: один стоп — это не «чуть-чуть», а удвоение или деление света пополам.</t>
        </is>
      </c>
      <c r="K413" t="inlineStr">
        <is>
          <t>Выдержка и ISO</t>
        </is>
      </c>
      <c r="L413" t="inlineStr">
        <is>
          <t>Предпросмотр диафрагмы</t>
        </is>
      </c>
      <c r="M413" t="inlineStr">
        <is>
          <t>Главная линия / стопы</t>
        </is>
      </c>
      <c r="N413" t="n">
        <v>5</v>
      </c>
      <c r="O413" t="inlineStr">
        <is>
          <t>PL-039</t>
        </is>
      </c>
      <c r="P413" t="inlineStr">
        <is>
          <t>SRC-283</t>
        </is>
      </c>
      <c r="Q413" t="inlineStr">
        <is>
          <t>B&amp;H eXplora — Aperture in Photography Defined</t>
        </is>
      </c>
      <c r="R413" t="inlineStr">
        <is>
          <t>https://www.bhphotovideo.com/explora/photography/tips-and-solutions/understanding-aperture</t>
        </is>
      </c>
      <c r="S413" t="n">
        <v>5</v>
      </c>
      <c r="T413" t="inlineStr">
        <is>
          <t>Этот узел готовит PL-046 «стопы света».</t>
        </is>
      </c>
      <c r="U413" t="inlineStr">
        <is>
          <t>Шкала f/2 → f/2.8 → f/4 → f/5.6; рядом количество света 1, 1/2, 1/4.</t>
        </is>
      </c>
      <c r="V413" t="inlineStr">
        <is>
          <t>#PL039 #stops #fstop #light</t>
        </is>
      </c>
      <c r="Y413" t="inlineStr">
        <is>
          <t>Диафрагма / стопы</t>
        </is>
      </c>
      <c r="Z413" t="inlineStr">
        <is>
          <t>Терминология / язык</t>
        </is>
      </c>
    </row>
    <row r="414" ht="17" customHeight="1" s="72">
      <c r="A414" t="inlineStr">
        <is>
          <t>PL-HIST-0413</t>
        </is>
      </c>
      <c r="B414" t="inlineStr">
        <is>
          <t>сегодня</t>
        </is>
      </c>
      <c r="C414" t="inlineStr">
        <is>
          <t>примерно</t>
        </is>
      </c>
      <c r="D414" t="inlineStr">
        <is>
          <t>глобально</t>
        </is>
      </c>
      <c r="E414" t="inlineStr">
        <is>
          <t>зеркальные / беззеркальные камеры</t>
        </is>
      </c>
      <c r="F414" t="inlineStr">
        <is>
          <t>фотограф / камера</t>
        </is>
      </c>
      <c r="G414" t="inlineStr">
        <is>
          <t>В современных системах диафрагма может закрываться в момент съёмки или управляться электронно из камеры, хотя физически отверстие остаётся внутри объектива.</t>
        </is>
      </c>
      <c r="H414" t="inlineStr">
        <is>
          <t>Оптические инструменты</t>
        </is>
      </c>
      <c r="I414" t="inlineStr">
        <is>
          <t>Electronic diaphragm / aperture control</t>
        </is>
      </c>
      <c r="J414" t="inlineStr">
        <is>
          <t>Фотограф понимает связь объектива и камеры: команда приходит из камеры, но свет регулирует механизм в объективе.</t>
        </is>
      </c>
      <c r="K414" t="inlineStr">
        <is>
          <t>Стопы диафрагмы</t>
        </is>
      </c>
      <c r="L414" t="inlineStr">
        <is>
          <t>Кольцо диафрагмы</t>
        </is>
      </c>
      <c r="M414" t="inlineStr">
        <is>
          <t>Главная линия / управление диафрагмой</t>
        </is>
      </c>
      <c r="N414" t="n">
        <v>5</v>
      </c>
      <c r="O414" t="inlineStr">
        <is>
          <t>PL-039</t>
        </is>
      </c>
      <c r="P414" t="inlineStr">
        <is>
          <t>SRC-286</t>
        </is>
      </c>
      <c r="Q414" t="inlineStr">
        <is>
          <t>Nikon — NIKKOR Lens Glossary</t>
        </is>
      </c>
      <c r="R414" t="inlineStr">
        <is>
          <t>https://imaging.nikon.com/imaging/lineup/lens/glossary/</t>
        </is>
      </c>
      <c r="S414" t="n">
        <v>5</v>
      </c>
      <c r="T414" t="inlineStr">
        <is>
          <t>Показать разницу: старое кольцо диафрагмы и современное управление колесом камеры.</t>
        </is>
      </c>
      <c r="U414" t="inlineStr">
        <is>
          <t>Два объектива: механическое кольцо f/2.8–16 и электронный объектив без кольца.</t>
        </is>
      </c>
      <c r="V414" t="inlineStr">
        <is>
          <t>#PL039 #electronicdiaphragm #aperturecontrol #lensbody</t>
        </is>
      </c>
      <c r="Y414" t="inlineStr">
        <is>
          <t>Диафрагма / управление из камеры</t>
        </is>
      </c>
      <c r="Z414" t="inlineStr">
        <is>
          <t>Инструмент / устройство</t>
        </is>
      </c>
    </row>
    <row r="415" ht="17" customHeight="1" s="72">
      <c r="A415" t="inlineStr">
        <is>
          <t>PL-HIST-0414</t>
        </is>
      </c>
      <c r="B415" t="inlineStr">
        <is>
          <t>сегодня</t>
        </is>
      </c>
      <c r="C415" t="inlineStr">
        <is>
          <t>примерно</t>
        </is>
      </c>
      <c r="D415" t="inlineStr">
        <is>
          <t>глобально</t>
        </is>
      </c>
      <c r="E415" t="inlineStr">
        <is>
          <t>мануальные объективы / плёночные камеры</t>
        </is>
      </c>
      <c r="F415" t="inlineStr">
        <is>
          <t>фотограф</t>
        </is>
      </c>
      <c r="G415" t="inlineStr">
        <is>
          <t>На многих плёночных и мануальных объективах диафрагму можно увидеть и почувствовать через кольцо: поворот меняет отверстие напрямую или через механическую связь.</t>
        </is>
      </c>
      <c r="H415" t="inlineStr">
        <is>
          <t>Оптические инструменты</t>
        </is>
      </c>
      <c r="I415" t="inlineStr">
        <is>
          <t>Aperture ring / manual diaphragm</t>
        </is>
      </c>
      <c r="J415" t="inlineStr">
        <is>
          <t>Плёночная камера делает экспозицию физически понятной: фотограф слышит, видит и ощущает изменение светового отверстия.</t>
        </is>
      </c>
      <c r="K415" t="inlineStr">
        <is>
          <t>Предпросмотр диафрагмы</t>
        </is>
      </c>
      <c r="L415" t="inlineStr">
        <is>
          <t>Дифракция</t>
        </is>
      </c>
      <c r="M415" t="inlineStr">
        <is>
          <t>Главная линия / ручное управление</t>
        </is>
      </c>
      <c r="N415" t="n">
        <v>5</v>
      </c>
      <c r="O415" t="inlineStr">
        <is>
          <t>PL-039</t>
        </is>
      </c>
      <c r="P415" t="inlineStr">
        <is>
          <t>SRC-286</t>
        </is>
      </c>
      <c r="Q415" t="inlineStr">
        <is>
          <t>Nikon — NIKKOR Lens Glossary</t>
        </is>
      </c>
      <c r="R415" t="inlineStr">
        <is>
          <t>https://imaging.nikon.com/imaging/lineup/lens/glossary/</t>
        </is>
      </c>
      <c r="S415" t="n">
        <v>5</v>
      </c>
      <c r="T415" t="inlineStr">
        <is>
          <t>Хороший учебный момент: взять старый объектив и смотреть сквозь него, крутя кольцо.</t>
        </is>
      </c>
      <c r="U415" t="inlineStr">
        <is>
          <t>Рука крутит кольцо диафрагмы на старом объективе, лепестки меняются внутри.</t>
        </is>
      </c>
      <c r="V415" t="inlineStr">
        <is>
          <t>#PL039 #aperturering #manualLens #filmCamera</t>
        </is>
      </c>
      <c r="Y415" t="inlineStr">
        <is>
          <t>Диафрагма / ручное кольцо</t>
        </is>
      </c>
      <c r="Z415" t="inlineStr">
        <is>
          <t>Применение / жанр</t>
        </is>
      </c>
    </row>
    <row r="416" ht="17" customHeight="1" s="72">
      <c r="A416" t="inlineStr">
        <is>
          <t>PL-HIST-0415</t>
        </is>
      </c>
      <c r="B416" t="inlineStr">
        <is>
          <t>сегодня</t>
        </is>
      </c>
      <c r="C416" t="inlineStr">
        <is>
          <t>примерно</t>
        </is>
      </c>
      <c r="D416" t="inlineStr">
        <is>
          <t>глобально</t>
        </is>
      </c>
      <c r="E416" t="inlineStr">
        <is>
          <t>оптика / высокая резкость</t>
        </is>
      </c>
      <c r="F416" t="inlineStr">
        <is>
          <t>фотограф</t>
        </is>
      </c>
      <c r="G416" t="inlineStr">
        <is>
          <t>Слишком закрытая диафрагма может вызвать дифракцию: света проходит мало и волновые эффекты начинают снижать микрорезкость.</t>
        </is>
      </c>
      <c r="H416" t="inlineStr">
        <is>
          <t>Оптические инструменты</t>
        </is>
      </c>
      <c r="I416" t="inlineStr">
        <is>
          <t>Diffraction and small aperture</t>
        </is>
      </c>
      <c r="J416" t="inlineStr">
        <is>
          <t>Фотограф понимает, что f/22 не всегда «самая резкая» настройка: больше ГРИП не равно больше качества.</t>
        </is>
      </c>
      <c r="K416" t="inlineStr">
        <is>
          <t>Кольцо диафрагмы</t>
        </is>
      </c>
      <c r="L416" t="inlineStr">
        <is>
          <t>Рабочая диафрагма</t>
        </is>
      </c>
      <c r="M416" t="inlineStr">
        <is>
          <t>Главная линия / ограничение</t>
        </is>
      </c>
      <c r="N416" t="n">
        <v>4</v>
      </c>
      <c r="O416" t="inlineStr">
        <is>
          <t>PL-039</t>
        </is>
      </c>
      <c r="P416" t="inlineStr">
        <is>
          <t>SRC-283</t>
        </is>
      </c>
      <c r="Q416" t="inlineStr">
        <is>
          <t>B&amp;H eXplora — Aperture in Photography Defined</t>
        </is>
      </c>
      <c r="R416" t="inlineStr">
        <is>
          <t>https://www.bhphotovideo.com/explora/photography/tips-and-solutions/understanding-aperture</t>
        </is>
      </c>
      <c r="S416" t="n">
        <v>5</v>
      </c>
      <c r="T416" t="inlineStr">
        <is>
          <t>Не углубляться в физику, просто отметить практический риск.</t>
        </is>
      </c>
      <c r="U416" t="inlineStr">
        <is>
          <t>Сравнение f/8 и f/22: на f/22 всё вроде резко, но мелкая фактура мягче.</t>
        </is>
      </c>
      <c r="V416" t="inlineStr">
        <is>
          <t>#PL039 #diffraction #sharpness #smallaperture</t>
        </is>
      </c>
      <c r="Y416" t="inlineStr">
        <is>
          <t>Диафрагма / дифракция</t>
        </is>
      </c>
      <c r="Z416" t="inlineStr">
        <is>
          <t>Технология / процесс</t>
        </is>
      </c>
    </row>
    <row r="417" ht="17" customHeight="1" s="72">
      <c r="A417" t="inlineStr">
        <is>
          <t>PL-HIST-0416</t>
        </is>
      </c>
      <c r="B417" t="inlineStr">
        <is>
          <t>сегодня</t>
        </is>
      </c>
      <c r="C417" t="inlineStr">
        <is>
          <t>примерно</t>
        </is>
      </c>
      <c r="D417" t="inlineStr">
        <is>
          <t>глобально</t>
        </is>
      </c>
      <c r="E417" t="inlineStr">
        <is>
          <t>практическая съёмка</t>
        </is>
      </c>
      <c r="F417" t="inlineStr">
        <is>
          <t>фотограф</t>
        </is>
      </c>
      <c r="G417" t="inlineStr">
        <is>
          <t>Рабочая диафрагма выбирается не по правилу «всегда открыто» или «всегда закрыто», а по задаче: свет, ГРИП, резкость, фон и движение.</t>
        </is>
      </c>
      <c r="H417" t="inlineStr">
        <is>
          <t>Оптические инструменты</t>
        </is>
      </c>
      <c r="I417" t="inlineStr">
        <is>
          <t>Working aperture choice</t>
        </is>
      </c>
      <c r="J417" t="inlineStr">
        <is>
          <t>Диафрагма становится осознанным выбором между технической и выразительной задачей.</t>
        </is>
      </c>
      <c r="K417" t="inlineStr">
        <is>
          <t>Дифракция</t>
        </is>
      </c>
      <c r="L417" t="inlineStr">
        <is>
          <t>Мост к экспозиции</t>
        </is>
      </c>
      <c r="M417" t="inlineStr">
        <is>
          <t>Главная линия / практическое решение</t>
        </is>
      </c>
      <c r="N417" t="n">
        <v>5</v>
      </c>
      <c r="O417" t="inlineStr">
        <is>
          <t>PL-039</t>
        </is>
      </c>
      <c r="P417" t="inlineStr">
        <is>
          <t>SRC-282</t>
        </is>
      </c>
      <c r="Q417" t="inlineStr">
        <is>
          <t>Nikon — What is aperture in photography?</t>
        </is>
      </c>
      <c r="R417" t="inlineStr">
        <is>
          <t>https://www.nikon.nl/nl_NL/learn-and-explore/magazine/tips-and-tricks/what-is-aperture</t>
        </is>
      </c>
      <c r="S417" t="n">
        <v>5</v>
      </c>
      <c r="T417" t="inlineStr">
        <is>
          <t>Сформулировать для новичка: сначала реши, что должно быть резким, потом выбирай f.</t>
        </is>
      </c>
      <c r="U417" t="inlineStr">
        <is>
          <t>Карточка выбора: портрет f/1.8, улица f/5.6, пейзаж f/8, макро f/11.</t>
        </is>
      </c>
      <c r="V417" t="inlineStr">
        <is>
          <t>#PL039 #workingaperture #choice #practice</t>
        </is>
      </c>
      <c r="Y417" t="inlineStr">
        <is>
          <t>Диафрагма / рабочий выбор</t>
        </is>
      </c>
      <c r="Z417" t="inlineStr">
        <is>
          <t>Применение / жанр</t>
        </is>
      </c>
    </row>
    <row r="418" ht="17" customHeight="1" s="72">
      <c r="A418" t="inlineStr">
        <is>
          <t>PL-HIST-0417</t>
        </is>
      </c>
      <c r="B418" t="inlineStr">
        <is>
          <t>сегодня</t>
        </is>
      </c>
      <c r="C418" t="inlineStr">
        <is>
          <t>примерно</t>
        </is>
      </c>
      <c r="D418" t="inlineStr">
        <is>
          <t>глобально</t>
        </is>
      </c>
      <c r="E418" t="inlineStr">
        <is>
          <t>PHOTO LAB / модуль объективов</t>
        </is>
      </c>
      <c r="F418" t="inlineStr">
        <is>
          <t>PHOTO LAB by VF</t>
        </is>
      </c>
      <c r="G418" t="inlineStr">
        <is>
          <t>Итог PL-039: диафрагма — это механическое сердце объектива. Она дозирует свет, меняет глубину резкости, влияет на характер фона и связывает объектив с экспозицией.</t>
        </is>
      </c>
      <c r="H418" t="inlineStr">
        <is>
          <t>Оптические инструменты</t>
        </is>
      </c>
      <c r="I418" t="inlineStr">
        <is>
          <t>Diaphragm as bridge to exposure</t>
        </is>
      </c>
      <c r="J418" t="inlineStr">
        <is>
          <t>Курс переходит от устройства объектива к экспозиции: теперь важно понять, сколько света нужно кадру.</t>
        </is>
      </c>
      <c r="K418" t="inlineStr">
        <is>
          <t>Мост к экспозиции</t>
        </is>
      </c>
      <c r="L418" t="inlineStr">
        <is>
          <t>PL-041 — что такое экспозиция</t>
        </is>
      </c>
      <c r="M418" t="inlineStr">
        <is>
          <t>Связь / переход</t>
        </is>
      </c>
      <c r="N418" t="n">
        <v>5</v>
      </c>
      <c r="O418" t="inlineStr">
        <is>
          <t>PL-039</t>
        </is>
      </c>
      <c r="P418" t="inlineStr">
        <is>
          <t>SRC-282</t>
        </is>
      </c>
      <c r="Q418" t="inlineStr">
        <is>
          <t>Nikon — What is aperture in photography?</t>
        </is>
      </c>
      <c r="R418" t="inlineStr">
        <is>
          <t>https://www.nikon.nl/nl_NL/learn-and-explore/magazine/tips-and-tricks/what-is-aperture</t>
        </is>
      </c>
      <c r="S418" t="n">
        <v>5</v>
      </c>
      <c r="T418" t="inlineStr">
        <is>
          <t>PL-040 пропущен в этой партии, поэтому сделать мост к PL-041 без утверждения, что PL-040 закрыт.</t>
        </is>
      </c>
      <c r="U418" t="inlineStr">
        <is>
          <t>Диафрагма закрывается, золотой луч становится тоньше и ведёт к слову «экспозиция».</t>
        </is>
      </c>
      <c r="V418" t="inlineStr">
        <is>
          <t>#PL039 #bridge #exposure #aperture</t>
        </is>
      </c>
      <c r="Y418" t="inlineStr">
        <is>
          <t>Диафрагма / итог и мост</t>
        </is>
      </c>
      <c r="Z418" t="inlineStr">
        <is>
          <t>Связь / переход</t>
        </is>
      </c>
    </row>
    <row r="419" ht="17" customHeight="1" s="72">
      <c r="A419" t="inlineStr">
        <is>
          <t>PL-HIST-0418</t>
        </is>
      </c>
      <c r="B419" t="inlineStr">
        <is>
          <t>сегодня</t>
        </is>
      </c>
      <c r="C419" t="inlineStr">
        <is>
          <t>примерно</t>
        </is>
      </c>
      <c r="D419" t="inlineStr">
        <is>
          <t>глобально</t>
        </is>
      </c>
      <c r="E419" t="inlineStr">
        <is>
          <t>камера / плёнка / сенсор</t>
        </is>
      </c>
      <c r="F419" t="inlineStr">
        <is>
          <t>фотографы</t>
        </is>
      </c>
      <c r="G419" t="inlineStr">
        <is>
          <t>Экспозиция — это количество света, которое получает светочувствительный материал: плёнка или сенсор. Она зависит от диафрагмы, выдержки и ISO.</t>
        </is>
      </c>
      <c r="H419" t="inlineStr">
        <is>
          <t>Оптические инструменты</t>
        </is>
      </c>
      <c r="I419" t="inlineStr">
        <is>
          <t>Exposure / aperture + shutter + ISO</t>
        </is>
      </c>
      <c r="J419" t="inlineStr">
        <is>
          <t>Фотограф получает главный язык управления фотографией: не просто «светло/темно», а дозировка света под замысел.</t>
        </is>
      </c>
      <c r="K419" t="inlineStr">
        <is>
          <t>PL-039 — диафрагма внутри объектива</t>
        </is>
      </c>
      <c r="L419" t="inlineStr">
        <is>
          <t>Диафрагма как поток света</t>
        </is>
      </c>
      <c r="M419" t="inlineStr">
        <is>
          <t>Главная линия / экспозиция</t>
        </is>
      </c>
      <c r="N419" t="n">
        <v>5</v>
      </c>
      <c r="O419" t="inlineStr">
        <is>
          <t>PL-041</t>
        </is>
      </c>
      <c r="P419" t="inlineStr">
        <is>
          <t>SRC-288</t>
        </is>
      </c>
      <c r="Q419" t="inlineStr">
        <is>
          <t>Nikon USA — A Basic Look at the Basics of Exposure</t>
        </is>
      </c>
      <c r="R419" t="inlineStr">
        <is>
          <t>https://www.nikonusa.com/learn-and-explore/c/tips-and-techniques/a-basic-look-at-the-basics-of-exposure</t>
        </is>
      </c>
      <c r="S419" t="n">
        <v>5</v>
      </c>
      <c r="T419" t="inlineStr">
        <is>
          <t>Флагман PL-041: экспозиция — это доза света, а не только яркость готового JPG.</t>
        </is>
      </c>
      <c r="U419" t="inlineStr">
        <is>
          <t>Золотой свет проходит через диафрагму и затвор к плёнке; рядом треугольник aperture/shutter/ISO.</t>
        </is>
      </c>
      <c r="V419" t="inlineStr">
        <is>
          <t>#PL041 #exposure #aperture #shutter #ISO</t>
        </is>
      </c>
      <c r="Y419" t="inlineStr">
        <is>
          <t>Экспозиция / базовое определение</t>
        </is>
      </c>
      <c r="Z419" t="inlineStr">
        <is>
          <t>Ключевой исторический узел</t>
        </is>
      </c>
      <c r="AA419" t="inlineStr">
        <is>
          <t>да</t>
        </is>
      </c>
    </row>
    <row r="420" ht="17" customHeight="1" s="72">
      <c r="A420" t="inlineStr">
        <is>
          <t>PL-HIST-0419</t>
        </is>
      </c>
      <c r="B420" t="inlineStr">
        <is>
          <t>сегодня</t>
        </is>
      </c>
      <c r="C420" t="inlineStr">
        <is>
          <t>примерно</t>
        </is>
      </c>
      <c r="D420" t="inlineStr">
        <is>
          <t>глобально</t>
        </is>
      </c>
      <c r="E420" t="inlineStr">
        <is>
          <t>объектив / диафрагма</t>
        </is>
      </c>
      <c r="F420" t="inlineStr">
        <is>
          <t>фотограф</t>
        </is>
      </c>
      <c r="G420" t="inlineStr">
        <is>
          <t>Диафрагма регулирует размер отверстия: шире отверстие — больше света за то же время; уже отверстие — меньше света.</t>
        </is>
      </c>
      <c r="H420" t="inlineStr">
        <is>
          <t>Оптические инструменты</t>
        </is>
      </c>
      <c r="I420" t="inlineStr">
        <is>
          <t>Aperture as light flow</t>
        </is>
      </c>
      <c r="J420" t="inlineStr">
        <is>
          <t>Экспозиция связывается с оптикой: объектив не только рисует, но и дозирует свет.</t>
        </is>
      </c>
      <c r="K420" t="inlineStr">
        <is>
          <t>Экспозиция</t>
        </is>
      </c>
      <c r="L420" t="inlineStr">
        <is>
          <t>Выдержка как время</t>
        </is>
      </c>
      <c r="M420" t="inlineStr">
        <is>
          <t>Главная линия / диафрагма</t>
        </is>
      </c>
      <c r="N420" t="n">
        <v>5</v>
      </c>
      <c r="O420" t="inlineStr">
        <is>
          <t>PL-041</t>
        </is>
      </c>
      <c r="P420" t="inlineStr">
        <is>
          <t>SRC-282</t>
        </is>
      </c>
      <c r="Q420" t="inlineStr">
        <is>
          <t>Nikon — What is aperture in photography?</t>
        </is>
      </c>
      <c r="R420" t="inlineStr">
        <is>
          <t>https://www.nikon.nl/nl_NL/learn-and-explore/magazine/tips-and-tricks/what-is-aperture</t>
        </is>
      </c>
      <c r="S420" t="n">
        <v>5</v>
      </c>
      <c r="T420" t="inlineStr">
        <is>
          <t>Это подготовка к PL-042 «Диафрагма как окно».</t>
        </is>
      </c>
      <c r="U420" t="inlineStr">
        <is>
          <t>Окно/диафрагма: большое отверстие и маленькое отверстие, поток света разной ширины.</t>
        </is>
      </c>
      <c r="V420" t="inlineStr">
        <is>
          <t>#PL041 #aperture #lightflow #fstop</t>
        </is>
      </c>
      <c r="Y420" t="inlineStr">
        <is>
          <t>Экспозиция / диафрагма</t>
        </is>
      </c>
      <c r="Z420" t="inlineStr">
        <is>
          <t>Технология / процесс</t>
        </is>
      </c>
    </row>
    <row r="421" ht="17" customHeight="1" s="72">
      <c r="A421" t="inlineStr">
        <is>
          <t>PL-HIST-0420</t>
        </is>
      </c>
      <c r="B421" t="inlineStr">
        <is>
          <t>сегодня</t>
        </is>
      </c>
      <c r="C421" t="inlineStr">
        <is>
          <t>примерно</t>
        </is>
      </c>
      <c r="D421" t="inlineStr">
        <is>
          <t>глобально</t>
        </is>
      </c>
      <c r="E421" t="inlineStr">
        <is>
          <t>затвор / камера</t>
        </is>
      </c>
      <c r="F421" t="inlineStr">
        <is>
          <t>фотограф</t>
        </is>
      </c>
      <c r="G421" t="inlineStr">
        <is>
          <t>Выдержка регулирует время: сколько секунд или долей секунды свет попадает на плёнку или сенсор.</t>
        </is>
      </c>
      <c r="H421" t="inlineStr">
        <is>
          <t>Оптические инструменты</t>
        </is>
      </c>
      <c r="I421" t="inlineStr">
        <is>
          <t>Shutter speed as time</t>
        </is>
      </c>
      <c r="J421" t="inlineStr">
        <is>
          <t>Экспозиция становится временем действия света: короткая выдержка замораживает, длинная накапливает свет и движение.</t>
        </is>
      </c>
      <c r="K421" t="inlineStr">
        <is>
          <t>Диафрагма как поток света</t>
        </is>
      </c>
      <c r="L421" t="inlineStr">
        <is>
          <t>ISO как чувствительность</t>
        </is>
      </c>
      <c r="M421" t="inlineStr">
        <is>
          <t>Главная линия / выдержка</t>
        </is>
      </c>
      <c r="N421" t="n">
        <v>5</v>
      </c>
      <c r="O421" t="inlineStr">
        <is>
          <t>PL-041</t>
        </is>
      </c>
      <c r="P421" t="inlineStr">
        <is>
          <t>SRC-291</t>
        </is>
      </c>
      <c r="Q421" t="inlineStr">
        <is>
          <t>B&amp;H eXplora — Exposure 101: An Intro to Exposure</t>
        </is>
      </c>
      <c r="R421" t="inlineStr">
        <is>
          <t>https://www.bhphotovideo.com/explora/photography/tips-and-solutions/exposure-101-an-intro-to-exposure</t>
        </is>
      </c>
      <c r="S421" t="n">
        <v>5</v>
      </c>
      <c r="T421" t="inlineStr">
        <is>
          <t>Это подготовка к PL-043 «Выдержка как время».</t>
        </is>
      </c>
      <c r="U421" t="inlineStr">
        <is>
          <t>Шторки затвора открыты коротко и долго; поток света разной длительности.</t>
        </is>
      </c>
      <c r="V421" t="inlineStr">
        <is>
          <t>#PL041 #shutterspeed #time #motion</t>
        </is>
      </c>
      <c r="Y421" t="inlineStr">
        <is>
          <t>Экспозиция / выдержка</t>
        </is>
      </c>
      <c r="Z421" t="inlineStr">
        <is>
          <t>Технология / процесс</t>
        </is>
      </c>
    </row>
    <row r="422" ht="17" customHeight="1" s="72">
      <c r="A422" t="inlineStr">
        <is>
          <t>PL-HIST-0421</t>
        </is>
      </c>
      <c r="B422" t="inlineStr">
        <is>
          <t>сегодня</t>
        </is>
      </c>
      <c r="C422" t="inlineStr">
        <is>
          <t>примерно</t>
        </is>
      </c>
      <c r="D422" t="inlineStr">
        <is>
          <t>глобально</t>
        </is>
      </c>
      <c r="E422" t="inlineStr">
        <is>
          <t>плёнка / сенсор</t>
        </is>
      </c>
      <c r="F422" t="inlineStr">
        <is>
          <t>фотограф</t>
        </is>
      </c>
      <c r="G422" t="inlineStr">
        <is>
          <t>ISO описывает чувствительность материала или усиление сигнала: более высокое ISO требует меньше света для видимого результата, но влияет на зерно или шум.</t>
        </is>
      </c>
      <c r="H422" t="inlineStr">
        <is>
          <t>Оптические инструменты</t>
        </is>
      </c>
      <c r="I422" t="inlineStr">
        <is>
          <t>ISO in exposure</t>
        </is>
      </c>
      <c r="J422" t="inlineStr">
        <is>
          <t>Экспозиция связывает материал с камерой: одна сцена может требовать разной пары диафрагмы и выдержки в зависимости от ISO.</t>
        </is>
      </c>
      <c r="K422" t="inlineStr">
        <is>
          <t>Выдержка как время</t>
        </is>
      </c>
      <c r="L422" t="inlineStr">
        <is>
          <t>Экспозиционный треугольник</t>
        </is>
      </c>
      <c r="M422" t="inlineStr">
        <is>
          <t>Главная линия / ISO</t>
        </is>
      </c>
      <c r="N422" t="n">
        <v>5</v>
      </c>
      <c r="O422" t="inlineStr">
        <is>
          <t>PL-041</t>
        </is>
      </c>
      <c r="P422" t="inlineStr">
        <is>
          <t>SRC-292</t>
        </is>
      </c>
      <c r="Q422" t="inlineStr">
        <is>
          <t>Nikon USA — Understanding ISO Sensitivity</t>
        </is>
      </c>
      <c r="R422" t="inlineStr">
        <is>
          <t>https://www.nikonusa.com/learn-and-explore/c/tips-and-techniques/understanding-iso-sensitivity</t>
        </is>
      </c>
      <c r="S422" t="n">
        <v>5</v>
      </c>
      <c r="T422" t="inlineStr">
        <is>
          <t>Связать с PL-018, где ISO уже разобран как плёночная чувствительность.</t>
        </is>
      </c>
      <c r="U422" t="inlineStr">
        <is>
          <t>Три коробки плёнки ISO 100/400/1600 и шкала требуемого света.</t>
        </is>
      </c>
      <c r="V422" t="inlineStr">
        <is>
          <t>#PL041 #ISO #filmSpeed #sensitivity</t>
        </is>
      </c>
      <c r="Y422" t="inlineStr">
        <is>
          <t>Экспозиция / ISO</t>
        </is>
      </c>
      <c r="Z422" t="inlineStr">
        <is>
          <t>Технология / процесс</t>
        </is>
      </c>
    </row>
    <row r="423" ht="17" customHeight="1" s="72">
      <c r="A423" t="inlineStr">
        <is>
          <t>PL-HIST-0422</t>
        </is>
      </c>
      <c r="B423" t="inlineStr">
        <is>
          <t>сегодня</t>
        </is>
      </c>
      <c r="C423" t="inlineStr">
        <is>
          <t>примерно</t>
        </is>
      </c>
      <c r="D423" t="inlineStr">
        <is>
          <t>глобально</t>
        </is>
      </c>
      <c r="E423" t="inlineStr">
        <is>
          <t>ручной режим / обучение</t>
        </is>
      </c>
      <c r="F423" t="inlineStr">
        <is>
          <t>фотограф</t>
        </is>
      </c>
      <c r="G423" t="inlineStr">
        <is>
          <t>Экспозиционный треугольник — это удобная учебная модель: диафрагма, выдержка и ISO связаны, и изменение одного параметра требует компенсации другим.</t>
        </is>
      </c>
      <c r="H423" t="inlineStr">
        <is>
          <t>Оптические инструменты</t>
        </is>
      </c>
      <c r="I423" t="inlineStr">
        <is>
          <t>Exposure triangle</t>
        </is>
      </c>
      <c r="J423" t="inlineStr">
        <is>
          <t>Фотограф перестаёт крутить настройки вслепую и начинает видеть баланс между светом, движением, глубиной резкости и качеством изображения.</t>
        </is>
      </c>
      <c r="K423" t="inlineStr">
        <is>
          <t>ISO как чувствительность</t>
        </is>
      </c>
      <c r="L423" t="inlineStr">
        <is>
          <t>Эквивалентные экспозиции</t>
        </is>
      </c>
      <c r="M423" t="inlineStr">
        <is>
          <t>Главная линия / учебная модель</t>
        </is>
      </c>
      <c r="N423" t="n">
        <v>5</v>
      </c>
      <c r="O423" t="inlineStr">
        <is>
          <t>PL-041</t>
        </is>
      </c>
      <c r="P423" t="inlineStr">
        <is>
          <t>SRC-289</t>
        </is>
      </c>
      <c r="Q423" t="inlineStr">
        <is>
          <t>Nikon — Mastering the Exposure Triangle</t>
        </is>
      </c>
      <c r="R423" t="inlineStr">
        <is>
          <t>https://www.nikon.nl/nl_NL/learn-and-explore/magazine/tips-and-tricks/understanding-the-exposure-triangle</t>
        </is>
      </c>
      <c r="S423" t="n">
        <v>5</v>
      </c>
      <c r="T423" t="inlineStr">
        <is>
          <t>Важно: треугольник — модель обучения, а не самостоятельный физический объект.</t>
        </is>
      </c>
      <c r="U423" t="inlineStr">
        <is>
          <t>Треугольник: aperture, shutter, ISO; внутри — кадр с правильной экспозицией.</t>
        </is>
      </c>
      <c r="V423" t="inlineStr">
        <is>
          <t>#PL041 #exposuretriangle #manualmode #balance</t>
        </is>
      </c>
      <c r="Y423" t="inlineStr">
        <is>
          <t>Экспозиция / треугольник</t>
        </is>
      </c>
      <c r="Z423" t="inlineStr">
        <is>
          <t>Технология / процесс</t>
        </is>
      </c>
    </row>
    <row r="424" ht="17" customHeight="1" s="72">
      <c r="A424" t="inlineStr">
        <is>
          <t>PL-HIST-0423</t>
        </is>
      </c>
      <c r="B424" t="inlineStr">
        <is>
          <t>сегодня</t>
        </is>
      </c>
      <c r="C424" t="inlineStr">
        <is>
          <t>примерно</t>
        </is>
      </c>
      <c r="D424" t="inlineStr">
        <is>
          <t>глобально</t>
        </is>
      </c>
      <c r="E424" t="inlineStr">
        <is>
          <t>ручной режим / экспонометр</t>
        </is>
      </c>
      <c r="F424" t="inlineStr">
        <is>
          <t>фотограф</t>
        </is>
      </c>
      <c r="G424" t="inlineStr">
        <is>
          <t>Разные пары настроек могут дать одинаковую яркость: например, открыли диафрагму на стоп — укоротили выдержку на стоп.</t>
        </is>
      </c>
      <c r="H424" t="inlineStr">
        <is>
          <t>Оптические инструменты</t>
        </is>
      </c>
      <c r="I424" t="inlineStr">
        <is>
          <t>Equivalent exposure</t>
        </is>
      </c>
      <c r="J424" t="inlineStr">
        <is>
          <t>Экспозиция перестаёт быть одной «правильной настройкой»: у фотографа появляются варианты под движение, ГРИП и шум/зерно.</t>
        </is>
      </c>
      <c r="K424" t="inlineStr">
        <is>
          <t>Экспозиционный треугольник</t>
        </is>
      </c>
      <c r="L424" t="inlineStr">
        <is>
          <t>Недодержка</t>
        </is>
      </c>
      <c r="M424" t="inlineStr">
        <is>
          <t>Главная линия / эквивалентность</t>
        </is>
      </c>
      <c r="N424" t="n">
        <v>5</v>
      </c>
      <c r="O424" t="inlineStr">
        <is>
          <t>PL-041</t>
        </is>
      </c>
      <c r="P424" t="inlineStr">
        <is>
          <t>SRC-287</t>
        </is>
      </c>
      <c r="Q424" t="inlineStr">
        <is>
          <t>Cambridge in Colour — Camera Exposure: Aperture, ISO &amp; Shutter Speed</t>
        </is>
      </c>
      <c r="R424" t="inlineStr">
        <is>
          <t>https://www.cambridgeincolour.com/tutorials/camera-exposure.htm</t>
        </is>
      </c>
      <c r="S424" t="n">
        <v>5</v>
      </c>
      <c r="T424" t="inlineStr">
        <is>
          <t>Практический смысл: f/2.8 и 1/500 может быть так же светло, как f/4 и 1/250, но кадр будет отличаться.</t>
        </is>
      </c>
      <c r="U424" t="inlineStr">
        <is>
          <t>Таблица пар: f/2.8 1/500, f/4 1/250, f/5.6 1/125; яркость одинаковая, эффект разный.</t>
        </is>
      </c>
      <c r="V424" t="inlineStr">
        <is>
          <t>#PL041 #equivalentexposure #stops #settings</t>
        </is>
      </c>
      <c r="Y424" t="inlineStr">
        <is>
          <t>Экспозиция / эквивалентные пары</t>
        </is>
      </c>
      <c r="Z424" t="inlineStr">
        <is>
          <t>Терминология / язык</t>
        </is>
      </c>
    </row>
    <row r="425" ht="17" customHeight="1" s="72">
      <c r="A425" t="inlineStr">
        <is>
          <t>PL-HIST-0424</t>
        </is>
      </c>
      <c r="B425" t="inlineStr">
        <is>
          <t>сегодня</t>
        </is>
      </c>
      <c r="C425" t="inlineStr">
        <is>
          <t>примерно</t>
        </is>
      </c>
      <c r="D425" t="inlineStr">
        <is>
          <t>глобально</t>
        </is>
      </c>
      <c r="E425" t="inlineStr">
        <is>
          <t>тени / света</t>
        </is>
      </c>
      <c r="F425" t="inlineStr">
        <is>
          <t>фотограф</t>
        </is>
      </c>
      <c r="G425" t="inlineStr">
        <is>
          <t>Недодержка возникает, когда света недостаточно: тени проваливаются, детали исчезают, а на плёнке и цифре последствия выглядят по-разному.</t>
        </is>
      </c>
      <c r="H425" t="inlineStr">
        <is>
          <t>Оптические инструменты</t>
        </is>
      </c>
      <c r="I425" t="inlineStr">
        <is>
          <t>Underexposure</t>
        </is>
      </c>
      <c r="J425" t="inlineStr">
        <is>
          <t>Фотограф учится видеть не просто тёмный кадр, а потерю информации в важных зонах изображения.</t>
        </is>
      </c>
      <c r="K425" t="inlineStr">
        <is>
          <t>Эквивалентные экспозиции</t>
        </is>
      </c>
      <c r="L425" t="inlineStr">
        <is>
          <t>Передержка</t>
        </is>
      </c>
      <c r="M425" t="inlineStr">
        <is>
          <t>Главная линия / ошибка экспозиции</t>
        </is>
      </c>
      <c r="N425" t="n">
        <v>5</v>
      </c>
      <c r="O425" t="inlineStr">
        <is>
          <t>PL-041</t>
        </is>
      </c>
      <c r="P425" t="inlineStr">
        <is>
          <t>SRC-287</t>
        </is>
      </c>
      <c r="Q425" t="inlineStr">
        <is>
          <t>Cambridge in Colour — Camera Exposure: Aperture, ISO &amp; Shutter Speed</t>
        </is>
      </c>
      <c r="R425" t="inlineStr">
        <is>
          <t>https://www.cambridgeincolour.com/tutorials/camera-exposure.htm</t>
        </is>
      </c>
      <c r="S425" t="n">
        <v>5</v>
      </c>
      <c r="T425" t="inlineStr">
        <is>
          <t>Подготовка к PL-047.</t>
        </is>
      </c>
      <c r="U425" t="inlineStr">
        <is>
          <t>Один кадр: темная фигура без деталей; рядом гистограмма/шкала тени.</t>
        </is>
      </c>
      <c r="V425" t="inlineStr">
        <is>
          <t>#PL041 #underexposure #shadows #detail</t>
        </is>
      </c>
      <c r="Y425" t="inlineStr">
        <is>
          <t>Экспозиция / недодержка</t>
        </is>
      </c>
      <c r="Z425" t="inlineStr">
        <is>
          <t>Технология / процесс</t>
        </is>
      </c>
    </row>
    <row r="426" ht="17" customHeight="1" s="72">
      <c r="A426" t="inlineStr">
        <is>
          <t>PL-HIST-0425</t>
        </is>
      </c>
      <c r="B426" t="inlineStr">
        <is>
          <t>сегодня</t>
        </is>
      </c>
      <c r="C426" t="inlineStr">
        <is>
          <t>примерно</t>
        </is>
      </c>
      <c r="D426" t="inlineStr">
        <is>
          <t>глобально</t>
        </is>
      </c>
      <c r="E426" t="inlineStr">
        <is>
          <t>небо / светлые зоны</t>
        </is>
      </c>
      <c r="F426" t="inlineStr">
        <is>
          <t>фотограф</t>
        </is>
      </c>
      <c r="G426" t="inlineStr">
        <is>
          <t>Передержка возникает, когда света слишком много: светлые области могут потерять фактуру и стать пустыми белыми пятнами.</t>
        </is>
      </c>
      <c r="H426" t="inlineStr">
        <is>
          <t>Оптические инструменты</t>
        </is>
      </c>
      <c r="I426" t="inlineStr">
        <is>
          <t>Overexposure</t>
        </is>
      </c>
      <c r="J426" t="inlineStr">
        <is>
          <t>Фотограф учится защищать важные света и понимать, где допустим творческий пересвет, а где потеря информации.</t>
        </is>
      </c>
      <c r="K426" t="inlineStr">
        <is>
          <t>Недодержка</t>
        </is>
      </c>
      <c r="L426" t="inlineStr">
        <is>
          <t>Экспозиция как выбор</t>
        </is>
      </c>
      <c r="M426" t="inlineStr">
        <is>
          <t>Главная линия / ошибка экспозиции</t>
        </is>
      </c>
      <c r="N426" t="n">
        <v>5</v>
      </c>
      <c r="O426" t="inlineStr">
        <is>
          <t>PL-041</t>
        </is>
      </c>
      <c r="P426" t="inlineStr">
        <is>
          <t>SRC-287</t>
        </is>
      </c>
      <c r="Q426" t="inlineStr">
        <is>
          <t>Cambridge in Colour — Camera Exposure: Aperture, ISO &amp; Shutter Speed</t>
        </is>
      </c>
      <c r="R426" t="inlineStr">
        <is>
          <t>https://www.cambridgeincolour.com/tutorials/camera-exposure.htm</t>
        </is>
      </c>
      <c r="S426" t="n">
        <v>5</v>
      </c>
      <c r="T426" t="inlineStr">
        <is>
          <t>Подготовка к PL-048.</t>
        </is>
      </c>
      <c r="U426" t="inlineStr">
        <is>
          <t>Светлое окно/небо без деталей; рядом предупреждение highlight clipping.</t>
        </is>
      </c>
      <c r="V426" t="inlineStr">
        <is>
          <t>#PL041 #overexposure #highlights #clipping</t>
        </is>
      </c>
      <c r="Y426" t="inlineStr">
        <is>
          <t>Экспозиция / передержка</t>
        </is>
      </c>
      <c r="Z426" t="inlineStr">
        <is>
          <t>Технология / процесс</t>
        </is>
      </c>
    </row>
    <row r="427" ht="17" customHeight="1" s="72">
      <c r="A427" t="inlineStr">
        <is>
          <t>PL-HIST-0426</t>
        </is>
      </c>
      <c r="B427" t="inlineStr">
        <is>
          <t>сегодня</t>
        </is>
      </c>
      <c r="C427" t="inlineStr">
        <is>
          <t>примерно</t>
        </is>
      </c>
      <c r="D427" t="inlineStr">
        <is>
          <t>глобально</t>
        </is>
      </c>
      <c r="E427" t="inlineStr">
        <is>
          <t>реальная сцена</t>
        </is>
      </c>
      <c r="F427" t="inlineStr">
        <is>
          <t>фотограф</t>
        </is>
      </c>
      <c r="G427" t="inlineStr">
        <is>
          <t>Технически «правильная» экспозиция не всегда равна авторски нужной: фотограф может сознательно сделать кадр темнее или светлее ради настроения.</t>
        </is>
      </c>
      <c r="H427" t="inlineStr">
        <is>
          <t>Оптические инструменты</t>
        </is>
      </c>
      <c r="I427" t="inlineStr">
        <is>
          <t>Exposure as creative choice</t>
        </is>
      </c>
      <c r="J427" t="inlineStr">
        <is>
          <t>Экспозиция становится не только измерением, но и решением: что сохранить, что скрыть и какую эмоцию дать зрителю.</t>
        </is>
      </c>
      <c r="K427" t="inlineStr">
        <is>
          <t>Передержка</t>
        </is>
      </c>
      <c r="L427" t="inlineStr">
        <is>
          <t>Экспонометр</t>
        </is>
      </c>
      <c r="M427" t="inlineStr">
        <is>
          <t>Главная линия / авторский выбор</t>
        </is>
      </c>
      <c r="N427" t="n">
        <v>5</v>
      </c>
      <c r="O427" t="inlineStr">
        <is>
          <t>PL-041</t>
        </is>
      </c>
      <c r="P427" t="inlineStr">
        <is>
          <t>SRC-291</t>
        </is>
      </c>
      <c r="Q427" t="inlineStr">
        <is>
          <t>B&amp;H eXplora — Exposure 101: An Intro to Exposure</t>
        </is>
      </c>
      <c r="R427" t="inlineStr">
        <is>
          <t>https://www.bhphotovideo.com/explora/photography/tips-and-solutions/exposure-101-an-intro-to-exposure</t>
        </is>
      </c>
      <c r="S427" t="n">
        <v>5</v>
      </c>
      <c r="T427" t="inlineStr">
        <is>
          <t>Очень важно для PHOTO LAB: экспозиция — не экзамен на средний серый, а способ управления смыслом.</t>
        </is>
      </c>
      <c r="U427" t="inlineStr">
        <is>
          <t>Два варианта одной сцены: низкий ключ и светлая экспозиция; подпись «оба могут быть осознанными».</t>
        </is>
      </c>
      <c r="V427" t="inlineStr">
        <is>
          <t>#PL041 #creativeexposure #mood #authorchoice</t>
        </is>
      </c>
      <c r="Y427" t="inlineStr">
        <is>
          <t>Экспозиция / авторский выбор</t>
        </is>
      </c>
      <c r="Z427" t="inlineStr">
        <is>
          <t>Применение / жанр</t>
        </is>
      </c>
    </row>
    <row r="428" ht="17" customHeight="1" s="72">
      <c r="A428" t="inlineStr">
        <is>
          <t>PL-HIST-0427</t>
        </is>
      </c>
      <c r="B428" t="inlineStr">
        <is>
          <t>сегодня</t>
        </is>
      </c>
      <c r="C428" t="inlineStr">
        <is>
          <t>примерно</t>
        </is>
      </c>
      <c r="D428" t="inlineStr">
        <is>
          <t>глобально</t>
        </is>
      </c>
      <c r="E428" t="inlineStr">
        <is>
          <t>экспонометр / камера</t>
        </is>
      </c>
      <c r="F428" t="inlineStr">
        <is>
          <t>фотограф</t>
        </is>
      </c>
      <c r="G428" t="inlineStr">
        <is>
          <t>Экспонометр помогает измерить свет и предложить настройки, но он не знает замысел фотографа и может ошибаться на очень светлых или очень тёмных сценах.</t>
        </is>
      </c>
      <c r="H428" t="inlineStr">
        <is>
          <t>Оптические инструменты</t>
        </is>
      </c>
      <c r="I428" t="inlineStr">
        <is>
          <t>Light meter / metering</t>
        </is>
      </c>
      <c r="J428" t="inlineStr">
        <is>
          <t>Фотограф учится использовать прибор как помощника, а не как хозяина кадра.</t>
        </is>
      </c>
      <c r="K428" t="inlineStr">
        <is>
          <t>Экспозиция как выбор</t>
        </is>
      </c>
      <c r="L428" t="inlineStr">
        <is>
          <t>Практика экспозиции</t>
        </is>
      </c>
      <c r="M428" t="inlineStr">
        <is>
          <t>Главная линия / измерение света</t>
        </is>
      </c>
      <c r="N428" t="n">
        <v>5</v>
      </c>
      <c r="O428" t="inlineStr">
        <is>
          <t>PL-041</t>
        </is>
      </c>
      <c r="P428" t="inlineStr">
        <is>
          <t>SRC-287</t>
        </is>
      </c>
      <c r="Q428" t="inlineStr">
        <is>
          <t>Cambridge in Colour — Camera Exposure: Aperture, ISO &amp; Shutter Speed</t>
        </is>
      </c>
      <c r="R428" t="inlineStr">
        <is>
          <t>https://www.cambridgeincolour.com/tutorials/camera-exposure.htm</t>
        </is>
      </c>
      <c r="S428" t="n">
        <v>5</v>
      </c>
      <c r="T428" t="inlineStr">
        <is>
          <t>Мост к PL-049 «Экспонометр».</t>
        </is>
      </c>
      <c r="U428" t="inlineStr">
        <is>
          <t>Экспонометр показывает 0 EV, но сцена с белым снегом требует коррекции.</t>
        </is>
      </c>
      <c r="V428" t="inlineStr">
        <is>
          <t>#PL041 #metering #lightmeter #exposurecompensation</t>
        </is>
      </c>
      <c r="Y428" t="inlineStr">
        <is>
          <t>Экспозиция / экспонометр</t>
        </is>
      </c>
      <c r="Z428" t="inlineStr">
        <is>
          <t>Инструмент / устройство</t>
        </is>
      </c>
    </row>
    <row r="429" ht="17" customHeight="1" s="72">
      <c r="A429" t="inlineStr">
        <is>
          <t>PL-HIST-0428</t>
        </is>
      </c>
      <c r="B429" t="inlineStr">
        <is>
          <t>сегодня</t>
        </is>
      </c>
      <c r="C429" t="inlineStr">
        <is>
          <t>примерно</t>
        </is>
      </c>
      <c r="D429" t="inlineStr">
        <is>
          <t>глобально</t>
        </is>
      </c>
      <c r="E429" t="inlineStr">
        <is>
          <t>PHOTO LAB / модуль экспозиции</t>
        </is>
      </c>
      <c r="F429" t="inlineStr">
        <is>
          <t>PHOTO LAB by VF</t>
        </is>
      </c>
      <c r="G429" t="inlineStr">
        <is>
          <t>Итог PL-041: экспозиция — это доза света и авторский выбор. Диафрагма, выдержка и ISO управляют яркостью, движением, глубиной резкости и качеством изображения.</t>
        </is>
      </c>
      <c r="H429" t="inlineStr">
        <is>
          <t>Оптические инструменты</t>
        </is>
      </c>
      <c r="I429" t="inlineStr">
        <is>
          <t>Exposure as light decision</t>
        </is>
      </c>
      <c r="J429" t="inlineStr">
        <is>
          <t>Курс входит в техническое ядро фотографии: теперь каждый параметр будет разобран отдельно и связан с практикой.</t>
        </is>
      </c>
      <c r="K429" t="inlineStr">
        <is>
          <t>Практика экспозиции</t>
        </is>
      </c>
      <c r="L429" t="inlineStr">
        <is>
          <t>PL-042 — диафрагма как окно</t>
        </is>
      </c>
      <c r="M429" t="inlineStr">
        <is>
          <t>Связь / переход</t>
        </is>
      </c>
      <c r="N429" t="n">
        <v>5</v>
      </c>
      <c r="O429" t="inlineStr">
        <is>
          <t>PL-041</t>
        </is>
      </c>
      <c r="P429" t="inlineStr">
        <is>
          <t>SRC-288</t>
        </is>
      </c>
      <c r="Q429" t="inlineStr">
        <is>
          <t>Nikon USA — A Basic Look at the Basics of Exposure</t>
        </is>
      </c>
      <c r="R429" t="inlineStr">
        <is>
          <t>https://www.nikonusa.com/learn-and-explore/c/tips-and-techniques/a-basic-look-at-the-basics-of-exposure</t>
        </is>
      </c>
      <c r="S429" t="n">
        <v>5</v>
      </c>
      <c r="T429" t="inlineStr">
        <is>
          <t>Главная мысль: экспозиция — это не «сделать нормально», а решить, сколько света нужно именно этому кадру.</t>
        </is>
      </c>
      <c r="U429" t="inlineStr">
        <is>
          <t>Три ручки управления: aperture, shutter, ISO; в центре проявляется финальный кадр.</t>
        </is>
      </c>
      <c r="V429" t="inlineStr">
        <is>
          <t>#PL041 #bridge #aperture #shutter #ISO #PhotoLab</t>
        </is>
      </c>
      <c r="Y429" t="inlineStr">
        <is>
          <t>Экспозиция / итог и мост</t>
        </is>
      </c>
      <c r="Z429" t="inlineStr">
        <is>
          <t>Связь / переход</t>
        </is>
      </c>
    </row>
    <row r="430" ht="17" customHeight="1" s="72">
      <c r="A430" t="inlineStr">
        <is>
          <t>PL-HIST-0429</t>
        </is>
      </c>
      <c r="B430" t="inlineStr">
        <is>
          <t>сегодня</t>
        </is>
      </c>
      <c r="C430" t="inlineStr">
        <is>
          <t>примерно</t>
        </is>
      </c>
      <c r="D430" t="inlineStr">
        <is>
          <t>глобально</t>
        </is>
      </c>
      <c r="E430" t="inlineStr">
        <is>
          <t>объектив / диафрагма</t>
        </is>
      </c>
      <c r="F430" t="inlineStr">
        <is>
          <t>фотограф</t>
        </is>
      </c>
      <c r="G430" t="inlineStr">
        <is>
          <t>До ирисовой диафрагмы фотографы меняли количество света вручную: в объектив вставлялась тонкая металлическая пластина с одним просверленным отверстием — «стоп Уотерхауса» (Waterhouse stop, придуман в 1858 году). Разные отверстия давали разную яркость и глубину резкости, но менять их можно было только вручную, вынимая одну пластину и вставляя другую через щель в оправе объектива.</t>
        </is>
      </c>
      <c r="H430" t="inlineStr">
        <is>
          <t>Оптические инструменты</t>
        </is>
      </c>
      <c r="I430" t="inlineStr">
        <is>
          <t>Waterhouse stop (interchangeable aperture plate, 1858)</t>
        </is>
      </c>
      <c r="J430" t="inlineStr">
        <is>
          <t>Диафрагма перестаёт быть просто «плавным окном»: до появления ирисового механизма с лепестками (примерно с 1900-х) фотографы буквально носили с собой набор металлических пластин с разными отверстиями и меняли их между кадрами вручную.</t>
        </is>
      </c>
      <c r="K430" t="inlineStr">
        <is>
          <t>PL-041 — базовая экспозиция</t>
        </is>
      </c>
      <c r="L430" t="inlineStr">
        <is>
          <t>f-number / число f</t>
        </is>
      </c>
      <c r="M430" t="inlineStr">
        <is>
          <t>Главная линия / диафрагма</t>
        </is>
      </c>
      <c r="N430" t="n">
        <v>5</v>
      </c>
      <c r="O430" t="inlineStr">
        <is>
          <t>PL-042</t>
        </is>
      </c>
      <c r="P430" t="inlineStr">
        <is>
          <t>SRC-312</t>
        </is>
      </c>
      <c r="Q430" t="inlineStr">
        <is>
          <t>Wikipedia — Waterhouse stop</t>
        </is>
      </c>
      <c r="R430" t="inlineStr">
        <is>
          <t>https://en.wikipedia.org/wiki/Waterhouse_stop</t>
        </is>
      </c>
      <c r="S430" t="n">
        <v>5</v>
      </c>
      <c r="T430" t="inlineStr">
        <is>
          <t>Флагман PL-042: не повторять «диафрагма — регулируемое окно» дословно (см. PL-021 PL-HIST-0213, PL-039 PL-HIST-0407) — показать, что современное плавное кольцо с лепестками появилось не сразу: раньше диафрагму меняли вручную, вставляя разные металлические пластины.</t>
        </is>
      </c>
      <c r="U430" t="inlineStr">
        <is>
          <t>Рука вставляет тонкую металлическую пластину с отверстием в щель объектива; рядом — набор из 4–5 таких пластин разного диаметра.</t>
        </is>
      </c>
      <c r="V430" t="inlineStr">
        <is>
          <t>#PL042 #aperture #waterhousestop #history #diaphragm</t>
        </is>
      </c>
      <c r="Y430" t="inlineStr">
        <is>
          <t>Диафрагма / окно света</t>
        </is>
      </c>
      <c r="Z430" t="inlineStr">
        <is>
          <t>Ключевой исторический узел</t>
        </is>
      </c>
      <c r="AA430" t="inlineStr">
        <is>
          <t>да</t>
        </is>
      </c>
    </row>
    <row r="431" ht="17" customHeight="1" s="72">
      <c r="A431" t="inlineStr">
        <is>
          <t>PL-HIST-0430</t>
        </is>
      </c>
      <c r="B431" t="inlineStr">
        <is>
          <t>сегодня</t>
        </is>
      </c>
      <c r="C431" t="inlineStr">
        <is>
          <t>примерно</t>
        </is>
      </c>
      <c r="D431" t="inlineStr">
        <is>
          <t>глобально</t>
        </is>
      </c>
      <c r="E431" t="inlineStr">
        <is>
          <t>объектив / шкала f</t>
        </is>
      </c>
      <c r="F431" t="inlineStr">
        <is>
          <t>фотограф</t>
        </is>
      </c>
      <c r="G431" t="inlineStr">
        <is>
          <t>Число f работает наоборот интуиции: маленькое число f означает большое отверстие, а большое число f — маленькое отверстие.</t>
        </is>
      </c>
      <c r="H431" t="inlineStr">
        <is>
          <t>Оптические инструменты</t>
        </is>
      </c>
      <c r="I431" t="inlineStr">
        <is>
          <t>F-number logic</t>
        </is>
      </c>
      <c r="J431" t="inlineStr">
        <is>
          <t>Курс снимает главный страх новичка: f/2.8 светлее f/8 не потому, что число больше, а потому что отверстие шире.</t>
        </is>
      </c>
      <c r="K431" t="inlineStr">
        <is>
          <t>Диафрагма как окно</t>
        </is>
      </c>
      <c r="L431" t="inlineStr">
        <is>
          <t>Полные стопы диафрагмы</t>
        </is>
      </c>
      <c r="M431" t="inlineStr">
        <is>
          <t>Главная линия / терминология</t>
        </is>
      </c>
      <c r="N431" t="n">
        <v>5</v>
      </c>
      <c r="O431" t="inlineStr">
        <is>
          <t>PL-042</t>
        </is>
      </c>
      <c r="P431" t="inlineStr">
        <is>
          <t>SRC-297</t>
        </is>
      </c>
      <c r="Q431" t="inlineStr">
        <is>
          <t>Canon U.S.A. — What Is Aperture Photography?</t>
        </is>
      </c>
      <c r="R431" t="inlineStr">
        <is>
          <t>https://www.usa.canon.com/learning/training-articles/training-articles-list/what-is-aperture</t>
        </is>
      </c>
      <c r="S431" t="n">
        <v>5</v>
      </c>
      <c r="T431" t="inlineStr">
        <is>
          <t>Дать очень коротко: f/2.8 — широко, f/8 — уже, f/16 — совсем узко.</t>
        </is>
      </c>
      <c r="U431" t="inlineStr">
        <is>
          <t>Три круглых отверстия: f/2.8 большое, f/8 среднее, f/16 маленькое.</t>
        </is>
      </c>
      <c r="V431" t="inlineStr">
        <is>
          <t>#PL042 #fnumber #fstop #aperture</t>
        </is>
      </c>
      <c r="Y431" t="inlineStr">
        <is>
          <t>Диафрагма / число f</t>
        </is>
      </c>
      <c r="Z431" t="inlineStr">
        <is>
          <t>Терминология / язык</t>
        </is>
      </c>
    </row>
    <row r="432" ht="17" customHeight="1" s="72">
      <c r="A432" t="inlineStr">
        <is>
          <t>PL-HIST-0431</t>
        </is>
      </c>
      <c r="B432" t="inlineStr">
        <is>
          <t>сегодня</t>
        </is>
      </c>
      <c r="C432" t="inlineStr">
        <is>
          <t>примерно</t>
        </is>
      </c>
      <c r="D432" t="inlineStr">
        <is>
          <t>глобально</t>
        </is>
      </c>
      <c r="E432" t="inlineStr">
        <is>
          <t>объектив / слабый свет</t>
        </is>
      </c>
      <c r="F432" t="inlineStr">
        <is>
          <t>фотограф</t>
        </is>
      </c>
      <c r="G432" t="inlineStr">
        <is>
          <t>Открытая диафрагма пропускает больше света и помогает снимать в помещении, вечером или в тени без слишком длинной выдержки.</t>
        </is>
      </c>
      <c r="H432" t="inlineStr">
        <is>
          <t>Оптические инструменты</t>
        </is>
      </c>
      <c r="I432" t="inlineStr">
        <is>
          <t>Wide aperture in low light</t>
        </is>
      </c>
      <c r="J432" t="inlineStr">
        <is>
          <t>Диафрагма связывается с реальной съёмкой: открыть отверстие — значит дать плёнке или сенсору больше света.</t>
        </is>
      </c>
      <c r="K432" t="inlineStr">
        <is>
          <t>Число f</t>
        </is>
      </c>
      <c r="L432" t="inlineStr">
        <is>
          <t>Глубина резкости</t>
        </is>
      </c>
      <c r="M432" t="inlineStr">
        <is>
          <t>Главная линия / практическое применение</t>
        </is>
      </c>
      <c r="N432" t="n">
        <v>5</v>
      </c>
      <c r="O432" t="inlineStr">
        <is>
          <t>PL-042</t>
        </is>
      </c>
      <c r="P432" t="inlineStr">
        <is>
          <t>SRC-296</t>
        </is>
      </c>
      <c r="Q432" t="inlineStr">
        <is>
          <t>Nikon USA — What is Aperture?</t>
        </is>
      </c>
      <c r="R432" t="inlineStr">
        <is>
          <t>https://www.nikonusa.com/learn-and-explore/c/tips-and-techniques/what-is-aperture</t>
        </is>
      </c>
      <c r="S432" t="n">
        <v>5</v>
      </c>
      <c r="T432" t="inlineStr">
        <is>
          <t>Связать с предыдущим модулем: светосильный объектив даёт запас света, но требует точного фокуса.</t>
        </is>
      </c>
      <c r="U432" t="inlineStr">
        <is>
          <t>Камера у окна вечером: открытая диафрагма, широкий поток золотого света.</t>
        </is>
      </c>
      <c r="V432" t="inlineStr">
        <is>
          <t>#PL042 #wideaperture #lowlight #lensspeed</t>
        </is>
      </c>
      <c r="Y432" t="inlineStr">
        <is>
          <t>Диафрагма / съёмка в слабом свете</t>
        </is>
      </c>
      <c r="Z432" t="inlineStr">
        <is>
          <t>Применение / жанр</t>
        </is>
      </c>
    </row>
    <row r="433" ht="17" customHeight="1" s="72">
      <c r="A433" t="inlineStr">
        <is>
          <t>PL-HIST-0432</t>
        </is>
      </c>
      <c r="B433" t="inlineStr">
        <is>
          <t>сегодня</t>
        </is>
      </c>
      <c r="C433" t="inlineStr">
        <is>
          <t>примерно</t>
        </is>
      </c>
      <c r="D433" t="inlineStr">
        <is>
          <t>глобально</t>
        </is>
      </c>
      <c r="E433" t="inlineStr">
        <is>
          <t>объектив / яркий свет</t>
        </is>
      </c>
      <c r="F433" t="inlineStr">
        <is>
          <t>фотограф</t>
        </is>
      </c>
      <c r="G433" t="inlineStr">
        <is>
          <t>Закрытая диафрагма пропускает меньше света: кадр темнеет, если не компенсировать это более длинной выдержкой или более высоким ISO.</t>
        </is>
      </c>
      <c r="H433" t="inlineStr">
        <is>
          <t>Оптические инструменты</t>
        </is>
      </c>
      <c r="I433" t="inlineStr">
        <is>
          <t>Narrow aperture / less light</t>
        </is>
      </c>
      <c r="J433" t="inlineStr">
        <is>
          <t>Появляется логика компенсации: изменение диафрагмы сразу требует думать о выдержке и ISO.</t>
        </is>
      </c>
      <c r="K433" t="inlineStr">
        <is>
          <t>Открытая диафрагма</t>
        </is>
      </c>
      <c r="L433" t="inlineStr">
        <is>
          <t>Компенсация выдержкой или ISO</t>
        </is>
      </c>
      <c r="M433" t="inlineStr">
        <is>
          <t>Главная линия / экспозиционная связь</t>
        </is>
      </c>
      <c r="N433" t="n">
        <v>5</v>
      </c>
      <c r="O433" t="inlineStr">
        <is>
          <t>PL-042</t>
        </is>
      </c>
      <c r="P433" t="inlineStr">
        <is>
          <t>SRC-299</t>
        </is>
      </c>
      <c r="Q433" t="inlineStr">
        <is>
          <t>Cambridge in Colour — Camera Exposure: Aperture, ISO &amp; Shutter Speed</t>
        </is>
      </c>
      <c r="R433" t="inlineStr">
        <is>
          <t>https://www.cambridgeincolour.com/tutorials/camera-exposure.htm</t>
        </is>
      </c>
      <c r="S433" t="n">
        <v>5</v>
      </c>
      <c r="T433" t="inlineStr">
        <is>
          <t>Не превращать в математику: показать, что закрыли окно — в комнате стало темнее, значит нужно больше времени или чувствительности.</t>
        </is>
      </c>
      <c r="U433" t="inlineStr">
        <is>
          <t>Диафрагма почти закрыта; световой поток тонкий, рядом стрелка к более длинной выдержке.</t>
        </is>
      </c>
      <c r="V433" t="inlineStr">
        <is>
          <t>#PL042 #narrowaperture #exposure #compensation</t>
        </is>
      </c>
      <c r="Y433" t="inlineStr">
        <is>
          <t>Диафрагма / компенсация экспозиции</t>
        </is>
      </c>
      <c r="Z433" t="inlineStr">
        <is>
          <t>Технология / процесс</t>
        </is>
      </c>
    </row>
    <row r="434" ht="17" customHeight="1" s="72">
      <c r="A434" t="inlineStr">
        <is>
          <t>PL-HIST-0433</t>
        </is>
      </c>
      <c r="B434" t="inlineStr">
        <is>
          <t>сегодня</t>
        </is>
      </c>
      <c r="C434" t="inlineStr">
        <is>
          <t>примерно</t>
        </is>
      </c>
      <c r="D434" t="inlineStr">
        <is>
          <t>глобально</t>
        </is>
      </c>
      <c r="E434" t="inlineStr">
        <is>
          <t>объектив / резкость</t>
        </is>
      </c>
      <c r="F434" t="inlineStr">
        <is>
          <t>фотограф</t>
        </is>
      </c>
      <c r="G434" t="inlineStr">
        <is>
          <t>Диафрагма влияет не только на яркость, но и на глубину резкости: открытая диафрагма чаще размывает фон, закрытая — делает больше пространства резким.</t>
        </is>
      </c>
      <c r="H434" t="inlineStr">
        <is>
          <t>Оптические инструменты</t>
        </is>
      </c>
      <c r="I434" t="inlineStr">
        <is>
          <t>Aperture and depth of field</t>
        </is>
      </c>
      <c r="J434" t="inlineStr">
        <is>
          <t>Диафрагма становится выразительным инструментом: она отделяет объект от фона или сохраняет резкость в глубину.</t>
        </is>
      </c>
      <c r="K434" t="inlineStr">
        <is>
          <t>Компенсация света</t>
        </is>
      </c>
      <c r="L434" t="inlineStr">
        <is>
          <t>ГРИП как творческий выбор</t>
        </is>
      </c>
      <c r="M434" t="inlineStr">
        <is>
          <t>Главная линия / глубина резкости</t>
        </is>
      </c>
      <c r="N434" t="n">
        <v>5</v>
      </c>
      <c r="O434" t="inlineStr">
        <is>
          <t>PL-042</t>
        </is>
      </c>
      <c r="P434" t="inlineStr">
        <is>
          <t>SRC-297</t>
        </is>
      </c>
      <c r="Q434" t="inlineStr">
        <is>
          <t>Canon U.S.A. — What Is Aperture Photography?</t>
        </is>
      </c>
      <c r="R434" t="inlineStr">
        <is>
          <t>https://www.usa.canon.com/learning/training-articles/training-articles-list/what-is-aperture</t>
        </is>
      </c>
      <c r="S434" t="n">
        <v>5</v>
      </c>
      <c r="T434" t="inlineStr">
        <is>
          <t>Важно: не обещать «всегда», потому что ГРИП зависит также от дистанции и фокусного расстояния.</t>
        </is>
      </c>
      <c r="U434" t="inlineStr">
        <is>
          <t>Портрет с размытым фоном рядом с пейзажем, где резкость уходит далеко в глубину.</t>
        </is>
      </c>
      <c r="V434" t="inlineStr">
        <is>
          <t>#PL042 #depthoffield #backgroundblur #focus</t>
        </is>
      </c>
      <c r="Y434" t="inlineStr">
        <is>
          <t>Диафрагма / глубина резкости</t>
        </is>
      </c>
      <c r="Z434" t="inlineStr">
        <is>
          <t>Технология / процесс</t>
        </is>
      </c>
    </row>
    <row r="435" ht="17" customHeight="1" s="72">
      <c r="A435" t="inlineStr">
        <is>
          <t>PL-HIST-0434</t>
        </is>
      </c>
      <c r="B435" t="inlineStr">
        <is>
          <t>сегодня</t>
        </is>
      </c>
      <c r="C435" t="inlineStr">
        <is>
          <t>примерно</t>
        </is>
      </c>
      <c r="D435" t="inlineStr">
        <is>
          <t>глобально</t>
        </is>
      </c>
      <c r="E435" t="inlineStr">
        <is>
          <t>режим Av / A</t>
        </is>
      </c>
      <c r="F435" t="inlineStr">
        <is>
          <t>фотограф</t>
        </is>
      </c>
      <c r="G435" t="inlineStr">
        <is>
          <t>В режиме приоритета диафрагмы фотограф выбирает отверстие, а камера подбирает выдержку для нужной экспозиции.</t>
        </is>
      </c>
      <c r="H435" t="inlineStr">
        <is>
          <t>Оптические инструменты</t>
        </is>
      </c>
      <c r="I435" t="inlineStr">
        <is>
          <t>Aperture priority / Av / A</t>
        </is>
      </c>
      <c r="J435" t="inlineStr">
        <is>
          <t>Новичок получает удобный мост от автоматики к ручному контролю: сначала управлять глубиной резкости, а выдержку доверить камере.</t>
        </is>
      </c>
      <c r="K435" t="inlineStr">
        <is>
          <t>ГРИП как выбор</t>
        </is>
      </c>
      <c r="L435" t="inlineStr">
        <is>
          <t>Выдержка как ответ камеры</t>
        </is>
      </c>
      <c r="M435" t="inlineStr">
        <is>
          <t>Главная линия / режим камеры</t>
        </is>
      </c>
      <c r="N435" t="n">
        <v>4</v>
      </c>
      <c r="O435" t="inlineStr">
        <is>
          <t>PL-042</t>
        </is>
      </c>
      <c r="P435" t="inlineStr">
        <is>
          <t>SRC-297</t>
        </is>
      </c>
      <c r="Q435" t="inlineStr">
        <is>
          <t>Canon U.S.A. — What Is Aperture Photography?</t>
        </is>
      </c>
      <c r="R435" t="inlineStr">
        <is>
          <t>https://www.usa.canon.com/learning/training-articles/training-articles-list/what-is-aperture</t>
        </is>
      </c>
      <c r="S435" t="n">
        <v>5</v>
      </c>
      <c r="T435" t="inlineStr">
        <is>
          <t>Практический узел для приложения и урока: режим A/Av — лучший тренировочный режим для темы диафрагмы.</t>
        </is>
      </c>
      <c r="U435" t="inlineStr">
        <is>
          <t>Диск режимов камеры на A/Av; фотограф выбирает f/2.8, камера показывает выдержку.</t>
        </is>
      </c>
      <c r="V435" t="inlineStr">
        <is>
          <t>#PL042 #aperturepriority #Av #cameraMode</t>
        </is>
      </c>
      <c r="Y435" t="inlineStr">
        <is>
          <t>Диафрагма / приоритет диафрагмы</t>
        </is>
      </c>
      <c r="Z435" t="inlineStr">
        <is>
          <t>Инструмент / устройство</t>
        </is>
      </c>
    </row>
    <row r="436" ht="17" customHeight="1" s="72">
      <c r="A436" t="inlineStr">
        <is>
          <t>PL-HIST-0435</t>
        </is>
      </c>
      <c r="B436" t="inlineStr">
        <is>
          <t>сегодня</t>
        </is>
      </c>
      <c r="C436" t="inlineStr">
        <is>
          <t>примерно</t>
        </is>
      </c>
      <c r="D436" t="inlineStr">
        <is>
          <t>глобально</t>
        </is>
      </c>
      <c r="E436" t="inlineStr">
        <is>
          <t>объектив / маркировка</t>
        </is>
      </c>
      <c r="F436" t="inlineStr">
        <is>
          <t>производители объективов</t>
        </is>
      </c>
      <c r="G436" t="inlineStr">
        <is>
          <t>Максимальная диафрагма объектива показывает, насколько широко он может открыться: например, f/1.4, f/2 или f/2.8.</t>
        </is>
      </c>
      <c r="H436" t="inlineStr">
        <is>
          <t>Оптические инструменты</t>
        </is>
      </c>
      <c r="I436" t="inlineStr">
        <is>
          <t>Maximum aperture</t>
        </is>
      </c>
      <c r="J436" t="inlineStr">
        <is>
          <t>Маркировка объектива становится понятной: цифра на корпусе — не просто название, а предел светового отверстия.</t>
        </is>
      </c>
      <c r="K436" t="inlineStr">
        <is>
          <t>Приоритет диафрагмы</t>
        </is>
      </c>
      <c r="L436" t="inlineStr">
        <is>
          <t>Светосила и цена/вес</t>
        </is>
      </c>
      <c r="M436" t="inlineStr">
        <is>
          <t>Главная линия / маркировка объектива</t>
        </is>
      </c>
      <c r="N436" t="n">
        <v>4</v>
      </c>
      <c r="O436" t="inlineStr">
        <is>
          <t>PL-042</t>
        </is>
      </c>
      <c r="P436" t="inlineStr">
        <is>
          <t>SRC-296</t>
        </is>
      </c>
      <c r="Q436" t="inlineStr">
        <is>
          <t>Nikon USA — What is Aperture?</t>
        </is>
      </c>
      <c r="R436" t="inlineStr">
        <is>
          <t>https://www.nikonusa.com/learn-and-explore/c/tips-and-techniques/what-is-aperture</t>
        </is>
      </c>
      <c r="S436" t="n">
        <v>5</v>
      </c>
      <c r="T436" t="inlineStr">
        <is>
          <t>Связать с PL-038 «Светосила»: сейчас используем это как экспозиционное окно.</t>
        </is>
      </c>
      <c r="U436" t="inlineStr">
        <is>
          <t>Крупный план объектива с маркировкой 50mm 1:1.4; золотая стрелка на f/1.4.</t>
        </is>
      </c>
      <c r="V436" t="inlineStr">
        <is>
          <t>#PL042 #maximumaperture #lensmarking #f14</t>
        </is>
      </c>
      <c r="Y436" t="inlineStr">
        <is>
          <t>Диафрагма / максимальная диафрагма</t>
        </is>
      </c>
      <c r="Z436" t="inlineStr">
        <is>
          <t>Терминология / язык</t>
        </is>
      </c>
    </row>
    <row r="437" ht="17" customHeight="1" s="72">
      <c r="A437" t="inlineStr">
        <is>
          <t>PL-HIST-0436</t>
        </is>
      </c>
      <c r="B437" t="inlineStr">
        <is>
          <t>сегодня</t>
        </is>
      </c>
      <c r="C437" t="inlineStr">
        <is>
          <t>примерно</t>
        </is>
      </c>
      <c r="D437" t="inlineStr">
        <is>
          <t>глобально</t>
        </is>
      </c>
      <c r="E437" t="inlineStr">
        <is>
          <t>объектив / светосила</t>
        </is>
      </c>
      <c r="F437" t="inlineStr">
        <is>
          <t>фотограф</t>
        </is>
      </c>
      <c r="G437" t="inlineStr">
        <is>
          <t>Объектив с большой максимальной диафрагмой часто называют светосильным: он даёт больше света, но обычно требует больших линз, точного фокуса и стоит дороже.</t>
        </is>
      </c>
      <c r="H437" t="inlineStr">
        <is>
          <t>Оптические инструменты</t>
        </is>
      </c>
      <c r="I437" t="inlineStr">
        <is>
          <t>Lens speed / fast lens</t>
        </is>
      </c>
      <c r="J437" t="inlineStr">
        <is>
          <t>Понятие «светосильный» связывается с практической ценой: больше света почти всегда означает компромиссы.</t>
        </is>
      </c>
      <c r="K437" t="inlineStr">
        <is>
          <t>Максимальная диафрагма</t>
        </is>
      </c>
      <c r="L437" t="inlineStr">
        <is>
          <t>Рабочая диафрагма</t>
        </is>
      </c>
      <c r="M437" t="inlineStr">
        <is>
          <t>Главная линия / компромисс оптики</t>
        </is>
      </c>
      <c r="N437" t="n">
        <v>4</v>
      </c>
      <c r="O437" t="inlineStr">
        <is>
          <t>PL-042</t>
        </is>
      </c>
      <c r="P437" t="inlineStr">
        <is>
          <t>SRC-298</t>
        </is>
      </c>
      <c r="Q437" t="inlineStr">
        <is>
          <t>B&amp;H eXplora — Exposure 101: Intro to Aperture</t>
        </is>
      </c>
      <c r="R437" t="inlineStr">
        <is>
          <t>https://www.bhphotovideo.com/explora/photography/tips-and-solutions/exposure-101-intro-to-aperture</t>
        </is>
      </c>
      <c r="S437" t="n">
        <v>5</v>
      </c>
      <c r="T437" t="inlineStr">
        <is>
          <t>Не делать культ f/1.4: объяснить, что светосила — инструмент, а не абсолютное качество.</t>
        </is>
      </c>
      <c r="U437" t="inlineStr">
        <is>
          <t>Два объектива рядом: маленький f/2.8 и крупный f/1.4; золотые лучи разной ширины.</t>
        </is>
      </c>
      <c r="V437" t="inlineStr">
        <is>
          <t>#PL042 #fastlens #lensspeed #compromise</t>
        </is>
      </c>
      <c r="Y437" t="inlineStr">
        <is>
          <t>Диафрагма / светосильный объектив</t>
        </is>
      </c>
      <c r="Z437" t="inlineStr">
        <is>
          <t>Связь / переход</t>
        </is>
      </c>
    </row>
    <row r="438" ht="17" customHeight="1" s="72">
      <c r="A438" t="inlineStr">
        <is>
          <t>PL-HIST-0437</t>
        </is>
      </c>
      <c r="B438" t="inlineStr">
        <is>
          <t>сегодня</t>
        </is>
      </c>
      <c r="C438" t="inlineStr">
        <is>
          <t>примерно</t>
        </is>
      </c>
      <c r="D438" t="inlineStr">
        <is>
          <t>глобально</t>
        </is>
      </c>
      <c r="E438" t="inlineStr">
        <is>
          <t>объектив / рабочая диафрагма</t>
        </is>
      </c>
      <c r="F438" t="inlineStr">
        <is>
          <t>фотограф</t>
        </is>
      </c>
      <c r="G438" t="inlineStr">
        <is>
          <t>Рабочая диафрагма — это не всегда максимально открыто: фотограф выбирает f/2, f/5.6 или f/11 под свет, резкость, фон и задачу кадра.</t>
        </is>
      </c>
      <c r="H438" t="inlineStr">
        <is>
          <t>Оптические инструменты</t>
        </is>
      </c>
      <c r="I438" t="inlineStr">
        <is>
          <t>Working aperture</t>
        </is>
      </c>
      <c r="J438" t="inlineStr">
        <is>
          <t>Диафрагма перестаёт быть крайним положением и становится осознанным выбором под сцену.</t>
        </is>
      </c>
      <c r="K438" t="inlineStr">
        <is>
          <t>Светосила</t>
        </is>
      </c>
      <c r="L438" t="inlineStr">
        <is>
          <t>Стопы диафрагмы</t>
        </is>
      </c>
      <c r="M438" t="inlineStr">
        <is>
          <t>Главная линия / авторский выбор</t>
        </is>
      </c>
      <c r="N438" t="n">
        <v>4</v>
      </c>
      <c r="O438" t="inlineStr">
        <is>
          <t>PL-042</t>
        </is>
      </c>
      <c r="P438" t="inlineStr">
        <is>
          <t>SRC-299</t>
        </is>
      </c>
      <c r="Q438" t="inlineStr">
        <is>
          <t>Cambridge in Colour — Camera Exposure: Aperture, ISO &amp; Shutter Speed</t>
        </is>
      </c>
      <c r="R438" t="inlineStr">
        <is>
          <t>https://www.cambridgeincolour.com/tutorials/camera-exposure.htm</t>
        </is>
      </c>
      <c r="S438" t="n">
        <v>5</v>
      </c>
      <c r="T438" t="inlineStr">
        <is>
          <t>Важный воспитательный момент: новичок не обязан всегда снимать на самой открытой дырке.</t>
        </is>
      </c>
      <c r="U438" t="inlineStr">
        <is>
          <t>Шкала f/1.4—f/16, выбранная точка f/5.6; рядом кадр с балансом резкости и света.</t>
        </is>
      </c>
      <c r="V438" t="inlineStr">
        <is>
          <t>#PL042 #workingaperture #f56 #choice</t>
        </is>
      </c>
      <c r="Y438" t="inlineStr">
        <is>
          <t>Диафрагма / рабочее значение</t>
        </is>
      </c>
      <c r="Z438" t="inlineStr">
        <is>
          <t>Применение / жанр</t>
        </is>
      </c>
    </row>
    <row r="439" ht="17" customHeight="1" s="72">
      <c r="A439" t="inlineStr">
        <is>
          <t>PL-HIST-0438</t>
        </is>
      </c>
      <c r="B439" t="inlineStr">
        <is>
          <t>сегодня</t>
        </is>
      </c>
      <c r="C439" t="inlineStr">
        <is>
          <t>примерно</t>
        </is>
      </c>
      <c r="D439" t="inlineStr">
        <is>
          <t>глобально</t>
        </is>
      </c>
      <c r="E439" t="inlineStr">
        <is>
          <t>экспозиционная шкала</t>
        </is>
      </c>
      <c r="F439" t="inlineStr">
        <is>
          <t>фотограф</t>
        </is>
      </c>
      <c r="G439" t="inlineStr">
        <is>
          <t>Один полный стоп диафрагмы меняет количество света в два раза, поэтому f-числа идут не линейно, а по особой последовательности.</t>
        </is>
      </c>
      <c r="H439" t="inlineStr">
        <is>
          <t>Оптические инструменты</t>
        </is>
      </c>
      <c r="I439" t="inlineStr">
        <is>
          <t>Aperture full stops</t>
        </is>
      </c>
      <c r="J439" t="inlineStr">
        <is>
          <t>Фотограф начинает говорить на языке стопов: открыть на стоп — значит удвоить свет; закрыть на стоп — уменьшить вдвое.</t>
        </is>
      </c>
      <c r="K439" t="inlineStr">
        <is>
          <t>Рабочая диафрагма</t>
        </is>
      </c>
      <c r="L439" t="inlineStr">
        <is>
          <t>PL-046 — стопы света</t>
        </is>
      </c>
      <c r="M439" t="inlineStr">
        <is>
          <t>Главная линия / стопы</t>
        </is>
      </c>
      <c r="N439" t="n">
        <v>5</v>
      </c>
      <c r="O439" t="inlineStr">
        <is>
          <t>PL-042</t>
        </is>
      </c>
      <c r="P439" t="inlineStr">
        <is>
          <t>SRC-299</t>
        </is>
      </c>
      <c r="Q439" t="inlineStr">
        <is>
          <t>Cambridge in Colour — Camera Exposure: Aperture, ISO &amp; Shutter Speed</t>
        </is>
      </c>
      <c r="R439" t="inlineStr">
        <is>
          <t>https://www.cambridgeincolour.com/tutorials/camera-exposure.htm</t>
        </is>
      </c>
      <c r="S439" t="n">
        <v>5</v>
      </c>
      <c r="T439" t="inlineStr">
        <is>
          <t>Это мост к PL-046. Подать без сложной геометрии, только смысл «в два раза».</t>
        </is>
      </c>
      <c r="U439" t="inlineStr">
        <is>
          <t>Лестница значений: f/2.8 → f/4 → f/5.6 → f/8; каждый шаг подписан 1 стоп.</t>
        </is>
      </c>
      <c r="V439" t="inlineStr">
        <is>
          <t>#PL042 #stops #fstop #doubling</t>
        </is>
      </c>
      <c r="Y439" t="inlineStr">
        <is>
          <t>Диафрагма / полные стопы</t>
        </is>
      </c>
      <c r="Z439" t="inlineStr">
        <is>
          <t>Терминология / язык</t>
        </is>
      </c>
    </row>
    <row r="440" ht="17" customHeight="1" s="72">
      <c r="A440" t="inlineStr">
        <is>
          <t>PL-HIST-0439</t>
        </is>
      </c>
      <c r="B440" t="inlineStr">
        <is>
          <t>сегодня</t>
        </is>
      </c>
      <c r="C440" t="inlineStr">
        <is>
          <t>примерно</t>
        </is>
      </c>
      <c r="D440" t="inlineStr">
        <is>
          <t>глобально</t>
        </is>
      </c>
      <c r="E440" t="inlineStr">
        <is>
          <t>PHOTO LAB / модуль экспозиции</t>
        </is>
      </c>
      <c r="F440" t="inlineStr">
        <is>
          <t>PHOTO LAB by VF</t>
        </is>
      </c>
      <c r="G440" t="inlineStr">
        <is>
          <t>Итог PL-042: диафрагма — это окно света. Она управляет количеством света и глубиной резкости, а значит соединяет техническую экспозицию с визуальным языком кадра.</t>
        </is>
      </c>
      <c r="H440" t="inlineStr">
        <is>
          <t>Оптические инструменты</t>
        </is>
      </c>
      <c r="I440" t="inlineStr">
        <is>
          <t>Aperture as exposure and visual language</t>
        </is>
      </c>
      <c r="J440" t="inlineStr">
        <is>
          <t>Курс готов перейти к выдержке: если диафрагма отвечает за ширину светового потока, то выдержка отвечает за время его действия.</t>
        </is>
      </c>
      <c r="K440" t="inlineStr">
        <is>
          <t>Стопы диафрагмы</t>
        </is>
      </c>
      <c r="L440" t="inlineStr">
        <is>
          <t>PL-043 — выдержка как время</t>
        </is>
      </c>
      <c r="M440" t="inlineStr">
        <is>
          <t>Связь / переход</t>
        </is>
      </c>
      <c r="N440" t="n">
        <v>5</v>
      </c>
      <c r="O440" t="inlineStr">
        <is>
          <t>PL-042</t>
        </is>
      </c>
      <c r="P440" t="inlineStr">
        <is>
          <t>SRC-296</t>
        </is>
      </c>
      <c r="Q440" t="inlineStr">
        <is>
          <t>Nikon USA — What is Aperture?</t>
        </is>
      </c>
      <c r="R440" t="inlineStr">
        <is>
          <t>https://www.nikonusa.com/learn-and-explore/c/tips-and-techniques/what-is-aperture</t>
        </is>
      </c>
      <c r="S440" t="n">
        <v>5</v>
      </c>
      <c r="T440" t="inlineStr">
        <is>
          <t>Итоговая формула: ширина света + характер резкости.</t>
        </is>
      </c>
      <c r="U440" t="inlineStr">
        <is>
          <t>Открывающееся окно превращается в шторки затвора; золотой луч меняет не ширину, а длительность.</t>
        </is>
      </c>
      <c r="V440" t="inlineStr">
        <is>
          <t>#PL042 #summary #bridge #shutterspeed</t>
        </is>
      </c>
      <c r="Y440" t="inlineStr">
        <is>
          <t>Диафрагма / итог и мост</t>
        </is>
      </c>
      <c r="Z440" t="inlineStr">
        <is>
          <t>Связь / переход</t>
        </is>
      </c>
    </row>
    <row r="441" ht="17" customHeight="1" s="72">
      <c r="A441" t="inlineStr">
        <is>
          <t>PL-HIST-0440</t>
        </is>
      </c>
      <c r="B441" t="inlineStr">
        <is>
          <t>сегодня</t>
        </is>
      </c>
      <c r="C441" t="inlineStr">
        <is>
          <t>примерно</t>
        </is>
      </c>
      <c r="D441" t="inlineStr">
        <is>
          <t>глобально</t>
        </is>
      </c>
      <c r="E441" t="inlineStr">
        <is>
          <t>затвор / камера</t>
        </is>
      </c>
      <c r="F441" t="inlineStr">
        <is>
          <t>фотограф</t>
        </is>
      </c>
      <c r="G441" t="inlineStr">
        <is>
          <t>Выдержку физически создаёт не абстрактный таймер, а движущийся механизм затвора. У большинства плёночных и цифровых камер это шторно-щелевой (focal-plane) затвор: две шторки — открывающая и закрывающая — бегут одна за другой перед плёнкой или сенсором. На очень коротких выдержках вторая шторка стартует раньше, чем первая долетает до конца, и кадр экспонируется через бегущую щель, а не целиком одновременно.</t>
        </is>
      </c>
      <c r="H441" t="inlineStr">
        <is>
          <t>Оптические инструменты</t>
        </is>
      </c>
      <c r="I441" t="inlineStr">
        <is>
          <t>Focal-plane shutter mechanism / flash sync limit</t>
        </is>
      </c>
      <c r="J441" t="inlineStr">
        <is>
          <t>Выдержка перестаёт быть просто «временем»: у неё есть механическое ограничение — скорость синхронизации со вспышкой (обычно около 1/200–1/250 с). Выше этой скорости кадр в любой момент времени открыт только частично — узкой бегущей щелью, поэтому обычная вспышка засветит не весь кадр.</t>
        </is>
      </c>
      <c r="K441" t="inlineStr">
        <is>
          <t>PL-042 — диафрагма как окно</t>
        </is>
      </c>
      <c r="L441" t="inlineStr">
        <is>
          <t>Короткая выдержка</t>
        </is>
      </c>
      <c r="M441" t="inlineStr">
        <is>
          <t>Главная линия / выдержка</t>
        </is>
      </c>
      <c r="N441" t="n">
        <v>5</v>
      </c>
      <c r="O441" t="inlineStr">
        <is>
          <t>PL-043</t>
        </is>
      </c>
      <c r="P441" t="inlineStr">
        <is>
          <t>SRC-313</t>
        </is>
      </c>
      <c r="Q441" t="inlineStr">
        <is>
          <t>Wikipedia — Focal-plane shutter</t>
        </is>
      </c>
      <c r="R441" t="inlineStr">
        <is>
          <t>https://en.wikipedia.org/wiki/Focal-plane_shutter</t>
        </is>
      </c>
      <c r="S441" t="n">
        <v>5</v>
      </c>
      <c r="T441" t="inlineStr">
        <is>
          <t>Флагман PL-043: не повторять «выдержка — это время, за которое свет попадает на плёнку» дословно (см. PL-041 PL-HIST-0420) — объяснить механизм: две бегущие шторки и почему у выдержки есть техническое ограничение (синхронизация со вспышкой).</t>
        </is>
      </c>
      <c r="U441" t="inlineStr">
        <is>
          <t>Схема кадра с двумя шторками затвора и узкой бегущей щелью между ними; рядом — вспышка и подпись «1/250 с — предел синхронизации».</t>
        </is>
      </c>
      <c r="V441" t="inlineStr">
        <is>
          <t>#PL043 #shutterspeed #focalplaneshutter #flashsync #mechanism</t>
        </is>
      </c>
      <c r="Y441" t="inlineStr">
        <is>
          <t>Выдержка / базовое определение</t>
        </is>
      </c>
      <c r="Z441" t="inlineStr">
        <is>
          <t>Ключевой исторический узел</t>
        </is>
      </c>
      <c r="AA441" t="inlineStr">
        <is>
          <t>да</t>
        </is>
      </c>
    </row>
    <row r="442" ht="17" customHeight="1" s="72">
      <c r="A442" t="inlineStr">
        <is>
          <t>PL-HIST-0441</t>
        </is>
      </c>
      <c r="B442" t="inlineStr">
        <is>
          <t>сегодня</t>
        </is>
      </c>
      <c r="C442" t="inlineStr">
        <is>
          <t>примерно</t>
        </is>
      </c>
      <c r="D442" t="inlineStr">
        <is>
          <t>глобально</t>
        </is>
      </c>
      <c r="E442" t="inlineStr">
        <is>
          <t>движение / спорт / улица</t>
        </is>
      </c>
      <c r="F442" t="inlineStr">
        <is>
          <t>фотограф</t>
        </is>
      </c>
      <c r="G442" t="inlineStr">
        <is>
          <t>Короткая выдержка, например 1/500 или 1/1000 секунды, помогает заморозить движение и снизить смаз от объекта.</t>
        </is>
      </c>
      <c r="H442" t="inlineStr">
        <is>
          <t>Оптические инструменты</t>
        </is>
      </c>
      <c r="I442" t="inlineStr">
        <is>
          <t>Fast shutter / freeze motion</t>
        </is>
      </c>
      <c r="J442" t="inlineStr">
        <is>
          <t>Выдержка связывает экспозицию с моментом: фотограф может остановить жест, каплю воды или движение человека.</t>
        </is>
      </c>
      <c r="K442" t="inlineStr">
        <is>
          <t>Базовое определение выдержки</t>
        </is>
      </c>
      <c r="L442" t="inlineStr">
        <is>
          <t>Длинная выдержка</t>
        </is>
      </c>
      <c r="M442" t="inlineStr">
        <is>
          <t>Главная линия / движение</t>
        </is>
      </c>
      <c r="N442" t="n">
        <v>5</v>
      </c>
      <c r="O442" t="inlineStr">
        <is>
          <t>PL-043</t>
        </is>
      </c>
      <c r="P442" t="inlineStr">
        <is>
          <t>SRC-302</t>
        </is>
      </c>
      <c r="Q442" t="inlineStr">
        <is>
          <t>Nikon USA — Capturing or Freezing Motion in Photos</t>
        </is>
      </c>
      <c r="R442" t="inlineStr">
        <is>
          <t>https://www.nikonusa.com/learn-and-explore/c/tips-and-techniques/capturing-or-freezing-motion-in-photos</t>
        </is>
      </c>
      <c r="S442" t="n">
        <v>5</v>
      </c>
      <c r="T442" t="inlineStr">
        <is>
          <t>Показывать не только спорт: шаг человека, взмах руки, велосипед — ближе к реальной жизни новичка.</t>
        </is>
      </c>
      <c r="U442" t="inlineStr">
        <is>
          <t>Капля воды или бегущий человек: резкий силуэт при 1/1000.</t>
        </is>
      </c>
      <c r="V442" t="inlineStr">
        <is>
          <t>#PL043 #fastshutter #freezemotion #motion</t>
        </is>
      </c>
      <c r="Y442" t="inlineStr">
        <is>
          <t>Выдержка / заморозка движения</t>
        </is>
      </c>
      <c r="Z442" t="inlineStr">
        <is>
          <t>Технология / процесс</t>
        </is>
      </c>
    </row>
    <row r="443" ht="17" customHeight="1" s="72">
      <c r="A443" t="inlineStr">
        <is>
          <t>PL-HIST-0442</t>
        </is>
      </c>
      <c r="B443" t="inlineStr">
        <is>
          <t>сегодня</t>
        </is>
      </c>
      <c r="C443" t="inlineStr">
        <is>
          <t>примерно</t>
        </is>
      </c>
      <c r="D443" t="inlineStr">
        <is>
          <t>глобально</t>
        </is>
      </c>
      <c r="E443" t="inlineStr">
        <is>
          <t>движение / вода / свет</t>
        </is>
      </c>
      <c r="F443" t="inlineStr">
        <is>
          <t>фотограф</t>
        </is>
      </c>
      <c r="G443" t="inlineStr">
        <is>
          <t>Длинная выдержка накапливает свет дольше и может показать движение как размытие: воду, облака, фары, людей.</t>
        </is>
      </c>
      <c r="H443" t="inlineStr">
        <is>
          <t>Оптические инструменты</t>
        </is>
      </c>
      <c r="I443" t="inlineStr">
        <is>
          <t>Slow shutter / motion blur</t>
        </is>
      </c>
      <c r="J443" t="inlineStr">
        <is>
          <t>Фотограф видит, что смаз не всегда ошибка: иногда это способ показать время внутри неподвижного кадра.</t>
        </is>
      </c>
      <c r="K443" t="inlineStr">
        <is>
          <t>Короткая выдержка</t>
        </is>
      </c>
      <c r="L443" t="inlineStr">
        <is>
          <t>Секунды и доли секунды</t>
        </is>
      </c>
      <c r="M443" t="inlineStr">
        <is>
          <t>Главная линия / движение</t>
        </is>
      </c>
      <c r="N443" t="n">
        <v>5</v>
      </c>
      <c r="O443" t="inlineStr">
        <is>
          <t>PL-043</t>
        </is>
      </c>
      <c r="P443" t="inlineStr">
        <is>
          <t>SRC-301</t>
        </is>
      </c>
      <c r="Q443" t="inlineStr">
        <is>
          <t>Cambridge in Colour — Using Camera Shutter Speed Creatively</t>
        </is>
      </c>
      <c r="R443" t="inlineStr">
        <is>
          <t>https://www.cambridgeincolour.com/tutorials/camera-shutter-speed.htm</t>
        </is>
      </c>
      <c r="S443" t="n">
        <v>5</v>
      </c>
      <c r="T443" t="inlineStr">
        <is>
          <t>Очень сильная философская мысль: фотография может не только остановить время, но и накопить его.</t>
        </is>
      </c>
      <c r="U443" t="inlineStr">
        <is>
          <t>Ночной город с длинными следами фар; рядом штатив и секундная шкала.</t>
        </is>
      </c>
      <c r="V443" t="inlineStr">
        <is>
          <t>#PL043 #slowshutter #motionblur #longexposure</t>
        </is>
      </c>
      <c r="Y443" t="inlineStr">
        <is>
          <t>Выдержка / длинная выдержка</t>
        </is>
      </c>
      <c r="Z443" t="inlineStr">
        <is>
          <t>Применение / жанр</t>
        </is>
      </c>
    </row>
    <row r="444" ht="17" customHeight="1" s="72">
      <c r="A444" t="inlineStr">
        <is>
          <t>PL-HIST-0443</t>
        </is>
      </c>
      <c r="B444" t="inlineStr">
        <is>
          <t>сегодня</t>
        </is>
      </c>
      <c r="C444" t="inlineStr">
        <is>
          <t>примерно</t>
        </is>
      </c>
      <c r="D444" t="inlineStr">
        <is>
          <t>глобально</t>
        </is>
      </c>
      <c r="E444" t="inlineStr">
        <is>
          <t>шкала камеры</t>
        </is>
      </c>
      <c r="F444" t="inlineStr">
        <is>
          <t>фотограф</t>
        </is>
      </c>
      <c r="G444" t="inlineStr">
        <is>
          <t>Выдержка измеряется секундами и долями секунды: 1/1000, 1/250, 1/60, 1/15, 1 секунда и дольше.</t>
        </is>
      </c>
      <c r="H444" t="inlineStr">
        <is>
          <t>Оптические инструменты</t>
        </is>
      </c>
      <c r="I444" t="inlineStr">
        <is>
          <t>Shutter speed scale</t>
        </is>
      </c>
      <c r="J444" t="inlineStr">
        <is>
          <t>Шкала выдержек становится читаемой: чем меньше знаменатель, тем дольше свет действует на материал.</t>
        </is>
      </c>
      <c r="K444" t="inlineStr">
        <is>
          <t>Длинная выдержка</t>
        </is>
      </c>
      <c r="L444" t="inlineStr">
        <is>
          <t>Смаз камеры</t>
        </is>
      </c>
      <c r="M444" t="inlineStr">
        <is>
          <t>Главная линия / шкала выдержек</t>
        </is>
      </c>
      <c r="N444" t="n">
        <v>5</v>
      </c>
      <c r="O444" t="inlineStr">
        <is>
          <t>PL-043</t>
        </is>
      </c>
      <c r="P444" t="inlineStr">
        <is>
          <t>SRC-300</t>
        </is>
      </c>
      <c r="Q444" t="inlineStr">
        <is>
          <t>Nikon USA — Understanding Shutter Speed</t>
        </is>
      </c>
      <c r="R444" t="inlineStr">
        <is>
          <t>https://www.nikonusa.com/learn-and-explore/c/tips-and-techniques/understanding-shutter-speed</t>
        </is>
      </c>
      <c r="S444" t="n">
        <v>5</v>
      </c>
      <c r="T444" t="inlineStr">
        <is>
          <t>Нужно проговорить частую ошибку: 1/30 длиннее, чем 1/250.</t>
        </is>
      </c>
      <c r="U444" t="inlineStr">
        <is>
          <t>Вертикальная шкала выдержек от 1/1000 до 1s; золотые полосы становятся длиннее вниз.</t>
        </is>
      </c>
      <c r="V444" t="inlineStr">
        <is>
          <t>#PL043 #shutterscale #fractions #seconds</t>
        </is>
      </c>
      <c r="Y444" t="inlineStr">
        <is>
          <t>Выдержка / шкала времени</t>
        </is>
      </c>
      <c r="Z444" t="inlineStr">
        <is>
          <t>Терминология / язык</t>
        </is>
      </c>
    </row>
    <row r="445" ht="17" customHeight="1" s="72">
      <c r="A445" t="inlineStr">
        <is>
          <t>PL-HIST-0444</t>
        </is>
      </c>
      <c r="B445" t="inlineStr">
        <is>
          <t>сегодня</t>
        </is>
      </c>
      <c r="C445" t="inlineStr">
        <is>
          <t>примерно</t>
        </is>
      </c>
      <c r="D445" t="inlineStr">
        <is>
          <t>глобально</t>
        </is>
      </c>
      <c r="E445" t="inlineStr">
        <is>
          <t>камера в руках</t>
        </is>
      </c>
      <c r="F445" t="inlineStr">
        <is>
          <t>фотограф</t>
        </is>
      </c>
      <c r="G445" t="inlineStr">
        <is>
          <t>Если выдержка слишком длинная для съёмки с рук, камера успевает сдвинуться, и весь кадр становится нерезким.</t>
        </is>
      </c>
      <c r="H445" t="inlineStr">
        <is>
          <t>Оптические инструменты</t>
        </is>
      </c>
      <c r="I445" t="inlineStr">
        <is>
          <t>Camera shake</t>
        </is>
      </c>
      <c r="J445" t="inlineStr">
        <is>
          <t>Новичок отличает смаз от ошибки фокуса: иногда проблема не в объективе, а во времени выдержки.</t>
        </is>
      </c>
      <c r="K445" t="inlineStr">
        <is>
          <t>Шкала выдержек</t>
        </is>
      </c>
      <c r="L445" t="inlineStr">
        <is>
          <t>Штатив и стабилизация</t>
        </is>
      </c>
      <c r="M445" t="inlineStr">
        <is>
          <t>Главная линия / техническая ошибка</t>
        </is>
      </c>
      <c r="N445" t="n">
        <v>5</v>
      </c>
      <c r="O445" t="inlineStr">
        <is>
          <t>PL-043</t>
        </is>
      </c>
      <c r="P445" t="inlineStr">
        <is>
          <t>SRC-301</t>
        </is>
      </c>
      <c r="Q445" t="inlineStr">
        <is>
          <t>Cambridge in Colour — Using Camera Shutter Speed Creatively</t>
        </is>
      </c>
      <c r="R445" t="inlineStr">
        <is>
          <t>https://www.cambridgeincolour.com/tutorials/camera-shutter-speed.htm</t>
        </is>
      </c>
      <c r="S445" t="n">
        <v>5</v>
      </c>
      <c r="T445" t="inlineStr">
        <is>
          <t>Связать с будущим модулем «Фокус и резкость»: нерезкость бывает от фокуса и от движения.</t>
        </is>
      </c>
      <c r="U445" t="inlineStr">
        <is>
          <t>Два кадра одной сцены: резкий на короткой выдержке и дрожащий на длинной.</t>
        </is>
      </c>
      <c r="V445" t="inlineStr">
        <is>
          <t>#PL043 #camerashake #blur #handheld</t>
        </is>
      </c>
      <c r="Y445" t="inlineStr">
        <is>
          <t>Выдержка / шевелёнка</t>
        </is>
      </c>
      <c r="Z445" t="inlineStr">
        <is>
          <t>Технология / процесс</t>
        </is>
      </c>
    </row>
    <row r="446" ht="17" customHeight="1" s="72">
      <c r="A446" t="inlineStr">
        <is>
          <t>PL-HIST-0445</t>
        </is>
      </c>
      <c r="B446" t="inlineStr">
        <is>
          <t>сегодня</t>
        </is>
      </c>
      <c r="C446" t="inlineStr">
        <is>
          <t>примерно</t>
        </is>
      </c>
      <c r="D446" t="inlineStr">
        <is>
          <t>глобально</t>
        </is>
      </c>
      <c r="E446" t="inlineStr">
        <is>
          <t>штатив / ночная съёмка</t>
        </is>
      </c>
      <c r="F446" t="inlineStr">
        <is>
          <t>фотограф</t>
        </is>
      </c>
      <c r="G446" t="inlineStr">
        <is>
          <t>Штатив или опора позволяют использовать длинную выдержку без смаза камеры, когда нужно накопить больше света.</t>
        </is>
      </c>
      <c r="H446" t="inlineStr">
        <is>
          <t>Оптические инструменты</t>
        </is>
      </c>
      <c r="I446" t="inlineStr">
        <is>
          <t>Tripod for long exposure</t>
        </is>
      </c>
      <c r="J446" t="inlineStr">
        <is>
          <t>Выдержка становится инструментом съёмки в слабом свете: можно не только повышать ISO, но и дать свету больше времени.</t>
        </is>
      </c>
      <c r="K446" t="inlineStr">
        <is>
          <t>Смаз камеры</t>
        </is>
      </c>
      <c r="L446" t="inlineStr">
        <is>
          <t>ND и длинная выдержка</t>
        </is>
      </c>
      <c r="M446" t="inlineStr">
        <is>
          <t>Главная линия / практическое применение</t>
        </is>
      </c>
      <c r="N446" t="n">
        <v>4</v>
      </c>
      <c r="O446" t="inlineStr">
        <is>
          <t>PL-043</t>
        </is>
      </c>
      <c r="P446" t="inlineStr">
        <is>
          <t>SRC-301</t>
        </is>
      </c>
      <c r="Q446" t="inlineStr">
        <is>
          <t>Cambridge in Colour — Using Camera Shutter Speed Creatively</t>
        </is>
      </c>
      <c r="R446" t="inlineStr">
        <is>
          <t>https://www.cambridgeincolour.com/tutorials/camera-shutter-speed.htm</t>
        </is>
      </c>
      <c r="S446" t="n">
        <v>5</v>
      </c>
      <c r="T446" t="inlineStr">
        <is>
          <t>Показать простую практику: поставить камеру на стол и снять одну и ту же сцену на 1/15 и 1 секунду.</t>
        </is>
      </c>
      <c r="U446" t="inlineStr">
        <is>
          <t>Камера на штативе в тёмной комнате; световой поток идёт долго и спокойно.</t>
        </is>
      </c>
      <c r="V446" t="inlineStr">
        <is>
          <t>#PL043 #tripod #longexposure #lowlight</t>
        </is>
      </c>
      <c r="Y446" t="inlineStr">
        <is>
          <t>Выдержка / штатив</t>
        </is>
      </c>
      <c r="Z446" t="inlineStr">
        <is>
          <t>Инструмент / устройство</t>
        </is>
      </c>
    </row>
    <row r="447" ht="17" customHeight="1" s="72">
      <c r="A447" t="inlineStr">
        <is>
          <t>PL-HIST-0446</t>
        </is>
      </c>
      <c r="B447" t="inlineStr">
        <is>
          <t>сегодня</t>
        </is>
      </c>
      <c r="C447" t="inlineStr">
        <is>
          <t>примерно</t>
        </is>
      </c>
      <c r="D447" t="inlineStr">
        <is>
          <t>глобально</t>
        </is>
      </c>
      <c r="E447" t="inlineStr">
        <is>
          <t>нейтральный фильтр / дневная съёмка</t>
        </is>
      </c>
      <c r="F447" t="inlineStr">
        <is>
          <t>фотограф</t>
        </is>
      </c>
      <c r="G447" t="inlineStr">
        <is>
          <t>Длинную выдержку можно использовать даже днём, если уменьшить количество света нейтральным ND-фильтром.</t>
        </is>
      </c>
      <c r="H447" t="inlineStr">
        <is>
          <t>Оптические инструменты</t>
        </is>
      </c>
      <c r="I447" t="inlineStr">
        <is>
          <t>ND filter and shutter speed</t>
        </is>
      </c>
      <c r="J447" t="inlineStr">
        <is>
          <t>Фотограф учится управлять временем независимо от яркости сцены: фильтр убирает свет, выдержка показывает движение.</t>
        </is>
      </c>
      <c r="K447" t="inlineStr">
        <is>
          <t>Штатив и длинная выдержка</t>
        </is>
      </c>
      <c r="L447" t="inlineStr">
        <is>
          <t>Приоритет выдержки</t>
        </is>
      </c>
      <c r="M447" t="inlineStr">
        <is>
          <t>Главная линия / расширение контроля</t>
        </is>
      </c>
      <c r="N447" t="n">
        <v>4</v>
      </c>
      <c r="O447" t="inlineStr">
        <is>
          <t>PL-043</t>
        </is>
      </c>
      <c r="P447" t="inlineStr">
        <is>
          <t>SRC-310</t>
        </is>
      </c>
      <c r="Q447" t="inlineStr">
        <is>
          <t>Nikon USA — When to Use Graduated Neutral Density Filters</t>
        </is>
      </c>
      <c r="R447" t="inlineStr">
        <is>
          <t>https://www.nikonusa.com/learn-and-explore/c/tips-and-techniques/when-to-use-graduated-neutral-density-filters</t>
        </is>
      </c>
      <c r="S447" t="n">
        <v>5</v>
      </c>
      <c r="T447" t="inlineStr">
        <is>
          <t>Мост к теме стопов: ND-фильтры часто описываются в стопах.</t>
        </is>
      </c>
      <c r="U447" t="inlineStr">
        <is>
          <t>Водопад днём: ND-фильтр перед объективом, вода превращается в мягкую ленту.</t>
        </is>
      </c>
      <c r="V447" t="inlineStr">
        <is>
          <t>#PL043 #NDfilter #longexposure #stops</t>
        </is>
      </c>
      <c r="Y447" t="inlineStr">
        <is>
          <t>Выдержка / ND и время</t>
        </is>
      </c>
      <c r="Z447" t="inlineStr">
        <is>
          <t>Связь / переход</t>
        </is>
      </c>
    </row>
    <row r="448" ht="17" customHeight="1" s="72">
      <c r="A448" t="inlineStr">
        <is>
          <t>PL-HIST-0447</t>
        </is>
      </c>
      <c r="B448" t="inlineStr">
        <is>
          <t>сегодня</t>
        </is>
      </c>
      <c r="C448" t="inlineStr">
        <is>
          <t>примерно</t>
        </is>
      </c>
      <c r="D448" t="inlineStr">
        <is>
          <t>глобально</t>
        </is>
      </c>
      <c r="E448" t="inlineStr">
        <is>
          <t>режим Tv / S</t>
        </is>
      </c>
      <c r="F448" t="inlineStr">
        <is>
          <t>фотограф</t>
        </is>
      </c>
      <c r="G448" t="inlineStr">
        <is>
          <t>В режиме приоритета выдержки фотограф выбирает время, а камера подбирает диафрагму и/или ISO для нормальной экспозиции.</t>
        </is>
      </c>
      <c r="H448" t="inlineStr">
        <is>
          <t>Оптические инструменты</t>
        </is>
      </c>
      <c r="I448" t="inlineStr">
        <is>
          <t>Shutter priority / Tv / S</t>
        </is>
      </c>
      <c r="J448" t="inlineStr">
        <is>
          <t>Новичок получает режим для тренировки движения: заморозить, смазать или сделать панорамирование.</t>
        </is>
      </c>
      <c r="K448" t="inlineStr">
        <is>
          <t>ND и длинная выдержка</t>
        </is>
      </c>
      <c r="L448" t="inlineStr">
        <is>
          <t>Панорамирование</t>
        </is>
      </c>
      <c r="M448" t="inlineStr">
        <is>
          <t>Главная линия / режим камеры</t>
        </is>
      </c>
      <c r="N448" t="n">
        <v>4</v>
      </c>
      <c r="O448" t="inlineStr">
        <is>
          <t>PL-043</t>
        </is>
      </c>
      <c r="P448" t="inlineStr">
        <is>
          <t>SRC-307</t>
        </is>
      </c>
      <c r="Q448" t="inlineStr">
        <is>
          <t>Canon Canada — Canon Outside of Auto: Photography 101</t>
        </is>
      </c>
      <c r="R448" t="inlineStr">
        <is>
          <t>https://www.canon.ca/CanonOutsideOfAuto/photography101</t>
        </is>
      </c>
      <c r="S448" t="n">
        <v>5</v>
      </c>
      <c r="T448" t="inlineStr">
        <is>
          <t>Для Canon — Tv, для Nikon/Sony часто S. Не усложнять, но дать связку.</t>
        </is>
      </c>
      <c r="U448" t="inlineStr">
        <is>
          <t>Диск режимов на Tv/S; рядом бегущий человек и выбранная выдержка 1/250.</t>
        </is>
      </c>
      <c r="V448" t="inlineStr">
        <is>
          <t>#PL043 #shutterpriority #Tv #Smode</t>
        </is>
      </c>
      <c r="Y448" t="inlineStr">
        <is>
          <t>Выдержка / приоритет выдержки</t>
        </is>
      </c>
      <c r="Z448" t="inlineStr">
        <is>
          <t>Инструмент / устройство</t>
        </is>
      </c>
    </row>
    <row r="449" ht="17" customHeight="1" s="72">
      <c r="A449" t="inlineStr">
        <is>
          <t>PL-HIST-0448</t>
        </is>
      </c>
      <c r="B449" t="inlineStr">
        <is>
          <t>сегодня</t>
        </is>
      </c>
      <c r="C449" t="inlineStr">
        <is>
          <t>примерно</t>
        </is>
      </c>
      <c r="D449" t="inlineStr">
        <is>
          <t>глобально</t>
        </is>
      </c>
      <c r="E449" t="inlineStr">
        <is>
          <t>движение / съёмка с проводкой</t>
        </is>
      </c>
      <c r="F449" t="inlineStr">
        <is>
          <t>фотограф</t>
        </is>
      </c>
      <c r="G449" t="inlineStr">
        <is>
          <t>Панорамирование использует сравнительно длинную выдержку и движение камеры вместе с объектом: фон смазывается, объект остаётся читаемым.</t>
        </is>
      </c>
      <c r="H449" t="inlineStr">
        <is>
          <t>Оптические инструменты</t>
        </is>
      </c>
      <c r="I449" t="inlineStr">
        <is>
          <t>Panning</t>
        </is>
      </c>
      <c r="J449" t="inlineStr">
        <is>
          <t>Выдержка перестаёт быть только защитой от смаза: она становится способом передать скорость.</t>
        </is>
      </c>
      <c r="K449" t="inlineStr">
        <is>
          <t>Приоритет выдержки</t>
        </is>
      </c>
      <c r="L449" t="inlineStr">
        <is>
          <t>Эквивалентная экспозиция</t>
        </is>
      </c>
      <c r="M449" t="inlineStr">
        <is>
          <t>Применение / жанр</t>
        </is>
      </c>
      <c r="N449" t="n">
        <v>4</v>
      </c>
      <c r="O449" t="inlineStr">
        <is>
          <t>PL-043</t>
        </is>
      </c>
      <c r="P449" t="inlineStr">
        <is>
          <t>SRC-302</t>
        </is>
      </c>
      <c r="Q449" t="inlineStr">
        <is>
          <t>Nikon USA — Capturing or Freezing Motion in Photos</t>
        </is>
      </c>
      <c r="R449" t="inlineStr">
        <is>
          <t>https://www.nikonusa.com/learn-and-explore/c/tips-and-techniques/capturing-or-freezing-motion-in-photos</t>
        </is>
      </c>
      <c r="S449" t="n">
        <v>5</v>
      </c>
      <c r="T449" t="inlineStr">
        <is>
          <t>Хорошая практика для урока: снять велосипедиста или машину на 1/30–1/60 с проводкой.</t>
        </is>
      </c>
      <c r="U449" t="inlineStr">
        <is>
          <t>Фотограф ведёт камеру за велосипедистом; фон превращается в горизонтальные полосы.</t>
        </is>
      </c>
      <c r="V449" t="inlineStr">
        <is>
          <t>#PL043 #panning #motion #creativeblur</t>
        </is>
      </c>
      <c r="Y449" t="inlineStr">
        <is>
          <t>Выдержка / проводка</t>
        </is>
      </c>
      <c r="Z449" t="inlineStr">
        <is>
          <t>Применение / жанр</t>
        </is>
      </c>
    </row>
    <row r="450" ht="17" customHeight="1" s="72">
      <c r="A450" t="inlineStr">
        <is>
          <t>PL-HIST-0449</t>
        </is>
      </c>
      <c r="B450" t="inlineStr">
        <is>
          <t>сегодня</t>
        </is>
      </c>
      <c r="C450" t="inlineStr">
        <is>
          <t>примерно</t>
        </is>
      </c>
      <c r="D450" t="inlineStr">
        <is>
          <t>глобально</t>
        </is>
      </c>
      <c r="E450" t="inlineStr">
        <is>
          <t>ручной режим / экспозиция</t>
        </is>
      </c>
      <c r="F450" t="inlineStr">
        <is>
          <t>фотограф</t>
        </is>
      </c>
      <c r="G450" t="inlineStr">
        <is>
          <t>Изменение выдержки на один стоп можно компенсировать диафрагмой: если укоротить время вдвое, нужно открыть отверстие на стоп для той же яркости.</t>
        </is>
      </c>
      <c r="H450" t="inlineStr">
        <is>
          <t>Оптические инструменты</t>
        </is>
      </c>
      <c r="I450" t="inlineStr">
        <is>
          <t>Shutter/aperture compensation</t>
        </is>
      </c>
      <c r="J450" t="inlineStr">
        <is>
          <t>Появляется логика эквивалентных экспозиций: яркость может остаться той же, но движение и глубина резкости изменятся.</t>
        </is>
      </c>
      <c r="K450" t="inlineStr">
        <is>
          <t>Панорамирование</t>
        </is>
      </c>
      <c r="L450" t="inlineStr">
        <is>
          <t>ISO как третий параметр</t>
        </is>
      </c>
      <c r="M450" t="inlineStr">
        <is>
          <t>Главная линия / эквивалентность</t>
        </is>
      </c>
      <c r="N450" t="n">
        <v>5</v>
      </c>
      <c r="O450" t="inlineStr">
        <is>
          <t>PL-043</t>
        </is>
      </c>
      <c r="P450" t="inlineStr">
        <is>
          <t>SRC-308</t>
        </is>
      </c>
      <c r="Q450" t="inlineStr">
        <is>
          <t>Canon Canada — Canon Outside of Auto: Tips</t>
        </is>
      </c>
      <c r="R450" t="inlineStr">
        <is>
          <t>https://www.canon.ca/CanonOutsideOfAuto/tips?lang=en</t>
        </is>
      </c>
      <c r="S450" t="n">
        <v>5</v>
      </c>
      <c r="T450" t="inlineStr">
        <is>
          <t>Мост к PL-045 и PL-046: именно здесь ученик начинает понимать «переставлять настройки».</t>
        </is>
      </c>
      <c r="U450" t="inlineStr">
        <is>
          <t>Весы экспозиции: слева 1/250 + f/4, справа 1/125 + f/5.6, баланс одинаковый.</t>
        </is>
      </c>
      <c r="V450" t="inlineStr">
        <is>
          <t>#PL043 #equivalentexposure #stops #aperture</t>
        </is>
      </c>
      <c r="Y450" t="inlineStr">
        <is>
          <t>Выдержка / компенсация стопами</t>
        </is>
      </c>
      <c r="Z450" t="inlineStr">
        <is>
          <t>Технология / процесс</t>
        </is>
      </c>
    </row>
    <row r="451" ht="17" customHeight="1" s="72">
      <c r="A451" t="inlineStr">
        <is>
          <t>PL-HIST-0450</t>
        </is>
      </c>
      <c r="B451" t="inlineStr">
        <is>
          <t>сегодня</t>
        </is>
      </c>
      <c r="C451" t="inlineStr">
        <is>
          <t>примерно</t>
        </is>
      </c>
      <c r="D451" t="inlineStr">
        <is>
          <t>глобально</t>
        </is>
      </c>
      <c r="E451" t="inlineStr">
        <is>
          <t>PHOTO LAB / модуль экспозиции</t>
        </is>
      </c>
      <c r="F451" t="inlineStr">
        <is>
          <t>PHOTO LAB by VF</t>
        </is>
      </c>
      <c r="G451" t="inlineStr">
        <is>
          <t>Итог PL-043: выдержка — это время действия света. Она управляет яркостью и движением: может заморозить момент или показать его след.</t>
        </is>
      </c>
      <c r="H451" t="inlineStr">
        <is>
          <t>Оптические инструменты</t>
        </is>
      </c>
      <c r="I451" t="inlineStr">
        <is>
          <t>Shutter speed as time decision</t>
        </is>
      </c>
      <c r="J451" t="inlineStr">
        <is>
          <t>Курс готов перейти к ISO: если диафрагма — ширина, выдержка — время, то ISO задаёт чувствительность материала или усиление сигнала.</t>
        </is>
      </c>
      <c r="K451" t="inlineStr">
        <is>
          <t>Компенсация выдержкой</t>
        </is>
      </c>
      <c r="L451" t="inlineStr">
        <is>
          <t>PL-044 — ISO как чувствительность</t>
        </is>
      </c>
      <c r="M451" t="inlineStr">
        <is>
          <t>Связь / переход</t>
        </is>
      </c>
      <c r="N451" t="n">
        <v>5</v>
      </c>
      <c r="O451" t="inlineStr">
        <is>
          <t>PL-043</t>
        </is>
      </c>
      <c r="P451" t="inlineStr">
        <is>
          <t>SRC-300</t>
        </is>
      </c>
      <c r="Q451" t="inlineStr">
        <is>
          <t>Nikon USA — Understanding Shutter Speed</t>
        </is>
      </c>
      <c r="R451" t="inlineStr">
        <is>
          <t>https://www.nikonusa.com/learn-and-explore/c/tips-and-techniques/understanding-shutter-speed</t>
        </is>
      </c>
      <c r="S451" t="n">
        <v>5</v>
      </c>
      <c r="T451" t="inlineStr">
        <is>
          <t>Формула урока: выдержка отвечает за время, а время отвечает за движение.</t>
        </is>
      </c>
      <c r="U451" t="inlineStr">
        <is>
          <t>Затвор закрывается, рядом появляется катушка ISO 400 и цифровая шкала ISO.</t>
        </is>
      </c>
      <c r="V451" t="inlineStr">
        <is>
          <t>#PL043 #summary #bridge #ISO</t>
        </is>
      </c>
      <c r="Y451" t="inlineStr">
        <is>
          <t>Выдержка / итог и мост</t>
        </is>
      </c>
      <c r="Z451" t="inlineStr">
        <is>
          <t>Связь / переход</t>
        </is>
      </c>
    </row>
    <row r="452" ht="17" customHeight="1" s="72">
      <c r="A452" t="inlineStr">
        <is>
          <t>PL-HIST-0451</t>
        </is>
      </c>
      <c r="B452" t="inlineStr">
        <is>
          <t>сегодня</t>
        </is>
      </c>
      <c r="C452" t="inlineStr">
        <is>
          <t>примерно</t>
        </is>
      </c>
      <c r="D452" t="inlineStr">
        <is>
          <t>глобально</t>
        </is>
      </c>
      <c r="E452" t="inlineStr">
        <is>
          <t>плёнка / сенсор</t>
        </is>
      </c>
      <c r="F452" t="inlineStr">
        <is>
          <t>фотограф</t>
        </is>
      </c>
      <c r="G452" t="inlineStr">
        <is>
          <t>У цифровой камеры ISO не меняет физическую чувствительность самого сенсора к свету — светочувствительность фотодиодов остаётся постоянной. Повышение ISO — это усиление уже полученного сигнала (аналоговое и/или цифровое обработчиком камеры), похожее на прибавление громкости: сигнал становится «громче», но вместе с ним усиливается и шум.</t>
        </is>
      </c>
      <c r="H452" t="inlineStr">
        <is>
          <t>Оптические инструменты</t>
        </is>
      </c>
      <c r="I452" t="inlineStr">
        <is>
          <t>ISO as post-exposure signal gain (digital) vs. physical emulsion sensitivity (film)</t>
        </is>
      </c>
      <c r="J452" t="inlineStr">
        <is>
          <t>ISO перестаёт быть «третьим источником света»: на цифровой камере он не собирает больше света на сенсоре — количество света по-прежнему определяют только диафрагма и выдержка, а ISO лишь усиливает уже отснятый сигнал той же ценой более заметного шума. На плёнке ситуация другая: там чувствительность — физическое свойство самой эмульсии (размер кристаллов галогенида серебра), а не последующее усиление.</t>
        </is>
      </c>
      <c r="K452" t="inlineStr">
        <is>
          <t>PL-043 — выдержка как время</t>
        </is>
      </c>
      <c r="L452" t="inlineStr">
        <is>
          <t>ISO плёнки и цифровое ISO</t>
        </is>
      </c>
      <c r="M452" t="inlineStr">
        <is>
          <t>Главная линия / ISO</t>
        </is>
      </c>
      <c r="N452" t="n">
        <v>5</v>
      </c>
      <c r="O452" t="inlineStr">
        <is>
          <t>PL-044</t>
        </is>
      </c>
      <c r="P452" t="inlineStr">
        <is>
          <t>SRC-314</t>
        </is>
      </c>
      <c r="Q452" t="inlineStr">
        <is>
          <t>PetaPixel — ISO Has Nothing to Do with Exposure</t>
        </is>
      </c>
      <c r="R452" t="inlineStr">
        <is>
          <t>https://petapixel.com/2020/03/05/iso-has-nothing-to-do-with-exposure-an-explanation-for-beginners/</t>
        </is>
      </c>
      <c r="S452" t="n">
        <v>4</v>
      </c>
      <c r="T452" t="inlineStr">
        <is>
          <t>Флагман PL-044: не повторять «ISO — чувствительность, выше ISO — меньше света нужно» дословно (см. PL-041 PL-HIST-0421) — уточнить механизм: на цифре ISO усиливает сигнал уже после экспозиции, а не собирает больше света; на плёнке чувствительность физическая. Это тонкость, о которой спорят и сами инженеры — подать как интересный факт, а не как строгий консенсус.</t>
        </is>
      </c>
      <c r="U452" t="inlineStr">
        <is>
          <t>Слева — фотодиод сенсора с постоянным размером; справа — усилитель сигнала с ручкой громкости и подписью «ISO = громкость, не яркость источника».</t>
        </is>
      </c>
      <c r="V452" t="inlineStr">
        <is>
          <t>#PL044 #ISO #signalgain #digitalsensor #noise</t>
        </is>
      </c>
      <c r="Y452" t="inlineStr">
        <is>
          <t>ISO / базовое определение</t>
        </is>
      </c>
      <c r="Z452" t="inlineStr">
        <is>
          <t>Ключевой исторический узел</t>
        </is>
      </c>
      <c r="AA452" t="inlineStr">
        <is>
          <t>да</t>
        </is>
      </c>
    </row>
    <row r="453" ht="17" customHeight="1" s="72">
      <c r="A453" t="inlineStr">
        <is>
          <t>PL-HIST-0452</t>
        </is>
      </c>
      <c r="B453" t="inlineStr">
        <is>
          <t>сегодня</t>
        </is>
      </c>
      <c r="C453" t="inlineStr">
        <is>
          <t>примерно</t>
        </is>
      </c>
      <c r="D453" t="inlineStr">
        <is>
          <t>глобально</t>
        </is>
      </c>
      <c r="E453" t="inlineStr">
        <is>
          <t>плёночная катушка</t>
        </is>
      </c>
      <c r="F453" t="inlineStr">
        <is>
          <t>фотограф</t>
        </is>
      </c>
      <c r="G453" t="inlineStr">
        <is>
          <t>На плёнке ISO обычно выбирается до съёмки: зарядил ISO 400 — весь ролик снимаешь как ISO 400, если не принимаешь специальное решение о push/pull.</t>
        </is>
      </c>
      <c r="H453" t="inlineStr">
        <is>
          <t>Оптические инструменты</t>
        </is>
      </c>
      <c r="I453" t="inlineStr">
        <is>
          <t>Film ISO / box speed</t>
        </is>
      </c>
      <c r="J453" t="inlineStr">
        <is>
          <t>Новичок понимает отличие плёнки от цифры: чувствительность нельзя свободно менять после каждого кадра без последствий.</t>
        </is>
      </c>
      <c r="K453" t="inlineStr">
        <is>
          <t>ISO как чувствительность</t>
        </is>
      </c>
      <c r="L453" t="inlineStr">
        <is>
          <t>Цифровое ISO</t>
        </is>
      </c>
      <c r="M453" t="inlineStr">
        <is>
          <t>Главная линия / плёнка</t>
        </is>
      </c>
      <c r="N453" t="n">
        <v>5</v>
      </c>
      <c r="O453" t="inlineStr">
        <is>
          <t>PL-044</t>
        </is>
      </c>
      <c r="P453" t="inlineStr">
        <is>
          <t>SRC-305</t>
        </is>
      </c>
      <c r="Q453" t="inlineStr">
        <is>
          <t>Canon U.S.A. — Photography Terms for Every New Photographer</t>
        </is>
      </c>
      <c r="R453" t="inlineStr">
        <is>
          <t>https://www.usa.canon.com/learning/training-articles/training-articles-list/10-photography-terms-every-new-photographer-needs-to-know</t>
        </is>
      </c>
      <c r="S453" t="n">
        <v>5</v>
      </c>
      <c r="T453" t="inlineStr">
        <is>
          <t>Связать с PL-018: там ISO был материалом; здесь — параметр экспозиции в реальной съёмке.</t>
        </is>
      </c>
      <c r="U453" t="inlineStr">
        <is>
          <t>Кассета плёнки с крупной надписью ISO 400 и счётчик кадров 1–36.</t>
        </is>
      </c>
      <c r="V453" t="inlineStr">
        <is>
          <t>#PL044 #filmISO #boxspeed #filmphotography</t>
        </is>
      </c>
      <c r="Y453" t="inlineStr">
        <is>
          <t>ISO / плёночная чувствительность</t>
        </is>
      </c>
      <c r="Z453" t="inlineStr">
        <is>
          <t>Технология / процесс</t>
        </is>
      </c>
    </row>
    <row r="454" ht="17" customHeight="1" s="72">
      <c r="A454" t="inlineStr">
        <is>
          <t>PL-HIST-0453</t>
        </is>
      </c>
      <c r="B454" t="inlineStr">
        <is>
          <t>сегодня</t>
        </is>
      </c>
      <c r="C454" t="inlineStr">
        <is>
          <t>примерно</t>
        </is>
      </c>
      <c r="D454" t="inlineStr">
        <is>
          <t>глобально</t>
        </is>
      </c>
      <c r="E454" t="inlineStr">
        <is>
          <t>цифровая камера</t>
        </is>
      </c>
      <c r="F454" t="inlineStr">
        <is>
          <t>фотограф</t>
        </is>
      </c>
      <c r="G454" t="inlineStr">
        <is>
          <t>В цифровой камере ISO связано с чувствительностью/усилением сигнала: его можно менять от кадра к кадру, но рост ISO обычно повышает шум.</t>
        </is>
      </c>
      <c r="H454" t="inlineStr">
        <is>
          <t>Оптические инструменты</t>
        </is>
      </c>
      <c r="I454" t="inlineStr">
        <is>
          <t>Digital ISO / signal gain</t>
        </is>
      </c>
      <c r="J454" t="inlineStr">
        <is>
          <t>Появляется честное различие: плёночное зерно и цифровой шум похожи по ощущению, но имеют разную природу.</t>
        </is>
      </c>
      <c r="K454" t="inlineStr">
        <is>
          <t>Плёночное ISO</t>
        </is>
      </c>
      <c r="L454" t="inlineStr">
        <is>
          <t>Шум и зерно</t>
        </is>
      </c>
      <c r="M454" t="inlineStr">
        <is>
          <t>Главная линия / цифровой мост</t>
        </is>
      </c>
      <c r="N454" t="n">
        <v>5</v>
      </c>
      <c r="O454" t="inlineStr">
        <is>
          <t>PL-044</t>
        </is>
      </c>
      <c r="P454" t="inlineStr">
        <is>
          <t>SRC-304</t>
        </is>
      </c>
      <c r="Q454" t="inlineStr">
        <is>
          <t>Nikon — What is ISO in photography?</t>
        </is>
      </c>
      <c r="R454" t="inlineStr">
        <is>
          <t>https://www.nikon.nl/nl_NL/learn-and-explore/magazine/tips-and-tricks/what-is-iso</t>
        </is>
      </c>
      <c r="S454" t="n">
        <v>5</v>
      </c>
      <c r="T454" t="inlineStr">
        <is>
          <t>Не углубляться в электронику, но отметить: ISO в цифре — не то же самое, что чувствительность кристаллов плёнки.</t>
        </is>
      </c>
      <c r="U454" t="inlineStr">
        <is>
          <t>Экран камеры с ISO 100 → 3200; рядом увеличенный фрагмент с цифровым шумом.</t>
        </is>
      </c>
      <c r="V454" t="inlineStr">
        <is>
          <t>#PL044 #digitalISO #noise #sensor</t>
        </is>
      </c>
      <c r="Y454" t="inlineStr">
        <is>
          <t>ISO / цифровое ISO</t>
        </is>
      </c>
      <c r="Z454" t="inlineStr">
        <is>
          <t>Связь / переход</t>
        </is>
      </c>
    </row>
    <row r="455" ht="17" customHeight="1" s="72">
      <c r="A455" t="inlineStr">
        <is>
          <t>PL-HIST-0454</t>
        </is>
      </c>
      <c r="B455" t="inlineStr">
        <is>
          <t>сегодня</t>
        </is>
      </c>
      <c r="C455" t="inlineStr">
        <is>
          <t>примерно</t>
        </is>
      </c>
      <c r="D455" t="inlineStr">
        <is>
          <t>глобально</t>
        </is>
      </c>
      <c r="E455" t="inlineStr">
        <is>
          <t>качество изображения</t>
        </is>
      </c>
      <c r="F455" t="inlineStr">
        <is>
          <t>фотограф</t>
        </is>
      </c>
      <c r="G455" t="inlineStr">
        <is>
          <t>Низкое ISO обычно даёт более чистое изображение, но требует больше света: шире диафрагму, длиннее выдержку или более яркую сцену.</t>
        </is>
      </c>
      <c r="H455" t="inlineStr">
        <is>
          <t>Оптические инструменты</t>
        </is>
      </c>
      <c r="I455" t="inlineStr">
        <is>
          <t>Low ISO / clean image</t>
        </is>
      </c>
      <c r="J455" t="inlineStr">
        <is>
          <t>ISO связывается с качеством: меньше усиления или более медленная плёнка часто дают более аккуратную фактуру.</t>
        </is>
      </c>
      <c r="K455" t="inlineStr">
        <is>
          <t>Цифровое ISO</t>
        </is>
      </c>
      <c r="L455" t="inlineStr">
        <is>
          <t>Высокое ISO</t>
        </is>
      </c>
      <c r="M455" t="inlineStr">
        <is>
          <t>Главная линия / качество</t>
        </is>
      </c>
      <c r="N455" t="n">
        <v>4</v>
      </c>
      <c r="O455" t="inlineStr">
        <is>
          <t>PL-044</t>
        </is>
      </c>
      <c r="P455" t="inlineStr">
        <is>
          <t>SRC-304</t>
        </is>
      </c>
      <c r="Q455" t="inlineStr">
        <is>
          <t>Nikon — What is ISO in photography?</t>
        </is>
      </c>
      <c r="R455" t="inlineStr">
        <is>
          <t>https://www.nikon.nl/nl_NL/learn-and-explore/magazine/tips-and-tricks/what-is-iso</t>
        </is>
      </c>
      <c r="S455" t="n">
        <v>5</v>
      </c>
      <c r="T455" t="inlineStr">
        <is>
          <t>Формула для новичка: ISO 100 — красиво и чисто, но просит света.</t>
        </is>
      </c>
      <c r="U455" t="inlineStr">
        <is>
          <t>Солнечная сцена, ISO 100, мелкая фактура без заметного зерна/шума.</t>
        </is>
      </c>
      <c r="V455" t="inlineStr">
        <is>
          <t>#PL044 #lowISO #imagequality #cleanimage</t>
        </is>
      </c>
      <c r="Y455" t="inlineStr">
        <is>
          <t>ISO / низкая чувствительность</t>
        </is>
      </c>
      <c r="Z455" t="inlineStr">
        <is>
          <t>Применение / жанр</t>
        </is>
      </c>
    </row>
    <row r="456" ht="17" customHeight="1" s="72">
      <c r="A456" t="inlineStr">
        <is>
          <t>PL-HIST-0455</t>
        </is>
      </c>
      <c r="B456" t="inlineStr">
        <is>
          <t>сегодня</t>
        </is>
      </c>
      <c r="C456" t="inlineStr">
        <is>
          <t>примерно</t>
        </is>
      </c>
      <c r="D456" t="inlineStr">
        <is>
          <t>глобально</t>
        </is>
      </c>
      <c r="E456" t="inlineStr">
        <is>
          <t>слабый свет / движение</t>
        </is>
      </c>
      <c r="F456" t="inlineStr">
        <is>
          <t>фотограф</t>
        </is>
      </c>
      <c r="G456" t="inlineStr">
        <is>
          <t>Высокое ISO помогает снимать при меньшем количестве света или использовать более короткую выдержку, но платой становятся зерно или шум.</t>
        </is>
      </c>
      <c r="H456" t="inlineStr">
        <is>
          <t>Оптические инструменты</t>
        </is>
      </c>
      <c r="I456" t="inlineStr">
        <is>
          <t>High ISO / less light needed</t>
        </is>
      </c>
      <c r="J456" t="inlineStr">
        <is>
          <t>ISO становится инструментом спасения кадра: лучше шумный резкий кадр, чем чистый, но смазанный.</t>
        </is>
      </c>
      <c r="K456" t="inlineStr">
        <is>
          <t>Низкое ISO</t>
        </is>
      </c>
      <c r="L456" t="inlineStr">
        <is>
          <t>ISO и выдержка</t>
        </is>
      </c>
      <c r="M456" t="inlineStr">
        <is>
          <t>Главная линия / компромисс</t>
        </is>
      </c>
      <c r="N456" t="n">
        <v>5</v>
      </c>
      <c r="O456" t="inlineStr">
        <is>
          <t>PL-044</t>
        </is>
      </c>
      <c r="P456" t="inlineStr">
        <is>
          <t>SRC-303</t>
        </is>
      </c>
      <c r="Q456" t="inlineStr">
        <is>
          <t>Nikon USA — Understanding ISO Sensitivity</t>
        </is>
      </c>
      <c r="R456" t="inlineStr">
        <is>
          <t>https://www.nikonusa.com/learn-and-explore/c/tips-and-techniques/understanding-iso-sensitivity</t>
        </is>
      </c>
      <c r="S456" t="n">
        <v>5</v>
      </c>
      <c r="T456" t="inlineStr">
        <is>
          <t>Полезный практический вывод: ISO поднимают не от лени, а когда нужно удержать выдержку или диафрагму.</t>
        </is>
      </c>
      <c r="U456" t="inlineStr">
        <is>
          <t>Ночная улица: ISO 1600 позволяет удержать 1/125, но в тенях видна фактура.</t>
        </is>
      </c>
      <c r="V456" t="inlineStr">
        <is>
          <t>#PL044 #highISO #grain #noise #lowlight</t>
        </is>
      </c>
      <c r="Y456" t="inlineStr">
        <is>
          <t>ISO / высокая чувствительность</t>
        </is>
      </c>
      <c r="Z456" t="inlineStr">
        <is>
          <t>Технология / процесс</t>
        </is>
      </c>
    </row>
    <row r="457" ht="17" customHeight="1" s="72">
      <c r="A457" t="inlineStr">
        <is>
          <t>PL-HIST-0456</t>
        </is>
      </c>
      <c r="B457" t="inlineStr">
        <is>
          <t>сегодня</t>
        </is>
      </c>
      <c r="C457" t="inlineStr">
        <is>
          <t>примерно</t>
        </is>
      </c>
      <c r="D457" t="inlineStr">
        <is>
          <t>глобально</t>
        </is>
      </c>
      <c r="E457" t="inlineStr">
        <is>
          <t>движение / съёмка с рук</t>
        </is>
      </c>
      <c r="F457" t="inlineStr">
        <is>
          <t>фотограф</t>
        </is>
      </c>
      <c r="G457" t="inlineStr">
        <is>
          <t>Повышение ISO позволяет укоротить выдержку: материалу или сенсору нужно меньше света, поэтому время экспозиции можно сделать короче.</t>
        </is>
      </c>
      <c r="H457" t="inlineStr">
        <is>
          <t>Оптические инструменты</t>
        </is>
      </c>
      <c r="I457" t="inlineStr">
        <is>
          <t>ISO and shutter speed</t>
        </is>
      </c>
      <c r="J457" t="inlineStr">
        <is>
          <t>Ученик видит практическую связь: ISO помогает бороться со смазом, когда нельзя открыть диафрагму сильнее.</t>
        </is>
      </c>
      <c r="K457" t="inlineStr">
        <is>
          <t>Высокое ISO</t>
        </is>
      </c>
      <c r="L457" t="inlineStr">
        <is>
          <t>ISO и диафрагма</t>
        </is>
      </c>
      <c r="M457" t="inlineStr">
        <is>
          <t>Главная линия / связь параметров</t>
        </is>
      </c>
      <c r="N457" t="n">
        <v>5</v>
      </c>
      <c r="O457" t="inlineStr">
        <is>
          <t>PL-044</t>
        </is>
      </c>
      <c r="P457" t="inlineStr">
        <is>
          <t>SRC-303</t>
        </is>
      </c>
      <c r="Q457" t="inlineStr">
        <is>
          <t>Nikon USA — Understanding ISO Sensitivity</t>
        </is>
      </c>
      <c r="R457" t="inlineStr">
        <is>
          <t>https://www.nikonusa.com/learn-and-explore/c/tips-and-techniques/understanding-iso-sensitivity</t>
        </is>
      </c>
      <c r="S457" t="n">
        <v>5</v>
      </c>
      <c r="T457" t="inlineStr">
        <is>
          <t>Пример: было 1/30 при ISO 100, стало 1/125 при ISO 400 при той же диафрагме.</t>
        </is>
      </c>
      <c r="U457" t="inlineStr">
        <is>
          <t>Шкала ISO 100 → 400, выдержка рядом меняется с 1/30 на 1/125.</t>
        </is>
      </c>
      <c r="V457" t="inlineStr">
        <is>
          <t>#PL044 #ISO #shutterspeed #handheld</t>
        </is>
      </c>
      <c r="Y457" t="inlineStr">
        <is>
          <t>ISO / связь с выдержкой</t>
        </is>
      </c>
      <c r="Z457" t="inlineStr">
        <is>
          <t>Технология / процесс</t>
        </is>
      </c>
    </row>
    <row r="458" ht="17" customHeight="1" s="72">
      <c r="A458" t="inlineStr">
        <is>
          <t>PL-HIST-0457</t>
        </is>
      </c>
      <c r="B458" t="inlineStr">
        <is>
          <t>сегодня</t>
        </is>
      </c>
      <c r="C458" t="inlineStr">
        <is>
          <t>примерно</t>
        </is>
      </c>
      <c r="D458" t="inlineStr">
        <is>
          <t>глобально</t>
        </is>
      </c>
      <c r="E458" t="inlineStr">
        <is>
          <t>глубина резкости / диафрагма</t>
        </is>
      </c>
      <c r="F458" t="inlineStr">
        <is>
          <t>фотограф</t>
        </is>
      </c>
      <c r="G458" t="inlineStr">
        <is>
          <t>Повышение ISO может позволить закрыть диафрагму и получить больше глубины резкости при той же выдержке.</t>
        </is>
      </c>
      <c r="H458" t="inlineStr">
        <is>
          <t>Оптические инструменты</t>
        </is>
      </c>
      <c r="I458" t="inlineStr">
        <is>
          <t>ISO and aperture</t>
        </is>
      </c>
      <c r="J458" t="inlineStr">
        <is>
          <t>ISO помогает не только в темноте, но и в выборе резкости: можно сохранить скорость затвора и закрыть отверстие.</t>
        </is>
      </c>
      <c r="K458" t="inlineStr">
        <is>
          <t>ISO и выдержка</t>
        </is>
      </c>
      <c r="L458" t="inlineStr">
        <is>
          <t>ISO в треугольнике</t>
        </is>
      </c>
      <c r="M458" t="inlineStr">
        <is>
          <t>Главная линия / связь параметров</t>
        </is>
      </c>
      <c r="N458" t="n">
        <v>4</v>
      </c>
      <c r="O458" t="inlineStr">
        <is>
          <t>PL-044</t>
        </is>
      </c>
      <c r="P458" t="inlineStr">
        <is>
          <t>SRC-306</t>
        </is>
      </c>
      <c r="Q458" t="inlineStr">
        <is>
          <t>Nikon — Mastering the Exposure Triangle</t>
        </is>
      </c>
      <c r="R458" t="inlineStr">
        <is>
          <t>https://www.nikon.nl/nl_NL/learn-and-explore/magazine/tips-and-tricks/understanding-the-exposure-triangle</t>
        </is>
      </c>
      <c r="S458" t="n">
        <v>5</v>
      </c>
      <c r="T458" t="inlineStr">
        <is>
          <t>Хорошо показать в пейзаже или уличной сцене: нужна резкость в глубину, но света мало.</t>
        </is>
      </c>
      <c r="U458" t="inlineStr">
        <is>
          <t>Уличная сцена: ISO 800 позволяет f/8 вместо f/4, глубина резкости увеличивается.</t>
        </is>
      </c>
      <c r="V458" t="inlineStr">
        <is>
          <t>#PL044 #ISO #aperture #depthoffield</t>
        </is>
      </c>
      <c r="Y458" t="inlineStr">
        <is>
          <t>ISO / связь с диафрагмой</t>
        </is>
      </c>
      <c r="Z458" t="inlineStr">
        <is>
          <t>Технология / процесс</t>
        </is>
      </c>
    </row>
    <row r="459" ht="17" customHeight="1" s="72">
      <c r="A459" t="inlineStr">
        <is>
          <t>PL-HIST-0458</t>
        </is>
      </c>
      <c r="B459" t="inlineStr">
        <is>
          <t>сегодня</t>
        </is>
      </c>
      <c r="C459" t="inlineStr">
        <is>
          <t>примерно</t>
        </is>
      </c>
      <c r="D459" t="inlineStr">
        <is>
          <t>глобально</t>
        </is>
      </c>
      <c r="E459" t="inlineStr">
        <is>
          <t>автоматика камеры</t>
        </is>
      </c>
      <c r="F459" t="inlineStr">
        <is>
          <t>фотограф</t>
        </is>
      </c>
      <c r="G459" t="inlineStr">
        <is>
          <t>Auto ISO даёт камере право менять чувствительность, чтобы удержать нужную выдержку или диафрагму в меняющемся свете.</t>
        </is>
      </c>
      <c r="H459" t="inlineStr">
        <is>
          <t>Оптические инструменты</t>
        </is>
      </c>
      <c r="I459" t="inlineStr">
        <is>
          <t>Auto ISO</t>
        </is>
      </c>
      <c r="J459" t="inlineStr">
        <is>
          <t>Современная автоматика становится понятной: она не отменяет экспозицию, а автоматически двигает один из её параметров.</t>
        </is>
      </c>
      <c r="K459" t="inlineStr">
        <is>
          <t>ISO и диафрагма</t>
        </is>
      </c>
      <c r="L459" t="inlineStr">
        <is>
          <t>Ручной ISO</t>
        </is>
      </c>
      <c r="M459" t="inlineStr">
        <is>
          <t>Главная линия / автоматизация</t>
        </is>
      </c>
      <c r="N459" t="n">
        <v>4</v>
      </c>
      <c r="O459" t="inlineStr">
        <is>
          <t>PL-044</t>
        </is>
      </c>
      <c r="P459" t="inlineStr">
        <is>
          <t>SRC-304</t>
        </is>
      </c>
      <c r="Q459" t="inlineStr">
        <is>
          <t>Nikon — What is ISO in photography?</t>
        </is>
      </c>
      <c r="R459" t="inlineStr">
        <is>
          <t>https://www.nikon.nl/nl_NL/learn-and-explore/magazine/tips-and-tricks/what-is-iso</t>
        </is>
      </c>
      <c r="S459" t="n">
        <v>5</v>
      </c>
      <c r="T459" t="inlineStr">
        <is>
          <t>Связать с PL-023: автоматика полезна, если понимаешь, что именно она меняет.</t>
        </is>
      </c>
      <c r="U459" t="inlineStr">
        <is>
          <t>Экран камеры: Auto ISO, минимальная выдержка 1/125, верхний предел ISO 3200.</t>
        </is>
      </c>
      <c r="V459" t="inlineStr">
        <is>
          <t>#PL044 #autoISO #cameraautomation #exposure</t>
        </is>
      </c>
      <c r="Y459" t="inlineStr">
        <is>
          <t>ISO / Auto ISO</t>
        </is>
      </c>
      <c r="Z459" t="inlineStr">
        <is>
          <t>Инструмент / устройство</t>
        </is>
      </c>
    </row>
    <row r="460" ht="17" customHeight="1" s="72">
      <c r="A460" t="inlineStr">
        <is>
          <t>PL-HIST-0459</t>
        </is>
      </c>
      <c r="B460" t="inlineStr">
        <is>
          <t>сегодня</t>
        </is>
      </c>
      <c r="C460" t="inlineStr">
        <is>
          <t>примерно</t>
        </is>
      </c>
      <c r="D460" t="inlineStr">
        <is>
          <t>глобально</t>
        </is>
      </c>
      <c r="E460" t="inlineStr">
        <is>
          <t>ручной режим / обучение</t>
        </is>
      </c>
      <c r="F460" t="inlineStr">
        <is>
          <t>фотограф</t>
        </is>
      </c>
      <c r="G460" t="inlineStr">
        <is>
          <t>Ручной выбор ISO нужен, когда фотограф хочет заранее контролировать фактуру, зерно/шум и диапазон доступных выдержек.</t>
        </is>
      </c>
      <c r="H460" t="inlineStr">
        <is>
          <t>Оптические инструменты</t>
        </is>
      </c>
      <c r="I460" t="inlineStr">
        <is>
          <t>Manual ISO choice</t>
        </is>
      </c>
      <c r="J460" t="inlineStr">
        <is>
          <t>ISO перестаёт быть аварийной настройкой и становится частью авторского контроля над материалом.</t>
        </is>
      </c>
      <c r="K460" t="inlineStr">
        <is>
          <t>Auto ISO</t>
        </is>
      </c>
      <c r="L460" t="inlineStr">
        <is>
          <t>Экспозиционный треугольник</t>
        </is>
      </c>
      <c r="M460" t="inlineStr">
        <is>
          <t>Главная линия / авторский выбор</t>
        </is>
      </c>
      <c r="N460" t="n">
        <v>4</v>
      </c>
      <c r="O460" t="inlineStr">
        <is>
          <t>PL-044</t>
        </is>
      </c>
      <c r="P460" t="inlineStr">
        <is>
          <t>SRC-303</t>
        </is>
      </c>
      <c r="Q460" t="inlineStr">
        <is>
          <t>Nikon USA — Understanding ISO Sensitivity</t>
        </is>
      </c>
      <c r="R460" t="inlineStr">
        <is>
          <t>https://www.nikonusa.com/learn-and-explore/c/tips-and-techniques/understanding-iso-sensitivity</t>
        </is>
      </c>
      <c r="S460" t="n">
        <v>5</v>
      </c>
      <c r="T460" t="inlineStr">
        <is>
          <t>Хороший мост к плёночному мышлению: выбор ISO — это выбор характера съёмки.</t>
        </is>
      </c>
      <c r="U460" t="inlineStr">
        <is>
          <t>Три карточки выбора: ISO 100 — свет/чистота, ISO 400 — универсально, ISO 1600 — темнота/фактура.</t>
        </is>
      </c>
      <c r="V460" t="inlineStr">
        <is>
          <t>#PL044 #manualISO #grain #authorchoice</t>
        </is>
      </c>
      <c r="Y460" t="inlineStr">
        <is>
          <t>ISO / ручной выбор</t>
        </is>
      </c>
      <c r="Z460" t="inlineStr">
        <is>
          <t>Применение / жанр</t>
        </is>
      </c>
    </row>
    <row r="461" ht="17" customHeight="1" s="72">
      <c r="A461" t="inlineStr">
        <is>
          <t>PL-HIST-0460</t>
        </is>
      </c>
      <c r="B461" t="inlineStr">
        <is>
          <t>сегодня</t>
        </is>
      </c>
      <c r="C461" t="inlineStr">
        <is>
          <t>примерно</t>
        </is>
      </c>
      <c r="D461" t="inlineStr">
        <is>
          <t>глобально</t>
        </is>
      </c>
      <c r="E461" t="inlineStr">
        <is>
          <t>экспозиционный треугольник</t>
        </is>
      </c>
      <c r="F461" t="inlineStr">
        <is>
          <t>фотограф</t>
        </is>
      </c>
      <c r="G461" t="inlineStr">
        <is>
          <t>ISO — третий угол треугольника: он не заменяет диафрагму и выдержку, а меняет условия, в которых они подбираются.</t>
        </is>
      </c>
      <c r="H461" t="inlineStr">
        <is>
          <t>Оптические инструменты</t>
        </is>
      </c>
      <c r="I461" t="inlineStr">
        <is>
          <t>ISO as third exposure variable</t>
        </is>
      </c>
      <c r="J461" t="inlineStr">
        <is>
          <t>Ученик готов собрать три параметра в единую модель: ширина света, время света и чувствительность.</t>
        </is>
      </c>
      <c r="K461" t="inlineStr">
        <is>
          <t>Ручной выбор ISO</t>
        </is>
      </c>
      <c r="L461" t="inlineStr">
        <is>
          <t>PL-045 — экспозиционный треугольник</t>
        </is>
      </c>
      <c r="M461" t="inlineStr">
        <is>
          <t>Главная линия / модель</t>
        </is>
      </c>
      <c r="N461" t="n">
        <v>5</v>
      </c>
      <c r="O461" t="inlineStr">
        <is>
          <t>PL-044</t>
        </is>
      </c>
      <c r="P461" t="inlineStr">
        <is>
          <t>SRC-306</t>
        </is>
      </c>
      <c r="Q461" t="inlineStr">
        <is>
          <t>Nikon — Mastering the Exposure Triangle</t>
        </is>
      </c>
      <c r="R461" t="inlineStr">
        <is>
          <t>https://www.nikon.nl/nl_NL/learn-and-explore/magazine/tips-and-tricks/understanding-the-exposure-triangle</t>
        </is>
      </c>
      <c r="S461" t="n">
        <v>5</v>
      </c>
      <c r="T461" t="inlineStr">
        <is>
          <t>Финальная сцепка: aperture = сколько за момент, shutter = как долго, ISO = сколько нужно.</t>
        </is>
      </c>
      <c r="U461" t="inlineStr">
        <is>
          <t>Треугольник с тремя вершинами; ISO подсвечивается золотом, остальные две вершины уже знакомы.</t>
        </is>
      </c>
      <c r="V461" t="inlineStr">
        <is>
          <t>#PL044 #ISO #exposuretriangle #balance</t>
        </is>
      </c>
      <c r="Y461" t="inlineStr">
        <is>
          <t>ISO / место в треугольнике</t>
        </is>
      </c>
      <c r="Z461" t="inlineStr">
        <is>
          <t>Связь / переход</t>
        </is>
      </c>
    </row>
    <row r="462" ht="17" customHeight="1" s="72">
      <c r="A462" t="inlineStr">
        <is>
          <t>PL-HIST-0461</t>
        </is>
      </c>
      <c r="B462" t="inlineStr">
        <is>
          <t>сегодня</t>
        </is>
      </c>
      <c r="C462" t="inlineStr">
        <is>
          <t>примерно</t>
        </is>
      </c>
      <c r="D462" t="inlineStr">
        <is>
          <t>глобально</t>
        </is>
      </c>
      <c r="E462" t="inlineStr">
        <is>
          <t>PHOTO LAB / модуль экспозиции</t>
        </is>
      </c>
      <c r="F462" t="inlineStr">
        <is>
          <t>PHOTO LAB by VF</t>
        </is>
      </c>
      <c r="G462" t="inlineStr">
        <is>
          <t>Итог PL-044: ISO — это чувствительность или усиление. Оно помогает снимать при меньшем свете, но влияет на качество, фактуру и доступные пары настроек.</t>
        </is>
      </c>
      <c r="H462" t="inlineStr">
        <is>
          <t>Оптические инструменты</t>
        </is>
      </c>
      <c r="I462" t="inlineStr">
        <is>
          <t>ISO as exposure constraint</t>
        </is>
      </c>
      <c r="J462" t="inlineStr">
        <is>
          <t>После диафрагмы, выдержки и ISO курс переходит к их общей системе — экспозиционному треугольнику.</t>
        </is>
      </c>
      <c r="K462" t="inlineStr">
        <is>
          <t>ISO в треугольнике</t>
        </is>
      </c>
      <c r="L462" t="inlineStr">
        <is>
          <t>PL-045 — экспозиционный треугольник</t>
        </is>
      </c>
      <c r="M462" t="inlineStr">
        <is>
          <t>Связь / переход</t>
        </is>
      </c>
      <c r="N462" t="n">
        <v>5</v>
      </c>
      <c r="O462" t="inlineStr">
        <is>
          <t>PL-044</t>
        </is>
      </c>
      <c r="P462" t="inlineStr">
        <is>
          <t>SRC-303</t>
        </is>
      </c>
      <c r="Q462" t="inlineStr">
        <is>
          <t>Nikon USA — Understanding ISO Sensitivity</t>
        </is>
      </c>
      <c r="R462" t="inlineStr">
        <is>
          <t>https://www.nikonusa.com/learn-and-explore/c/tips-and-techniques/understanding-iso-sensitivity</t>
        </is>
      </c>
      <c r="S462" t="n">
        <v>5</v>
      </c>
      <c r="T462" t="inlineStr">
        <is>
          <t>Главная мысль: ISO — не волшебная яркость, а компромисс между светом, временем, резкостью и фактурой.</t>
        </is>
      </c>
      <c r="U462" t="inlineStr">
        <is>
          <t>Катушка плёнки и цифровой сенсор стоят рядом; над ними одна шкала ISO.</t>
        </is>
      </c>
      <c r="V462" t="inlineStr">
        <is>
          <t>#PL044 #summary #bridge #exposuretriangle</t>
        </is>
      </c>
      <c r="Y462" t="inlineStr">
        <is>
          <t>ISO / итог и мост</t>
        </is>
      </c>
      <c r="Z462" t="inlineStr">
        <is>
          <t>Связь / переход</t>
        </is>
      </c>
    </row>
    <row r="463" ht="17" customHeight="1" s="72">
      <c r="A463" t="inlineStr">
        <is>
          <t>PL-HIST-0462</t>
        </is>
      </c>
      <c r="B463" t="inlineStr">
        <is>
          <t>сегодня</t>
        </is>
      </c>
      <c r="C463" t="inlineStr">
        <is>
          <t>примерно</t>
        </is>
      </c>
      <c r="D463" t="inlineStr">
        <is>
          <t>глобально</t>
        </is>
      </c>
      <c r="E463" t="inlineStr">
        <is>
          <t>камера / ручной режим</t>
        </is>
      </c>
      <c r="F463" t="inlineStr">
        <is>
          <t>фотограф</t>
        </is>
      </c>
      <c r="G463" t="inlineStr">
        <is>
          <t>Модель «экспозиционного треугольника» ставит диафрагму, выдержку и ISO как три равноправные вершины — но физически на количество света, попадающего на сенсор, влияют только диафрагма и выдержка. ISO ничего не «собирает»: он лишь усиливает уже отснятый сигнал, поэтому часть инженеров и фотографов называет классический треугольник педагогическим упрощением, а не точной физической моделью.</t>
        </is>
      </c>
      <c r="H463" t="inlineStr">
        <is>
          <t>Оптические инструменты</t>
        </is>
      </c>
      <c r="I463" t="inlineStr">
        <is>
          <t>Exposure triangle critique / ISO invariance</t>
        </is>
      </c>
      <c r="J463" t="inlineStr">
        <is>
          <t>Треугольник остаётся полезным способом думать о съёмке, но перестаёт быть буквальной физикой: фотограф учится различать «сколько света я собрал» (диафрагма + выдержка) и «как я усилил то, что собрал» (ISO) — это два разных вопроса, а не три равных угла одной фигуры.</t>
        </is>
      </c>
      <c r="K463" t="inlineStr">
        <is>
          <t>PL-044 — ISO как чувствительность</t>
        </is>
      </c>
      <c r="L463" t="inlineStr">
        <is>
          <t>Три параметра и их эффекты</t>
        </is>
      </c>
      <c r="M463" t="inlineStr">
        <is>
          <t>Главная линия / учебная модель</t>
        </is>
      </c>
      <c r="N463" t="n">
        <v>5</v>
      </c>
      <c r="O463" t="inlineStr">
        <is>
          <t>PL-045</t>
        </is>
      </c>
      <c r="P463" t="inlineStr">
        <is>
          <t>SRC-315</t>
        </is>
      </c>
      <c r="Q463" t="inlineStr">
        <is>
          <t>FastRawViewer — The Unbearable Lightness of Mystic "Exposure" Triangle</t>
        </is>
      </c>
      <c r="R463" t="inlineStr">
        <is>
          <t>https://www.fastrawviewer.com/blog/mystic-exposure-triangle</t>
        </is>
      </c>
      <c r="S463" t="n">
        <v>4</v>
      </c>
      <c r="T463" t="inlineStr">
        <is>
          <t>Флагман PL-045: не повторять вводную формулировку треугольника из PL-041 (PL-HIST-0422) дословно вместе с тем же самым дисклеймером «это модель, а не физика» — здесь эту мысль нужно обосновать: показать, почему именно ISO выбивается из треугольника (не собирает свет, а усиливает сигнал), а не просто заявить это как данность.</t>
        </is>
      </c>
      <c r="U463" t="inlineStr">
        <is>
          <t>Классический треугольник (диафрагма/выдержка/ISO), но одна вершина (ISO) нарисована пунктиром с подписью «не совсем то же самое, что две другие».</t>
        </is>
      </c>
      <c r="V463" t="inlineStr">
        <is>
          <t>#PL045 #exposuretriangle #ISOinvariance #criticism #model</t>
        </is>
      </c>
      <c r="Y463" t="inlineStr">
        <is>
          <t>Экспозиционный треугольник / базовая модель</t>
        </is>
      </c>
      <c r="Z463" t="inlineStr">
        <is>
          <t>Ключевой исторический узел</t>
        </is>
      </c>
      <c r="AA463" t="inlineStr">
        <is>
          <t>да</t>
        </is>
      </c>
    </row>
    <row r="464" ht="17" customHeight="1" s="72">
      <c r="A464" t="inlineStr">
        <is>
          <t>PL-HIST-0463</t>
        </is>
      </c>
      <c r="B464" t="inlineStr">
        <is>
          <t>сегодня</t>
        </is>
      </c>
      <c r="C464" t="inlineStr">
        <is>
          <t>примерно</t>
        </is>
      </c>
      <c r="D464" t="inlineStr">
        <is>
          <t>глобально</t>
        </is>
      </c>
      <c r="E464" t="inlineStr">
        <is>
          <t>три параметра экспозиции</t>
        </is>
      </c>
      <c r="F464" t="inlineStr">
        <is>
          <t>фотограф</t>
        </is>
      </c>
      <c r="G464" t="inlineStr">
        <is>
          <t>Каждая вершина треугольника влияет на яркость и на внешний вид кадра: диафрагма — на ГРИП, выдержка — на движение, ISO — на зерно или шум.</t>
        </is>
      </c>
      <c r="H464" t="inlineStr">
        <is>
          <t>Оптические инструменты</t>
        </is>
      </c>
      <c r="I464" t="inlineStr">
        <is>
          <t>Exposure variables and visual effects</t>
        </is>
      </c>
      <c r="J464" t="inlineStr">
        <is>
          <t>Экспозиция становится не только измерением света, но и выбором визуального характера фотографии.</t>
        </is>
      </c>
      <c r="K464" t="inlineStr">
        <is>
          <t>Базовая модель треугольника</t>
        </is>
      </c>
      <c r="L464" t="inlineStr">
        <is>
          <t>Баланс параметров</t>
        </is>
      </c>
      <c r="M464" t="inlineStr">
        <is>
          <t>Главная линия / визуальные эффекты</t>
        </is>
      </c>
      <c r="N464" t="n">
        <v>5</v>
      </c>
      <c r="O464" t="inlineStr">
        <is>
          <t>PL-045</t>
        </is>
      </c>
      <c r="P464" t="inlineStr">
        <is>
          <t>SRC-307</t>
        </is>
      </c>
      <c r="Q464" t="inlineStr">
        <is>
          <t>Canon Canada — Canon Outside of Auto: Photography 101</t>
        </is>
      </c>
      <c r="R464" t="inlineStr">
        <is>
          <t>https://www.canon.ca/CanonOutsideOfAuto/photography101</t>
        </is>
      </c>
      <c r="S464" t="n">
        <v>5</v>
      </c>
      <c r="T464" t="inlineStr">
        <is>
          <t>Это центральная образовательная польза: настройки отвечают не только за «светлее/темнее».</t>
        </is>
      </c>
      <c r="U464" t="inlineStr">
        <is>
          <t>Три мини-кадра: размытый фон, смазанное движение, зернистая фактура.</t>
        </is>
      </c>
      <c r="V464" t="inlineStr">
        <is>
          <t>#PL045 #visualeffects #depthoffield #motion #grain</t>
        </is>
      </c>
      <c r="Y464" t="inlineStr">
        <is>
          <t>Экспозиционный треугольник / визуальные эффекты</t>
        </is>
      </c>
      <c r="Z464" t="inlineStr">
        <is>
          <t>Технология / процесс</t>
        </is>
      </c>
    </row>
    <row r="465" ht="17" customHeight="1" s="72">
      <c r="A465" t="inlineStr">
        <is>
          <t>PL-HIST-0464</t>
        </is>
      </c>
      <c r="B465" t="inlineStr">
        <is>
          <t>сегодня</t>
        </is>
      </c>
      <c r="C465" t="inlineStr">
        <is>
          <t>примерно</t>
        </is>
      </c>
      <c r="D465" t="inlineStr">
        <is>
          <t>глобально</t>
        </is>
      </c>
      <c r="E465" t="inlineStr">
        <is>
          <t>ручной режим</t>
        </is>
      </c>
      <c r="F465" t="inlineStr">
        <is>
          <t>фотограф</t>
        </is>
      </c>
      <c r="G465" t="inlineStr">
        <is>
          <t>Если изменить один параметр, экспозиция изменится; чтобы сохранить яркость, нужно компенсировать это другим параметром.</t>
        </is>
      </c>
      <c r="H465" t="inlineStr">
        <is>
          <t>Оптические инструменты</t>
        </is>
      </c>
      <c r="I465" t="inlineStr">
        <is>
          <t>Exposure balance / compensation</t>
        </is>
      </c>
      <c r="J465" t="inlineStr">
        <is>
          <t>Фотограф начинает мыслить балансом: настройки не живут отдельно, они разговаривают друг с другом.</t>
        </is>
      </c>
      <c r="K465" t="inlineStr">
        <is>
          <t>Три эффекта параметров</t>
        </is>
      </c>
      <c r="L465" t="inlineStr">
        <is>
          <t>Эквивалентные экспозиции</t>
        </is>
      </c>
      <c r="M465" t="inlineStr">
        <is>
          <t>Главная линия / баланс</t>
        </is>
      </c>
      <c r="N465" t="n">
        <v>5</v>
      </c>
      <c r="O465" t="inlineStr">
        <is>
          <t>PL-045</t>
        </is>
      </c>
      <c r="P465" t="inlineStr">
        <is>
          <t>SRC-308</t>
        </is>
      </c>
      <c r="Q465" t="inlineStr">
        <is>
          <t>Canon Canada — Canon Outside of Auto: Tips</t>
        </is>
      </c>
      <c r="R465" t="inlineStr">
        <is>
          <t>https://www.canon.ca/CanonOutsideOfAuto/tips?lang=en</t>
        </is>
      </c>
      <c r="S465" t="n">
        <v>5</v>
      </c>
      <c r="T465" t="inlineStr">
        <is>
          <t>Дать через простую фразу: открыл окно — сократи время; поднял ISO — можно закрыть диафрагму.</t>
        </is>
      </c>
      <c r="U465" t="inlineStr">
        <is>
          <t>Весы с тремя чашами: aperture, shutter, ISO; одна двигается, две компенсируют.</t>
        </is>
      </c>
      <c r="V465" t="inlineStr">
        <is>
          <t>#PL045 #balance #compensation #settings</t>
        </is>
      </c>
      <c r="Y465" t="inlineStr">
        <is>
          <t>Экспозиционный треугольник / баланс</t>
        </is>
      </c>
      <c r="Z465" t="inlineStr">
        <is>
          <t>Технология / процесс</t>
        </is>
      </c>
    </row>
    <row r="466" ht="17" customHeight="1" s="72">
      <c r="A466" t="inlineStr">
        <is>
          <t>PL-HIST-0465</t>
        </is>
      </c>
      <c r="B466" t="inlineStr">
        <is>
          <t>сегодня</t>
        </is>
      </c>
      <c r="C466" t="inlineStr">
        <is>
          <t>примерно</t>
        </is>
      </c>
      <c r="D466" t="inlineStr">
        <is>
          <t>глобально</t>
        </is>
      </c>
      <c r="E466" t="inlineStr">
        <is>
          <t>эквивалентные настройки</t>
        </is>
      </c>
      <c r="F466" t="inlineStr">
        <is>
          <t>фотограф</t>
        </is>
      </c>
      <c r="G466" t="inlineStr">
        <is>
          <t>Одинаковую яркость можно получить разными парами настроек: например, один вариант лучше для портрета, другой — для движения или пейзажа.</t>
        </is>
      </c>
      <c r="H466" t="inlineStr">
        <is>
          <t>Оптические инструменты</t>
        </is>
      </c>
      <c r="I466" t="inlineStr">
        <is>
          <t>Equivalent exposure choices</t>
        </is>
      </c>
      <c r="J466" t="inlineStr">
        <is>
          <t>Экспозиция перестаёт быть единственной правильной комбинацией: появляется авторский выбор под задачу кадра.</t>
        </is>
      </c>
      <c r="K466" t="inlineStr">
        <is>
          <t>Баланс параметров</t>
        </is>
      </c>
      <c r="L466" t="inlineStr">
        <is>
          <t>Портретный сценарий</t>
        </is>
      </c>
      <c r="M466" t="inlineStr">
        <is>
          <t>Главная линия / эквивалентность</t>
        </is>
      </c>
      <c r="N466" t="n">
        <v>5</v>
      </c>
      <c r="O466" t="inlineStr">
        <is>
          <t>PL-045</t>
        </is>
      </c>
      <c r="P466" t="inlineStr">
        <is>
          <t>SRC-299</t>
        </is>
      </c>
      <c r="Q466" t="inlineStr">
        <is>
          <t>Cambridge in Colour — Camera Exposure: Aperture, ISO &amp; Shutter Speed</t>
        </is>
      </c>
      <c r="R466" t="inlineStr">
        <is>
          <t>https://www.cambridgeincolour.com/tutorials/camera-exposure.htm</t>
        </is>
      </c>
      <c r="S466" t="n">
        <v>5</v>
      </c>
      <c r="T466" t="inlineStr">
        <is>
          <t>Пример в карточке: f/2.8 1/500 ISO 400 и f/5.6 1/125 ISO 400 — похожая яркость, разная ГРИП/движение.</t>
        </is>
      </c>
      <c r="U466" t="inlineStr">
        <is>
          <t>Три карточки настроек с одинаковой яркостью кадра, но разной глубиной резкости и движением.</t>
        </is>
      </c>
      <c r="V466" t="inlineStr">
        <is>
          <t>#PL045 #equivalentexposure #stops #choice</t>
        </is>
      </c>
      <c r="Y466" t="inlineStr">
        <is>
          <t>Экспозиционный треугольник / эквивалентные варианты</t>
        </is>
      </c>
      <c r="Z466" t="inlineStr">
        <is>
          <t>Терминология / язык</t>
        </is>
      </c>
    </row>
    <row r="467" ht="17" customHeight="1" s="72">
      <c r="A467" t="inlineStr">
        <is>
          <t>PL-HIST-0466</t>
        </is>
      </c>
      <c r="B467" t="inlineStr">
        <is>
          <t>сегодня</t>
        </is>
      </c>
      <c r="C467" t="inlineStr">
        <is>
          <t>примерно</t>
        </is>
      </c>
      <c r="D467" t="inlineStr">
        <is>
          <t>глобально</t>
        </is>
      </c>
      <c r="E467" t="inlineStr">
        <is>
          <t>портрет</t>
        </is>
      </c>
      <c r="F467" t="inlineStr">
        <is>
          <t>фотограф</t>
        </is>
      </c>
      <c r="G467" t="inlineStr">
        <is>
          <t>В портрете фотограф часто начинает с диафрагмы: выбирает степень размытия фона, а затем подбирает выдержку и ISO.</t>
        </is>
      </c>
      <c r="H467" t="inlineStr">
        <is>
          <t>Оптические инструменты</t>
        </is>
      </c>
      <c r="I467" t="inlineStr">
        <is>
          <t>Portrait exposure priority</t>
        </is>
      </c>
      <c r="J467" t="inlineStr">
        <is>
          <t>Треугольник превращается в практический маршрут: сначала решить, что важно визуально, потом балансировать свет.</t>
        </is>
      </c>
      <c r="K467" t="inlineStr">
        <is>
          <t>Эквивалентные варианты</t>
        </is>
      </c>
      <c r="L467" t="inlineStr">
        <is>
          <t>Сценарий движения</t>
        </is>
      </c>
      <c r="M467" t="inlineStr">
        <is>
          <t>Применение / жанр</t>
        </is>
      </c>
      <c r="N467" t="n">
        <v>4</v>
      </c>
      <c r="O467" t="inlineStr">
        <is>
          <t>PL-045</t>
        </is>
      </c>
      <c r="P467" t="inlineStr">
        <is>
          <t>SRC-306</t>
        </is>
      </c>
      <c r="Q467" t="inlineStr">
        <is>
          <t>Nikon — Mastering the Exposure Triangle</t>
        </is>
      </c>
      <c r="R467" t="inlineStr">
        <is>
          <t>https://www.nikon.nl/nl_NL/learn-and-explore/magazine/tips-and-tricks/understanding-the-exposure-triangle</t>
        </is>
      </c>
      <c r="S467" t="n">
        <v>5</v>
      </c>
      <c r="T467" t="inlineStr">
        <is>
          <t>Показать: для портрета важнее фон и лицо, поэтому старт с aperture.</t>
        </is>
      </c>
      <c r="U467" t="inlineStr">
        <is>
          <t>Портрет у окна: вершина aperture подсвечена, фон мягко размыт.</t>
        </is>
      </c>
      <c r="V467" t="inlineStr">
        <is>
          <t>#PL045 #portrait #aperturefirst #depthoffield</t>
        </is>
      </c>
      <c r="Y467" t="inlineStr">
        <is>
          <t>Экспозиционный треугольник / портретный сценарий</t>
        </is>
      </c>
      <c r="Z467" t="inlineStr">
        <is>
          <t>Применение / жанр</t>
        </is>
      </c>
    </row>
    <row r="468" ht="17" customHeight="1" s="72">
      <c r="A468" t="inlineStr">
        <is>
          <t>PL-HIST-0467</t>
        </is>
      </c>
      <c r="B468" t="inlineStr">
        <is>
          <t>сегодня</t>
        </is>
      </c>
      <c r="C468" t="inlineStr">
        <is>
          <t>примерно</t>
        </is>
      </c>
      <c r="D468" t="inlineStr">
        <is>
          <t>глобально</t>
        </is>
      </c>
      <c r="E468" t="inlineStr">
        <is>
          <t>движение / репортаж</t>
        </is>
      </c>
      <c r="F468" t="inlineStr">
        <is>
          <t>фотограф</t>
        </is>
      </c>
      <c r="G468" t="inlineStr">
        <is>
          <t>При движении фотограф часто начинает с выдержки: выбирает, заморозить действие или оставить смаз, а затем балансирует диафрагму и ISO.</t>
        </is>
      </c>
      <c r="H468" t="inlineStr">
        <is>
          <t>Оптические инструменты</t>
        </is>
      </c>
      <c r="I468" t="inlineStr">
        <is>
          <t>Motion exposure priority</t>
        </is>
      </c>
      <c r="J468" t="inlineStr">
        <is>
          <t>Треугольник помогает выбрать главный параметр под сюжет: движение диктует время.</t>
        </is>
      </c>
      <c r="K468" t="inlineStr">
        <is>
          <t>Портретный сценарий</t>
        </is>
      </c>
      <c r="L468" t="inlineStr">
        <is>
          <t>Сценарий слабого света</t>
        </is>
      </c>
      <c r="M468" t="inlineStr">
        <is>
          <t>Применение / жанр</t>
        </is>
      </c>
      <c r="N468" t="n">
        <v>4</v>
      </c>
      <c r="O468" t="inlineStr">
        <is>
          <t>PL-045</t>
        </is>
      </c>
      <c r="P468" t="inlineStr">
        <is>
          <t>SRC-300</t>
        </is>
      </c>
      <c r="Q468" t="inlineStr">
        <is>
          <t>Nikon USA — Understanding Shutter Speed</t>
        </is>
      </c>
      <c r="R468" t="inlineStr">
        <is>
          <t>https://www.nikonusa.com/learn-and-explore/c/tips-and-techniques/understanding-shutter-speed</t>
        </is>
      </c>
      <c r="S468" t="n">
        <v>5</v>
      </c>
      <c r="T468" t="inlineStr">
        <is>
          <t>Пример: ребёнок бежит — сначала 1/500, потом решаем f и ISO.</t>
        </is>
      </c>
      <c r="U468" t="inlineStr">
        <is>
          <t>Уличный кадр с бегущим ребёнком; вершина shutter подсвечена золотом.</t>
        </is>
      </c>
      <c r="V468" t="inlineStr">
        <is>
          <t>#PL045 #motion #shutterfirst #reportage</t>
        </is>
      </c>
      <c r="Y468" t="inlineStr">
        <is>
          <t>Экспозиционный треугольник / сценарий движения</t>
        </is>
      </c>
      <c r="Z468" t="inlineStr">
        <is>
          <t>Применение / жанр</t>
        </is>
      </c>
    </row>
    <row r="469" ht="17" customHeight="1" s="72">
      <c r="A469" t="inlineStr">
        <is>
          <t>PL-HIST-0468</t>
        </is>
      </c>
      <c r="B469" t="inlineStr">
        <is>
          <t>сегодня</t>
        </is>
      </c>
      <c r="C469" t="inlineStr">
        <is>
          <t>примерно</t>
        </is>
      </c>
      <c r="D469" t="inlineStr">
        <is>
          <t>глобально</t>
        </is>
      </c>
      <c r="E469" t="inlineStr">
        <is>
          <t>слабый свет</t>
        </is>
      </c>
      <c r="F469" t="inlineStr">
        <is>
          <t>фотограф</t>
        </is>
      </c>
      <c r="G469" t="inlineStr">
        <is>
          <t>В слабом свете ISO часто становится параметром спасения: когда нельзя открыть диафрагму или удлинить выдержку, чувствительность повышают.</t>
        </is>
      </c>
      <c r="H469" t="inlineStr">
        <is>
          <t>Оптические инструменты</t>
        </is>
      </c>
      <c r="I469" t="inlineStr">
        <is>
          <t>Low-light exposure priority</t>
        </is>
      </c>
      <c r="J469" t="inlineStr">
        <is>
          <t>Ученик понимает компромисс: лучше принять шум/зерно, чем потерять момент из-за смаза или недодержки.</t>
        </is>
      </c>
      <c r="K469" t="inlineStr">
        <is>
          <t>Сценарий движения</t>
        </is>
      </c>
      <c r="L469" t="inlineStr">
        <is>
          <t>Режимы A/Av и S/Tv</t>
        </is>
      </c>
      <c r="M469" t="inlineStr">
        <is>
          <t>Главная линия / компромисс</t>
        </is>
      </c>
      <c r="N469" t="n">
        <v>4</v>
      </c>
      <c r="O469" t="inlineStr">
        <is>
          <t>PL-045</t>
        </is>
      </c>
      <c r="P469" t="inlineStr">
        <is>
          <t>SRC-303</t>
        </is>
      </c>
      <c r="Q469" t="inlineStr">
        <is>
          <t>Nikon USA — Understanding ISO Sensitivity</t>
        </is>
      </c>
      <c r="R469" t="inlineStr">
        <is>
          <t>https://www.nikonusa.com/learn-and-explore/c/tips-and-techniques/understanding-iso-sensitivity</t>
        </is>
      </c>
      <c r="S469" t="n">
        <v>5</v>
      </c>
      <c r="T469" t="inlineStr">
        <is>
          <t>Сделать очень жизненно: вечер, человек двигается, f уже открыта, выдержку длиннее нельзя — поднимаем ISO.</t>
        </is>
      </c>
      <c r="U469" t="inlineStr">
        <is>
          <t>Вечернее кафе, камера показывает f/2, 1/125, ISO 1600; вершина ISO подсвечена.</t>
        </is>
      </c>
      <c r="V469" t="inlineStr">
        <is>
          <t>#PL045 #lowlight #ISO #compromise</t>
        </is>
      </c>
      <c r="Y469" t="inlineStr">
        <is>
          <t>Экспозиционный треугольник / слабый свет</t>
        </is>
      </c>
      <c r="Z469" t="inlineStr">
        <is>
          <t>Применение / жанр</t>
        </is>
      </c>
    </row>
    <row r="470" ht="17" customHeight="1" s="72">
      <c r="A470" t="inlineStr">
        <is>
          <t>PL-HIST-0469</t>
        </is>
      </c>
      <c r="B470" t="inlineStr">
        <is>
          <t>сегодня</t>
        </is>
      </c>
      <c r="C470" t="inlineStr">
        <is>
          <t>примерно</t>
        </is>
      </c>
      <c r="D470" t="inlineStr">
        <is>
          <t>глобально</t>
        </is>
      </c>
      <c r="E470" t="inlineStr">
        <is>
          <t>режимы камеры</t>
        </is>
      </c>
      <c r="F470" t="inlineStr">
        <is>
          <t>фотограф</t>
        </is>
      </c>
      <c r="G470" t="inlineStr">
        <is>
          <t>Полуавтоматические режимы A/Av и S/Tv не отменяют треугольник: фотограф выбирает главный параметр, а камера компенсирует остальные.</t>
        </is>
      </c>
      <c r="H470" t="inlineStr">
        <is>
          <t>Оптические инструменты</t>
        </is>
      </c>
      <c r="I470" t="inlineStr">
        <is>
          <t>Semi-auto modes and triangle</t>
        </is>
      </c>
      <c r="J470" t="inlineStr">
        <is>
          <t>Автоматика становится понятной и управляемой: камера помогает, но не выбирает смысл кадра за автора.</t>
        </is>
      </c>
      <c r="K470" t="inlineStr">
        <is>
          <t>Слабый свет</t>
        </is>
      </c>
      <c r="L470" t="inlineStr">
        <is>
          <t>Ручной режим</t>
        </is>
      </c>
      <c r="M470" t="inlineStr">
        <is>
          <t>Главная линия / автоматизация</t>
        </is>
      </c>
      <c r="N470" t="n">
        <v>4</v>
      </c>
      <c r="O470" t="inlineStr">
        <is>
          <t>PL-045</t>
        </is>
      </c>
      <c r="P470" t="inlineStr">
        <is>
          <t>SRC-307</t>
        </is>
      </c>
      <c r="Q470" t="inlineStr">
        <is>
          <t>Canon Canada — Canon Outside of Auto: Photography 101</t>
        </is>
      </c>
      <c r="R470" t="inlineStr">
        <is>
          <t>https://www.canon.ca/CanonOutsideOfAuto/photography101</t>
        </is>
      </c>
      <c r="S470" t="n">
        <v>5</v>
      </c>
      <c r="T470" t="inlineStr">
        <is>
          <t>Связать с PL-023: автоматика полезна именно тогда, когда ученик понимает её логику.</t>
        </is>
      </c>
      <c r="U470" t="inlineStr">
        <is>
          <t>Две половины экрана: Av — выбран f/2.8, Tv — выбран 1/500; треугольник остаётся рядом.</t>
        </is>
      </c>
      <c r="V470" t="inlineStr">
        <is>
          <t>#PL045 #Av #Tv #automation #control</t>
        </is>
      </c>
      <c r="Y470" t="inlineStr">
        <is>
          <t>Экспозиционный треугольник / полуавтоматические режимы</t>
        </is>
      </c>
      <c r="Z470" t="inlineStr">
        <is>
          <t>Инструмент / устройство</t>
        </is>
      </c>
    </row>
    <row r="471" ht="17" customHeight="1" s="72">
      <c r="A471" t="inlineStr">
        <is>
          <t>PL-HIST-0470</t>
        </is>
      </c>
      <c r="B471" t="inlineStr">
        <is>
          <t>сегодня</t>
        </is>
      </c>
      <c r="C471" t="inlineStr">
        <is>
          <t>примерно</t>
        </is>
      </c>
      <c r="D471" t="inlineStr">
        <is>
          <t>глобально</t>
        </is>
      </c>
      <c r="E471" t="inlineStr">
        <is>
          <t>ручной режим / творческая съёмка</t>
        </is>
      </c>
      <c r="F471" t="inlineStr">
        <is>
          <t>фотограф</t>
        </is>
      </c>
      <c r="G471" t="inlineStr">
        <is>
          <t>В ручном режиме фотограф сам фиксирует все три параметра и принимает полную ответственность за свет, движение, резкость и фактуру.</t>
        </is>
      </c>
      <c r="H471" t="inlineStr">
        <is>
          <t>Оптические инструменты</t>
        </is>
      </c>
      <c r="I471" t="inlineStr">
        <is>
          <t>Manual exposure decision</t>
        </is>
      </c>
      <c r="J471" t="inlineStr">
        <is>
          <t>Ручной режим перестаёт быть страшной аббревиатурой M: это просто режим, где треугольник не двигается без решения фотографа.</t>
        </is>
      </c>
      <c r="K471" t="inlineStr">
        <is>
          <t>Полуавтоматические режимы</t>
        </is>
      </c>
      <c r="L471" t="inlineStr">
        <is>
          <t>Авторская экспозиция</t>
        </is>
      </c>
      <c r="M471" t="inlineStr">
        <is>
          <t>Главная линия / ручной контроль</t>
        </is>
      </c>
      <c r="N471" t="n">
        <v>4</v>
      </c>
      <c r="O471" t="inlineStr">
        <is>
          <t>PL-045</t>
        </is>
      </c>
      <c r="P471" t="inlineStr">
        <is>
          <t>SRC-306</t>
        </is>
      </c>
      <c r="Q471" t="inlineStr">
        <is>
          <t>Nikon — Mastering the Exposure Triangle</t>
        </is>
      </c>
      <c r="R471" t="inlineStr">
        <is>
          <t>https://www.nikon.nl/nl_NL/learn-and-explore/magazine/tips-and-tricks/understanding-the-exposure-triangle</t>
        </is>
      </c>
      <c r="S471" t="n">
        <v>5</v>
      </c>
      <c r="T471" t="inlineStr">
        <is>
          <t>Важно не романтизировать Manual: это не «профессиональный режим», а режим полного контроля, когда он нужен.</t>
        </is>
      </c>
      <c r="U471" t="inlineStr">
        <is>
          <t>Камера в режиме M; три шкалы выставлены вручную и соединены золотыми линиями.</t>
        </is>
      </c>
      <c r="V471" t="inlineStr">
        <is>
          <t>#PL045 #manualmode #Mmode #control</t>
        </is>
      </c>
      <c r="Y471" t="inlineStr">
        <is>
          <t>Экспозиционный треугольник / ручной режим</t>
        </is>
      </c>
      <c r="Z471" t="inlineStr">
        <is>
          <t>Инструмент / устройство</t>
        </is>
      </c>
    </row>
    <row r="472" ht="17" customHeight="1" s="72">
      <c r="A472" t="inlineStr">
        <is>
          <t>PL-HIST-0471</t>
        </is>
      </c>
      <c r="B472" t="inlineStr">
        <is>
          <t>сегодня</t>
        </is>
      </c>
      <c r="C472" t="inlineStr">
        <is>
          <t>примерно</t>
        </is>
      </c>
      <c r="D472" t="inlineStr">
        <is>
          <t>глобально</t>
        </is>
      </c>
      <c r="E472" t="inlineStr">
        <is>
          <t>реальная сцена</t>
        </is>
      </c>
      <c r="F472" t="inlineStr">
        <is>
          <t>фотограф</t>
        </is>
      </c>
      <c r="G472" t="inlineStr">
        <is>
          <t>Хорошая экспозиция — не всегда средняя яркость: иногда кадр должен быть тёмным, светлым, контрастным или мягким по авторскому замыслу.</t>
        </is>
      </c>
      <c r="H472" t="inlineStr">
        <is>
          <t>Оптические инструменты</t>
        </is>
      </c>
      <c r="I472" t="inlineStr">
        <is>
          <t>Creative exposure intent</t>
        </is>
      </c>
      <c r="J472" t="inlineStr">
        <is>
          <t>Треугольник становится языком: фотограф использует настройки, чтобы передать настроение, а не только попасть в «ноль» экспонометра.</t>
        </is>
      </c>
      <c r="K472" t="inlineStr">
        <is>
          <t>Ручной режим</t>
        </is>
      </c>
      <c r="L472" t="inlineStr">
        <is>
          <t>Стопы света</t>
        </is>
      </c>
      <c r="M472" t="inlineStr">
        <is>
          <t>Главная линия / авторский выбор</t>
        </is>
      </c>
      <c r="N472" t="n">
        <v>5</v>
      </c>
      <c r="O472" t="inlineStr">
        <is>
          <t>PL-045</t>
        </is>
      </c>
      <c r="P472" t="inlineStr">
        <is>
          <t>SRC-309</t>
        </is>
      </c>
      <c r="Q472" t="inlineStr">
        <is>
          <t>B&amp;H eXplora — Exposure 101: An Intro to Exposure</t>
        </is>
      </c>
      <c r="R472" t="inlineStr">
        <is>
          <t>https://www.bhphotovideo.com/explora/photography/tips-and-solutions/exposure-101-an-intro-to-exposure</t>
        </is>
      </c>
      <c r="S472" t="n">
        <v>5</v>
      </c>
      <c r="T472" t="inlineStr">
        <is>
          <t>Очень PHOTO LAB мысль: техника нужна, чтобы точнее выразить, а не чтобы угадать единственный правильный ответ.</t>
        </is>
      </c>
      <c r="U472" t="inlineStr">
        <is>
          <t>Одна сцена в трёх экспозициях: низкий ключ, нормальная, высокий ключ; все намеренные.</t>
        </is>
      </c>
      <c r="V472" t="inlineStr">
        <is>
          <t>#PL045 #creativeexposure #intent #mood</t>
        </is>
      </c>
      <c r="Y472" t="inlineStr">
        <is>
          <t>Экспозиционный треугольник / авторский выбор</t>
        </is>
      </c>
      <c r="Z472" t="inlineStr">
        <is>
          <t>Применение / жанр</t>
        </is>
      </c>
    </row>
    <row r="473" ht="17" customHeight="1" s="72">
      <c r="A473" t="inlineStr">
        <is>
          <t>PL-HIST-0472</t>
        </is>
      </c>
      <c r="B473" t="inlineStr">
        <is>
          <t>сегодня</t>
        </is>
      </c>
      <c r="C473" t="inlineStr">
        <is>
          <t>примерно</t>
        </is>
      </c>
      <c r="D473" t="inlineStr">
        <is>
          <t>глобально</t>
        </is>
      </c>
      <c r="E473" t="inlineStr">
        <is>
          <t>PHOTO LAB / модуль экспозиции</t>
        </is>
      </c>
      <c r="F473" t="inlineStr">
        <is>
          <t>PHOTO LAB by VF</t>
        </is>
      </c>
      <c r="G473" t="inlineStr">
        <is>
          <t>Итог PL-045: экспозиционный треугольник — это способ видеть связь между диафрагмой, выдержкой и ISO. Меняя одно, фотограф меняет всё изображение.</t>
        </is>
      </c>
      <c r="H473" t="inlineStr">
        <is>
          <t>Оптические инструменты</t>
        </is>
      </c>
      <c r="I473" t="inlineStr">
        <is>
          <t>Exposure triangle as decision system</t>
        </is>
      </c>
      <c r="J473" t="inlineStr">
        <is>
          <t>Курс готов перейти к стопам света — единому языку, который позволяет точно менять любые параметры экспозиции.</t>
        </is>
      </c>
      <c r="K473" t="inlineStr">
        <is>
          <t>Авторская экспозиция</t>
        </is>
      </c>
      <c r="L473" t="inlineStr">
        <is>
          <t>PL-046 — стопы света</t>
        </is>
      </c>
      <c r="M473" t="inlineStr">
        <is>
          <t>Связь / переход</t>
        </is>
      </c>
      <c r="N473" t="n">
        <v>5</v>
      </c>
      <c r="O473" t="inlineStr">
        <is>
          <t>PL-045</t>
        </is>
      </c>
      <c r="P473" t="inlineStr">
        <is>
          <t>SRC-306</t>
        </is>
      </c>
      <c r="Q473" t="inlineStr">
        <is>
          <t>Nikon — Mastering the Exposure Triangle</t>
        </is>
      </c>
      <c r="R473" t="inlineStr">
        <is>
          <t>https://www.nikon.nl/nl_NL/learn-and-explore/magazine/tips-and-tricks/understanding-the-exposure-triangle</t>
        </is>
      </c>
      <c r="S473" t="n">
        <v>5</v>
      </c>
      <c r="T473" t="inlineStr">
        <is>
          <t>Финальный тезис: треугольник не заучивают, его используют для решений.</t>
        </is>
      </c>
      <c r="U473" t="inlineStr">
        <is>
          <t>Треугольник превращается в линейку стопов; золотые деления ведут к следующему уроку.</t>
        </is>
      </c>
      <c r="V473" t="inlineStr">
        <is>
          <t>#PL045 #summary #bridge #stops</t>
        </is>
      </c>
      <c r="Y473" t="inlineStr">
        <is>
          <t>Экспозиционный треугольник / итог и мост</t>
        </is>
      </c>
      <c r="Z473" t="inlineStr">
        <is>
          <t>Связь / переход</t>
        </is>
      </c>
    </row>
    <row r="474" ht="17" customHeight="1" s="72">
      <c r="A474" t="inlineStr">
        <is>
          <t>PL-HIST-0473</t>
        </is>
      </c>
      <c r="B474" t="inlineStr">
        <is>
          <t>сегодня</t>
        </is>
      </c>
      <c r="C474" t="inlineStr">
        <is>
          <t>примерно</t>
        </is>
      </c>
      <c r="D474" t="inlineStr">
        <is>
          <t>глобально</t>
        </is>
      </c>
      <c r="E474" t="inlineStr">
        <is>
          <t>экспозиционная шкала</t>
        </is>
      </c>
      <c r="F474" t="inlineStr">
        <is>
          <t>фотограф</t>
        </is>
      </c>
      <c r="G474" t="inlineStr">
        <is>
          <t>Стоп света — это шаг, который меняет количество света в два раза: плюс один стоп — вдвое больше света, минус один стоп — вдвое меньше.</t>
        </is>
      </c>
      <c r="H474" t="inlineStr">
        <is>
          <t>Оптические инструменты</t>
        </is>
      </c>
      <c r="I474" t="inlineStr">
        <is>
          <t>Stop of light</t>
        </is>
      </c>
      <c r="J474" t="inlineStr">
        <is>
          <t>Фотограф получает общий язык экспозиции: диафрагму, выдержку, ISO и фильтры можно сравнивать одной мерой.</t>
        </is>
      </c>
      <c r="K474" t="inlineStr">
        <is>
          <t>PL-045 — экспозиционный треугольник</t>
        </is>
      </c>
      <c r="L474" t="inlineStr">
        <is>
          <t>Плюс и минус стоп</t>
        </is>
      </c>
      <c r="M474" t="inlineStr">
        <is>
          <t>Главная линия / стопы</t>
        </is>
      </c>
      <c r="N474" t="n">
        <v>5</v>
      </c>
      <c r="O474" t="inlineStr">
        <is>
          <t>PL-046</t>
        </is>
      </c>
      <c r="P474" t="inlineStr">
        <is>
          <t>SRC-309</t>
        </is>
      </c>
      <c r="Q474" t="inlineStr">
        <is>
          <t>B&amp;H eXplora — Exposure 101: An Intro to Exposure</t>
        </is>
      </c>
      <c r="R474" t="inlineStr">
        <is>
          <t>https://www.bhphotovideo.com/explora/photography/tips-and-solutions/exposure-101-an-intro-to-exposure</t>
        </is>
      </c>
      <c r="S474" t="n">
        <v>5</v>
      </c>
      <c r="T474" t="inlineStr">
        <is>
          <t>Флагман PL-046: стоп — главный язык практической фотографии, а не сложная теория.</t>
        </is>
      </c>
      <c r="U474" t="inlineStr">
        <is>
          <t>Золотая шкала: -2, -1, 0, +1, +2; каждый шаг вдвое меняет ширину светового потока.</t>
        </is>
      </c>
      <c r="V474" t="inlineStr">
        <is>
          <t>#PL046 #stops #doubling #exposure</t>
        </is>
      </c>
      <c r="Y474" t="inlineStr">
        <is>
          <t>Стопы света / базовое определение</t>
        </is>
      </c>
      <c r="Z474" t="inlineStr">
        <is>
          <t>Ключевой исторический узел</t>
        </is>
      </c>
      <c r="AA474" t="inlineStr">
        <is>
          <t>да</t>
        </is>
      </c>
    </row>
    <row r="475" ht="17" customHeight="1" s="72">
      <c r="A475" t="inlineStr">
        <is>
          <t>PL-HIST-0474</t>
        </is>
      </c>
      <c r="B475" t="inlineStr">
        <is>
          <t>сегодня</t>
        </is>
      </c>
      <c r="C475" t="inlineStr">
        <is>
          <t>примерно</t>
        </is>
      </c>
      <c r="D475" t="inlineStr">
        <is>
          <t>глобально</t>
        </is>
      </c>
      <c r="E475" t="inlineStr">
        <is>
          <t>экспозиционная коррекция</t>
        </is>
      </c>
      <c r="F475" t="inlineStr">
        <is>
          <t>фотограф</t>
        </is>
      </c>
      <c r="G475" t="inlineStr">
        <is>
          <t>+1 стоп означает вдвое больше света; −1 стоп означает вдвое меньше света. Это может быть изменение диафрагмы, выдержки, ISO или фильтра.</t>
        </is>
      </c>
      <c r="H475" t="inlineStr">
        <is>
          <t>Оптические инструменты</t>
        </is>
      </c>
      <c r="I475" t="inlineStr">
        <is>
          <t>+1 / -1 stop</t>
        </is>
      </c>
      <c r="J475" t="inlineStr">
        <is>
          <t>Ученик начинает мыслить не конкретными кнопками, а количеством света, которое он добавляет или убирает.</t>
        </is>
      </c>
      <c r="K475" t="inlineStr">
        <is>
          <t>Стоп света</t>
        </is>
      </c>
      <c r="L475" t="inlineStr">
        <is>
          <t>Стопы диафрагмы</t>
        </is>
      </c>
      <c r="M475" t="inlineStr">
        <is>
          <t>Главная линия / язык экспозиции</t>
        </is>
      </c>
      <c r="N475" t="n">
        <v>5</v>
      </c>
      <c r="O475" t="inlineStr">
        <is>
          <t>PL-046</t>
        </is>
      </c>
      <c r="P475" t="inlineStr">
        <is>
          <t>SRC-310</t>
        </is>
      </c>
      <c r="Q475" t="inlineStr">
        <is>
          <t>Nikon USA — When to Use Graduated Neutral Density Filters</t>
        </is>
      </c>
      <c r="R475" t="inlineStr">
        <is>
          <t>https://www.nikonusa.com/learn-and-explore/c/tips-and-techniques/when-to-use-graduated-neutral-density-filters</t>
        </is>
      </c>
      <c r="S475" t="n">
        <v>5</v>
      </c>
      <c r="T475" t="inlineStr">
        <is>
          <t>Дать максимально просто: один стоп — это x2 или /2.</t>
        </is>
      </c>
      <c r="U475" t="inlineStr">
        <is>
          <t>Два кадра рядом: +1 stop светлее, -1 stop темнее; между ними знак ×2 / ÷2.</t>
        </is>
      </c>
      <c r="V475" t="inlineStr">
        <is>
          <t>#PL046 #plusstop #minusstop #light</t>
        </is>
      </c>
      <c r="Y475" t="inlineStr">
        <is>
          <t>Стопы света / плюс-минус стоп</t>
        </is>
      </c>
      <c r="Z475" t="inlineStr">
        <is>
          <t>Терминология / язык</t>
        </is>
      </c>
    </row>
    <row r="476" ht="17" customHeight="1" s="72">
      <c r="A476" t="inlineStr">
        <is>
          <t>PL-HIST-0475</t>
        </is>
      </c>
      <c r="B476" t="inlineStr">
        <is>
          <t>сегодня</t>
        </is>
      </c>
      <c r="C476" t="inlineStr">
        <is>
          <t>примерно</t>
        </is>
      </c>
      <c r="D476" t="inlineStr">
        <is>
          <t>глобально</t>
        </is>
      </c>
      <c r="E476" t="inlineStr">
        <is>
          <t>диафрагма / шкала f</t>
        </is>
      </c>
      <c r="F476" t="inlineStr">
        <is>
          <t>фотограф</t>
        </is>
      </c>
      <c r="G476" t="inlineStr">
        <is>
          <t>В диафрагме полный стоп — это переход между стандартными f-значениями, например f/2.8 → f/4 → f/5.6 → f/8.</t>
        </is>
      </c>
      <c r="H476" t="inlineStr">
        <is>
          <t>Оптические инструменты</t>
        </is>
      </c>
      <c r="I476" t="inlineStr">
        <is>
          <t>Aperture full-stop scale</t>
        </is>
      </c>
      <c r="J476" t="inlineStr">
        <is>
          <t>Непонятная шкала f-чисел превращается в практическую лестницу света: каждый шаг закрытия уменьшает свет вдвое.</t>
        </is>
      </c>
      <c r="K476" t="inlineStr">
        <is>
          <t>+1/-1 стоп</t>
        </is>
      </c>
      <c r="L476" t="inlineStr">
        <is>
          <t>Стопы выдержки</t>
        </is>
      </c>
      <c r="M476" t="inlineStr">
        <is>
          <t>Главная линия / диафрагма</t>
        </is>
      </c>
      <c r="N476" t="n">
        <v>5</v>
      </c>
      <c r="O476" t="inlineStr">
        <is>
          <t>PL-046</t>
        </is>
      </c>
      <c r="P476" t="inlineStr">
        <is>
          <t>SRC-299</t>
        </is>
      </c>
      <c r="Q476" t="inlineStr">
        <is>
          <t>Cambridge in Colour — Camera Exposure: Aperture, ISO &amp; Shutter Speed</t>
        </is>
      </c>
      <c r="R476" t="inlineStr">
        <is>
          <t>https://www.cambridgeincolour.com/tutorials/camera-exposure.htm</t>
        </is>
      </c>
      <c r="S476" t="n">
        <v>5</v>
      </c>
      <c r="T476" t="inlineStr">
        <is>
          <t>Не объяснять sqrt(2) в основном тексте; оставить в комментарии/доп. материале при желании.</t>
        </is>
      </c>
      <c r="U476" t="inlineStr">
        <is>
          <t>Круги диафрагмы уменьшаются ступенями; подписи f/2.8, f/4, f/5.6, f/8.</t>
        </is>
      </c>
      <c r="V476" t="inlineStr">
        <is>
          <t>#PL046 #aperturestops #fstop #scale</t>
        </is>
      </c>
      <c r="Y476" t="inlineStr">
        <is>
          <t>Стопы света / диафрагма</t>
        </is>
      </c>
      <c r="Z476" t="inlineStr">
        <is>
          <t>Технология / процесс</t>
        </is>
      </c>
    </row>
    <row r="477" ht="17" customHeight="1" s="72">
      <c r="A477" t="inlineStr">
        <is>
          <t>PL-HIST-0476</t>
        </is>
      </c>
      <c r="B477" t="inlineStr">
        <is>
          <t>сегодня</t>
        </is>
      </c>
      <c r="C477" t="inlineStr">
        <is>
          <t>примерно</t>
        </is>
      </c>
      <c r="D477" t="inlineStr">
        <is>
          <t>глобально</t>
        </is>
      </c>
      <c r="E477" t="inlineStr">
        <is>
          <t>выдержка / шкала времени</t>
        </is>
      </c>
      <c r="F477" t="inlineStr">
        <is>
          <t>фотограф</t>
        </is>
      </c>
      <c r="G477" t="inlineStr">
        <is>
          <t>В выдержке один стоп — это удвоение или сокращение времени: 1/250 → 1/125 даёт вдвое больше света, а 1/250 → 1/500 — вдвое меньше.</t>
        </is>
      </c>
      <c r="H477" t="inlineStr">
        <is>
          <t>Оптические инструменты</t>
        </is>
      </c>
      <c r="I477" t="inlineStr">
        <is>
          <t>Shutter speed full-stop scale</t>
        </is>
      </c>
      <c r="J477" t="inlineStr">
        <is>
          <t>Шкала выдержки становится интуитивной: время света можно удваивать или делить пополам.</t>
        </is>
      </c>
      <c r="K477" t="inlineStr">
        <is>
          <t>Стопы диафрагмы</t>
        </is>
      </c>
      <c r="L477" t="inlineStr">
        <is>
          <t>Стопы ISO</t>
        </is>
      </c>
      <c r="M477" t="inlineStr">
        <is>
          <t>Главная линия / выдержка</t>
        </is>
      </c>
      <c r="N477" t="n">
        <v>5</v>
      </c>
      <c r="O477" t="inlineStr">
        <is>
          <t>PL-046</t>
        </is>
      </c>
      <c r="P477" t="inlineStr">
        <is>
          <t>SRC-309</t>
        </is>
      </c>
      <c r="Q477" t="inlineStr">
        <is>
          <t>B&amp;H eXplora — Exposure 101: An Intro to Exposure</t>
        </is>
      </c>
      <c r="R477" t="inlineStr">
        <is>
          <t>https://www.bhphotovideo.com/explora/photography/tips-and-solutions/exposure-101-an-intro-to-exposure</t>
        </is>
      </c>
      <c r="S477" t="n">
        <v>5</v>
      </c>
      <c r="T477" t="inlineStr">
        <is>
          <t>Сделать визуально на линейке времени: чем длиннее полоска, тем больше свет успел воздействовать.</t>
        </is>
      </c>
      <c r="U477" t="inlineStr">
        <is>
          <t>Таймлайн: 1/500, 1/250, 1/125, 1/60; световые полосы удваиваются.</t>
        </is>
      </c>
      <c r="V477" t="inlineStr">
        <is>
          <t>#PL046 #shutterstops #time #doubling</t>
        </is>
      </c>
      <c r="Y477" t="inlineStr">
        <is>
          <t>Стопы света / выдержка</t>
        </is>
      </c>
      <c r="Z477" t="inlineStr">
        <is>
          <t>Технология / процесс</t>
        </is>
      </c>
    </row>
    <row r="478" ht="17" customHeight="1" s="72">
      <c r="A478" t="inlineStr">
        <is>
          <t>PL-HIST-0477</t>
        </is>
      </c>
      <c r="B478" t="inlineStr">
        <is>
          <t>сегодня</t>
        </is>
      </c>
      <c r="C478" t="inlineStr">
        <is>
          <t>примерно</t>
        </is>
      </c>
      <c r="D478" t="inlineStr">
        <is>
          <t>глобально</t>
        </is>
      </c>
      <c r="E478" t="inlineStr">
        <is>
          <t>ISO / чувствительность</t>
        </is>
      </c>
      <c r="F478" t="inlineStr">
        <is>
          <t>фотограф</t>
        </is>
      </c>
      <c r="G478" t="inlineStr">
        <is>
          <t>В ISO один стоп — это удвоение или деление чувствительности: ISO 100 → 200 → 400 → 800.</t>
        </is>
      </c>
      <c r="H478" t="inlineStr">
        <is>
          <t>Оптические инструменты</t>
        </is>
      </c>
      <c r="I478" t="inlineStr">
        <is>
          <t>ISO full-stop scale</t>
        </is>
      </c>
      <c r="J478" t="inlineStr">
        <is>
          <t>Ученик видит, что ISO тоже подчиняется языку стопов: рост чувствительности позволяет требовать меньше света.</t>
        </is>
      </c>
      <c r="K478" t="inlineStr">
        <is>
          <t>Стопы выдержки</t>
        </is>
      </c>
      <c r="L478" t="inlineStr">
        <is>
          <t>Третьи стопы</t>
        </is>
      </c>
      <c r="M478" t="inlineStr">
        <is>
          <t>Главная линия / ISO</t>
        </is>
      </c>
      <c r="N478" t="n">
        <v>5</v>
      </c>
      <c r="O478" t="inlineStr">
        <is>
          <t>PL-046</t>
        </is>
      </c>
      <c r="P478" t="inlineStr">
        <is>
          <t>SRC-303</t>
        </is>
      </c>
      <c r="Q478" t="inlineStr">
        <is>
          <t>Nikon USA — Understanding ISO Sensitivity</t>
        </is>
      </c>
      <c r="R478" t="inlineStr">
        <is>
          <t>https://www.nikonusa.com/learn-and-explore/c/tips-and-techniques/understanding-iso-sensitivity</t>
        </is>
      </c>
      <c r="S478" t="n">
        <v>5</v>
      </c>
      <c r="T478" t="inlineStr">
        <is>
          <t>Связать с PL-044: ISO повышается не бесплатно — вместе с ним растут зерно или шум.</t>
        </is>
      </c>
      <c r="U478" t="inlineStr">
        <is>
          <t>Столбцы ISO 100, 200, 400, 800; под ними требуемый свет уменьшается.</t>
        </is>
      </c>
      <c r="V478" t="inlineStr">
        <is>
          <t>#PL046 #ISOstops #ISO100 #ISO400</t>
        </is>
      </c>
      <c r="Y478" t="inlineStr">
        <is>
          <t>Стопы света / ISO</t>
        </is>
      </c>
      <c r="Z478" t="inlineStr">
        <is>
          <t>Технология / процесс</t>
        </is>
      </c>
    </row>
    <row r="479" ht="17" customHeight="1" s="72">
      <c r="A479" t="inlineStr">
        <is>
          <t>PL-HIST-0478</t>
        </is>
      </c>
      <c r="B479" t="inlineStr">
        <is>
          <t>сегодня</t>
        </is>
      </c>
      <c r="C479" t="inlineStr">
        <is>
          <t>примерно</t>
        </is>
      </c>
      <c r="D479" t="inlineStr">
        <is>
          <t>глобально</t>
        </is>
      </c>
      <c r="E479" t="inlineStr">
        <is>
          <t>современная камера</t>
        </is>
      </c>
      <c r="F479" t="inlineStr">
        <is>
          <t>фотограф</t>
        </is>
      </c>
      <c r="G479" t="inlineStr">
        <is>
          <t>Многие камеры позволяют менять экспозицию не только полными стопами, но и половинами или третями стопа для более точной настройки.</t>
        </is>
      </c>
      <c r="H479" t="inlineStr">
        <is>
          <t>Оптические инструменты</t>
        </is>
      </c>
      <c r="I479" t="inlineStr">
        <is>
          <t>1/2 and 1/3 stop increments</t>
        </is>
      </c>
      <c r="J479" t="inlineStr">
        <is>
          <t>Стопы становятся практическим интерфейсом камеры: клик колеса — маленькое точное изменение света.</t>
        </is>
      </c>
      <c r="K479" t="inlineStr">
        <is>
          <t>Стопы ISO</t>
        </is>
      </c>
      <c r="L479" t="inlineStr">
        <is>
          <t>Эквивалентные стопы</t>
        </is>
      </c>
      <c r="M479" t="inlineStr">
        <is>
          <t>Главная линия / интерфейс камеры</t>
        </is>
      </c>
      <c r="N479" t="n">
        <v>4</v>
      </c>
      <c r="O479" t="inlineStr">
        <is>
          <t>PL-046</t>
        </is>
      </c>
      <c r="P479" t="inlineStr">
        <is>
          <t>SRC-299</t>
        </is>
      </c>
      <c r="Q479" t="inlineStr">
        <is>
          <t>Cambridge in Colour — Camera Exposure: Aperture, ISO &amp; Shutter Speed</t>
        </is>
      </c>
      <c r="R479" t="inlineStr">
        <is>
          <t>https://www.cambridgeincolour.com/tutorials/camera-exposure.htm</t>
        </is>
      </c>
      <c r="S479" t="n">
        <v>5</v>
      </c>
      <c r="T479" t="inlineStr">
        <is>
          <t>Новичку достаточно знать: полный стоп — большой шаг, 1/3 стопа — тонкая настройка.</t>
        </is>
      </c>
      <c r="U479" t="inlineStr">
        <is>
          <t>Камера показывает шкалу −1…0…+1 с мелкими делениями по 1/3.</t>
        </is>
      </c>
      <c r="V479" t="inlineStr">
        <is>
          <t>#PL046 #thirdstops #cameraSettings #precision</t>
        </is>
      </c>
      <c r="Y479" t="inlineStr">
        <is>
          <t>Стопы света / дробные шаги</t>
        </is>
      </c>
      <c r="Z479" t="inlineStr">
        <is>
          <t>Инструмент / устройство</t>
        </is>
      </c>
    </row>
    <row r="480" ht="17" customHeight="1" s="72">
      <c r="A480" t="inlineStr">
        <is>
          <t>PL-HIST-0479</t>
        </is>
      </c>
      <c r="B480" t="inlineStr">
        <is>
          <t>сегодня</t>
        </is>
      </c>
      <c r="C480" t="inlineStr">
        <is>
          <t>примерно</t>
        </is>
      </c>
      <c r="D480" t="inlineStr">
        <is>
          <t>глобально</t>
        </is>
      </c>
      <c r="E480" t="inlineStr">
        <is>
          <t>ручной режим / практика</t>
        </is>
      </c>
      <c r="F480" t="inlineStr">
        <is>
          <t>фотограф</t>
        </is>
      </c>
      <c r="G480" t="inlineStr">
        <is>
          <t>Эквивалентные стопы позволяют менять вид кадра без изменения общей яркости: открыть диафрагму на стоп и укоротить выдержку на стоп.</t>
        </is>
      </c>
      <c r="H480" t="inlineStr">
        <is>
          <t>Оптические инструменты</t>
        </is>
      </c>
      <c r="I480" t="inlineStr">
        <is>
          <t>Equivalent stops / trade-off</t>
        </is>
      </c>
      <c r="J480" t="inlineStr">
        <is>
          <t>Фотограф отделяет яркость от художественного эффекта: свет тот же, но фон, движение и фактура меняются.</t>
        </is>
      </c>
      <c r="K480" t="inlineStr">
        <is>
          <t>Дробные стопы</t>
        </is>
      </c>
      <c r="L480" t="inlineStr">
        <is>
          <t>ND-фильтры в стопах</t>
        </is>
      </c>
      <c r="M480" t="inlineStr">
        <is>
          <t>Главная линия / эквивалентность</t>
        </is>
      </c>
      <c r="N480" t="n">
        <v>5</v>
      </c>
      <c r="O480" t="inlineStr">
        <is>
          <t>PL-046</t>
        </is>
      </c>
      <c r="P480" t="inlineStr">
        <is>
          <t>SRC-308</t>
        </is>
      </c>
      <c r="Q480" t="inlineStr">
        <is>
          <t>Canon Canada — Canon Outside of Auto: Tips</t>
        </is>
      </c>
      <c r="R480" t="inlineStr">
        <is>
          <t>https://www.canon.ca/CanonOutsideOfAuto/tips?lang=en</t>
        </is>
      </c>
      <c r="S480" t="n">
        <v>5</v>
      </c>
      <c r="T480" t="inlineStr">
        <is>
          <t>Это ключевой практический узел всего модуля экспозиции.</t>
        </is>
      </c>
      <c r="U480" t="inlineStr">
        <is>
          <t>Две настройки на карточках: f/4 1/250 и f/2.8 1/500; общий знак «та же яркость».</t>
        </is>
      </c>
      <c r="V480" t="inlineStr">
        <is>
          <t>#PL046 #equivalentstops #tradeoff #exposure</t>
        </is>
      </c>
      <c r="Y480" t="inlineStr">
        <is>
          <t>Стопы света / эквивалентные изменения</t>
        </is>
      </c>
      <c r="Z480" t="inlineStr">
        <is>
          <t>Технология / процесс</t>
        </is>
      </c>
    </row>
    <row r="481" ht="17" customHeight="1" s="72">
      <c r="A481" t="inlineStr">
        <is>
          <t>PL-HIST-0480</t>
        </is>
      </c>
      <c r="B481" t="inlineStr">
        <is>
          <t>сегодня</t>
        </is>
      </c>
      <c r="C481" t="inlineStr">
        <is>
          <t>примерно</t>
        </is>
      </c>
      <c r="D481" t="inlineStr">
        <is>
          <t>глобально</t>
        </is>
      </c>
      <c r="E481" t="inlineStr">
        <is>
          <t>ND-фильтр</t>
        </is>
      </c>
      <c r="F481" t="inlineStr">
        <is>
          <t>фотограф</t>
        </is>
      </c>
      <c r="G481" t="inlineStr">
        <is>
          <t>ND-фильтр уменьшает количество света и обычно описывается в стопах: например, −3 стопа позволяет сделать выдержку в восемь раз длиннее.</t>
        </is>
      </c>
      <c r="H481" t="inlineStr">
        <is>
          <t>Оптические инструменты</t>
        </is>
      </c>
      <c r="I481" t="inlineStr">
        <is>
          <t>ND filter stops</t>
        </is>
      </c>
      <c r="J481" t="inlineStr">
        <is>
          <t>Стопы выходят за пределы трёх настроек камеры: фильтр тоже становится частью экспозиционной математики.</t>
        </is>
      </c>
      <c r="K481" t="inlineStr">
        <is>
          <t>Эквивалентные стопы</t>
        </is>
      </c>
      <c r="L481" t="inlineStr">
        <is>
          <t>Экспокоррекция</t>
        </is>
      </c>
      <c r="M481" t="inlineStr">
        <is>
          <t>Главная линия / фильтры</t>
        </is>
      </c>
      <c r="N481" t="n">
        <v>4</v>
      </c>
      <c r="O481" t="inlineStr">
        <is>
          <t>PL-046</t>
        </is>
      </c>
      <c r="P481" t="inlineStr">
        <is>
          <t>SRC-310</t>
        </is>
      </c>
      <c r="Q481" t="inlineStr">
        <is>
          <t>Nikon USA — When to Use Graduated Neutral Density Filters</t>
        </is>
      </c>
      <c r="R481" t="inlineStr">
        <is>
          <t>https://www.nikonusa.com/learn-and-explore/c/tips-and-techniques/when-to-use-graduated-neutral-density-filters</t>
        </is>
      </c>
      <c r="S481" t="n">
        <v>5</v>
      </c>
      <c r="T481" t="inlineStr">
        <is>
          <t>Пример: без фильтра 1/250, с ND −3 стопа около 1/30 при той же диафрагме/ISO.</t>
        </is>
      </c>
      <c r="U481" t="inlineStr">
        <is>
          <t>ND-фильтр закрывает объектив; световой поток уменьшается тремя ступенями.</t>
        </is>
      </c>
      <c r="V481" t="inlineStr">
        <is>
          <t>#PL046 #NDfilter #stops #longexposure</t>
        </is>
      </c>
      <c r="Y481" t="inlineStr">
        <is>
          <t>Стопы света / ND-фильтр</t>
        </is>
      </c>
      <c r="Z481" t="inlineStr">
        <is>
          <t>Инструмент / устройство</t>
        </is>
      </c>
    </row>
    <row r="482" ht="17" customHeight="1" s="72">
      <c r="A482" t="inlineStr">
        <is>
          <t>PL-HIST-0481</t>
        </is>
      </c>
      <c r="B482" t="inlineStr">
        <is>
          <t>сегодня</t>
        </is>
      </c>
      <c r="C482" t="inlineStr">
        <is>
          <t>примерно</t>
        </is>
      </c>
      <c r="D482" t="inlineStr">
        <is>
          <t>глобально</t>
        </is>
      </c>
      <c r="E482" t="inlineStr">
        <is>
          <t>экспокоррекция / EV</t>
        </is>
      </c>
      <c r="F482" t="inlineStr">
        <is>
          <t>фотограф</t>
        </is>
      </c>
      <c r="G482" t="inlineStr">
        <is>
          <t>Экспокоррекция в камере тоже читается в стопах или EV: +1 делает кадр светлее, −1 темнее относительно замера.</t>
        </is>
      </c>
      <c r="H482" t="inlineStr">
        <is>
          <t>Оптические инструменты</t>
        </is>
      </c>
      <c r="I482" t="inlineStr">
        <is>
          <t>Exposure compensation / EV</t>
        </is>
      </c>
      <c r="J482" t="inlineStr">
        <is>
          <t>Фотограф учится управлять автоматикой: не спорить с камерой, а давать ей понятную команду на светлее или темнее.</t>
        </is>
      </c>
      <c r="K482" t="inlineStr">
        <is>
          <t>ND-фильтры</t>
        </is>
      </c>
      <c r="L482" t="inlineStr">
        <is>
          <t>Недодержка и передержка</t>
        </is>
      </c>
      <c r="M482" t="inlineStr">
        <is>
          <t>Главная линия / экспокоррекция</t>
        </is>
      </c>
      <c r="N482" t="n">
        <v>5</v>
      </c>
      <c r="O482" t="inlineStr">
        <is>
          <t>PL-046</t>
        </is>
      </c>
      <c r="P482" t="inlineStr">
        <is>
          <t>SRC-311</t>
        </is>
      </c>
      <c r="Q482" t="inlineStr">
        <is>
          <t>B&amp;H eXplora — Exposure Compensation and How Do We Use It?</t>
        </is>
      </c>
      <c r="R482" t="inlineStr">
        <is>
          <t>https://www.bhphotovideo.com/explora/photography/tips-and-solutions/exposure-compensation-and-how-do-we-use-it</t>
        </is>
      </c>
      <c r="S482" t="n">
        <v>5</v>
      </c>
      <c r="T482" t="inlineStr">
        <is>
          <t>Хороший мост к PL-047/PL-048: теперь можно объяснить недодержку и передержку через стопы.</t>
        </is>
      </c>
      <c r="U482" t="inlineStr">
        <is>
          <t>Шкала экспокоррекции −3…0…+3; указатель стоит на +1.</t>
        </is>
      </c>
      <c r="V482" t="inlineStr">
        <is>
          <t>#PL046 #EV #exposurecompensation #metering</t>
        </is>
      </c>
      <c r="Y482" t="inlineStr">
        <is>
          <t>Стопы света / экспокоррекция</t>
        </is>
      </c>
      <c r="Z482" t="inlineStr">
        <is>
          <t>Инструмент / устройство</t>
        </is>
      </c>
    </row>
    <row r="483" ht="17" customHeight="1" s="72">
      <c r="A483" t="inlineStr">
        <is>
          <t>PL-HIST-0482</t>
        </is>
      </c>
      <c r="B483" t="inlineStr">
        <is>
          <t>сегодня</t>
        </is>
      </c>
      <c r="C483" t="inlineStr">
        <is>
          <t>примерно</t>
        </is>
      </c>
      <c r="D483" t="inlineStr">
        <is>
          <t>глобально</t>
        </is>
      </c>
      <c r="E483" t="inlineStr">
        <is>
          <t>практика PHOTO LAB</t>
        </is>
      </c>
      <c r="F483" t="inlineStr">
        <is>
          <t>ученик PHOTO LAB</t>
        </is>
      </c>
      <c r="G483" t="inlineStr">
        <is>
          <t>Практика стопов: снять одну сцену в норме, затем на −1, +1, −2 и +2 стопа, чтобы увидеть, как меняется не только яркость, но и настроение.</t>
        </is>
      </c>
      <c r="H483" t="inlineStr">
        <is>
          <t>Оптические инструменты</t>
        </is>
      </c>
      <c r="I483" t="inlineStr">
        <is>
          <t>Stop practice / bracketing</t>
        </is>
      </c>
      <c r="J483" t="inlineStr">
        <is>
          <t>Стопы становятся видимыми руками: ученик перестаёт бояться чисел и начинает чувствовать шаг света.</t>
        </is>
      </c>
      <c r="K483" t="inlineStr">
        <is>
          <t>Экспокоррекция</t>
        </is>
      </c>
      <c r="L483" t="inlineStr">
        <is>
          <t>Итог стопов</t>
        </is>
      </c>
      <c r="M483" t="inlineStr">
        <is>
          <t>Практика / обучение</t>
        </is>
      </c>
      <c r="N483" t="n">
        <v>4</v>
      </c>
      <c r="O483" t="inlineStr">
        <is>
          <t>PL-046</t>
        </is>
      </c>
      <c r="P483" t="inlineStr">
        <is>
          <t>SRC-311</t>
        </is>
      </c>
      <c r="Q483" t="inlineStr">
        <is>
          <t>B&amp;H eXplora — Exposure Compensation and How Do We Use It?</t>
        </is>
      </c>
      <c r="R483" t="inlineStr">
        <is>
          <t>https://www.bhphotovideo.com/explora/photography/tips-and-solutions/exposure-compensation-and-how-do-we-use-it</t>
        </is>
      </c>
      <c r="S483" t="n">
        <v>5</v>
      </c>
      <c r="T483" t="inlineStr">
        <is>
          <t>Можно связать с ботом: тест на +1/-1 и практическая миссия.</t>
        </is>
      </c>
      <c r="U483" t="inlineStr">
        <is>
          <t>Пять кадров одной сцены: −2, −1, 0, +1, +2; золотая рамка вокруг выбранного настроения.</t>
        </is>
      </c>
      <c r="V483" t="inlineStr">
        <is>
          <t>#PL046 #practice #bracketing #exposure</t>
        </is>
      </c>
      <c r="Y483" t="inlineStr">
        <is>
          <t>Стопы света / практика</t>
        </is>
      </c>
      <c r="Z483" t="inlineStr">
        <is>
          <t>Применение / жанр</t>
        </is>
      </c>
    </row>
    <row r="484" ht="17" customHeight="1" s="72">
      <c r="A484" t="inlineStr">
        <is>
          <t>PL-HIST-0483</t>
        </is>
      </c>
      <c r="B484" t="inlineStr">
        <is>
          <t>сегодня</t>
        </is>
      </c>
      <c r="C484" t="inlineStr">
        <is>
          <t>примерно</t>
        </is>
      </c>
      <c r="D484" t="inlineStr">
        <is>
          <t>глобально</t>
        </is>
      </c>
      <c r="E484" t="inlineStr">
        <is>
          <t>PHOTO LAB / модуль экспозиции</t>
        </is>
      </c>
      <c r="F484" t="inlineStr">
        <is>
          <t>PHOTO LAB by VF</t>
        </is>
      </c>
      <c r="G484" t="inlineStr">
        <is>
          <t>Итог PL-046: стопы света — это общий язык экспозиции. Они позволяют точно добавлять или убирать свет через диафрагму, выдержку, ISO, фильтр или экспокоррекцию.</t>
        </is>
      </c>
      <c r="H484" t="inlineStr">
        <is>
          <t>Оптические инструменты</t>
        </is>
      </c>
      <c r="I484" t="inlineStr">
        <is>
          <t>Stops as exposure language</t>
        </is>
      </c>
      <c r="J484" t="inlineStr">
        <is>
          <t>Курс готов перейти к ошибкам экспозиции: теперь недодержку и передержку можно объяснять не словами «темно» и «светло», а конкретными стопами.</t>
        </is>
      </c>
      <c r="K484" t="inlineStr">
        <is>
          <t>Практика стопов</t>
        </is>
      </c>
      <c r="L484" t="inlineStr">
        <is>
          <t>PL-047 — недодержка</t>
        </is>
      </c>
      <c r="M484" t="inlineStr">
        <is>
          <t>Связь / переход</t>
        </is>
      </c>
      <c r="N484" t="n">
        <v>5</v>
      </c>
      <c r="O484" t="inlineStr">
        <is>
          <t>PL-046</t>
        </is>
      </c>
      <c r="P484" t="inlineStr">
        <is>
          <t>SRC-309</t>
        </is>
      </c>
      <c r="Q484" t="inlineStr">
        <is>
          <t>B&amp;H eXplora — Exposure 101: An Intro to Exposure</t>
        </is>
      </c>
      <c r="R484" t="inlineStr">
        <is>
          <t>https://www.bhphotovideo.com/explora/photography/tips-and-solutions/exposure-101-an-intro-to-exposure</t>
        </is>
      </c>
      <c r="S484" t="n">
        <v>5</v>
      </c>
      <c r="T484" t="inlineStr">
        <is>
          <t>Финальный мост: стопы — база для PL-047 и PL-048.</t>
        </is>
      </c>
      <c r="U484" t="inlineStr">
        <is>
          <t>Шкала стопов ведёт к двум зонам: тени/недодержка и света/передержка.</t>
        </is>
      </c>
      <c r="V484" t="inlineStr">
        <is>
          <t>#PL046 #summary #bridge #underexposure #overexposure</t>
        </is>
      </c>
      <c r="Y484" t="inlineStr">
        <is>
          <t>Стопы света / итог и мост</t>
        </is>
      </c>
      <c r="Z484" t="inlineStr">
        <is>
          <t>Связь / переход</t>
        </is>
      </c>
    </row>
    <row r="485" ht="17" customHeight="1" s="72"/>
    <row r="486" ht="17" customHeight="1" s="72"/>
    <row r="487" ht="17" customHeight="1" s="72"/>
    <row r="488" ht="17" customHeight="1" s="72"/>
    <row r="489" ht="17" customHeight="1" s="72"/>
    <row r="490" ht="17" customHeight="1" s="72"/>
    <row r="491" ht="17" customHeight="1" s="72"/>
    <row r="492" ht="17" customHeight="1" s="72"/>
    <row r="493" ht="17" customHeight="1" s="72"/>
    <row r="494" ht="17" customHeight="1" s="72"/>
    <row r="495" ht="17" customHeight="1" s="72"/>
    <row r="496" ht="17" customHeight="1" s="72"/>
    <row r="497" ht="17" customHeight="1" s="72"/>
    <row r="498" ht="17" customHeight="1" s="72"/>
    <row r="499" ht="17" customHeight="1" s="72"/>
    <row r="500" ht="17" customHeight="1" s="72"/>
  </sheetData>
  <conditionalFormatting sqref="N2:N49">
    <cfRule type="colorScale" priority="2">
      <colorScale>
        <cfvo type="min"/>
        <cfvo type="percentile" val="50"/>
        <cfvo type="max"/>
        <color rgb="FFFEE2E2"/>
        <color rgb="FFFEF3C7"/>
        <color rgb="FFDCFCE7"/>
      </colorScale>
    </cfRule>
  </conditionalFormatting>
  <conditionalFormatting sqref="S2:S49">
    <cfRule type="colorScale" priority="3">
      <colorScale>
        <cfvo type="min"/>
        <cfvo type="percentile" val="50"/>
        <cfvo type="max"/>
        <color rgb="FFFEE2E2"/>
        <color rgb="FFFEF3C7"/>
        <color rgb="FFDCFCE7"/>
      </colorScale>
    </cfRule>
  </conditionalFormatting>
  <dataValidations count="9">
    <dataValidation sqref="AA2:AA500" showDropDown="0" showInputMessage="0" showErrorMessage="0" allowBlank="0" type="list">
      <formula1>"да"</formula1>
    </dataValidation>
    <dataValidation sqref="C2:C500" showDropDown="0" showInputMessage="0" showErrorMessage="0" allowBlank="0" type="list">
      <formula1>'06_Lists'!$A$2:$A$6</formula1>
    </dataValidation>
    <dataValidation sqref="M2:M500" showDropDown="0" showInputMessage="0" showErrorMessage="0" allowBlank="0" type="list">
      <formula1>'06_Lists'!$B$2:$B$11</formula1>
    </dataValidation>
    <dataValidation sqref="O2:O500" showDropDown="0" showInputMessage="0" showErrorMessage="0" allowBlank="0" type="list">
      <formula1>'06_Lists'!$C$2:$C$18</formula1>
    </dataValidation>
    <dataValidation sqref="H2:H500" showDropDown="0" showInputMessage="0" showErrorMessage="0" allowBlank="0" type="list">
      <formula1>'06_Lists'!$D$2:$D$14</formula1>
    </dataValidation>
    <dataValidation sqref="N2:N500" showDropDown="0" showInputMessage="0" showErrorMessage="0" allowBlank="0" type="list">
      <formula1>'06_Lists'!$E$2:$E$6</formula1>
    </dataValidation>
    <dataValidation sqref="S2:S500" showDropDown="0" showInputMessage="0" showErrorMessage="0" allowBlank="0" type="list">
      <formula1>'06_Lists'!$F$2:$F$6</formula1>
    </dataValidation>
    <dataValidation sqref="Z2:Z500" showDropDown="0" showInputMessage="0" showErrorMessage="0" allowBlank="0" type="list">
      <formula1>'06_Lists'!$G$2:$G$12</formula1>
    </dataValidation>
    <dataValidation sqref="Y2:Y500" showDropDown="0" showInputMessage="0" showErrorMessage="0" allowBlank="0" type="list">
      <formula1>'06_Lists'!$H$2:$H$119</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10" defaultColWidth="8.6640625" defaultRowHeight="13"/>
  <cols>
    <col width="28" customWidth="1" style="72" min="1" max="1"/>
    <col width="44" customWidth="1" style="72" min="2" max="2"/>
    <col width="22" customWidth="1" style="72" min="3" max="3"/>
    <col width="20" customWidth="1" style="72" min="4" max="4"/>
    <col width="42" customWidth="1" style="72" min="5" max="5"/>
  </cols>
  <sheetData>
    <row r="1" ht="37" customHeight="1" s="72">
      <c r="A1" s="79" t="inlineStr">
        <is>
          <t>Ветка</t>
        </is>
      </c>
      <c r="B1" s="79" t="inlineStr">
        <is>
          <t>Что включает</t>
        </is>
      </c>
      <c r="C1" s="79" t="inlineStr">
        <is>
          <t>Для каких уроков</t>
        </is>
      </c>
      <c r="D1" s="79" t="inlineStr">
        <is>
          <t>Визуальный цвет/код</t>
        </is>
      </c>
      <c r="E1" s="79" t="inlineStr">
        <is>
          <t>Комментарий</t>
        </is>
      </c>
    </row>
    <row r="2" ht="42" customHeight="1" s="72">
      <c r="A2" s="76" t="inlineStr">
        <is>
          <t>Оптика / камера-обскура</t>
        </is>
      </c>
      <c r="B2" s="76" t="inlineStr">
        <is>
          <t>свет, тёмная комната, pinhole, линзы</t>
        </is>
      </c>
      <c r="C2" s="76" t="inlineStr">
        <is>
          <t>PL-001</t>
        </is>
      </c>
      <c r="D2" s="76" t="inlineStr">
        <is>
          <t>синий</t>
        </is>
      </c>
      <c r="E2" s="76" t="inlineStr">
        <is>
          <t>Это предпосылка фотографии, не сама фотография.</t>
        </is>
      </c>
    </row>
    <row r="3" ht="42" customHeight="1" s="72">
      <c r="A3" s="76" t="inlineStr">
        <is>
          <t>Оптические инструменты</t>
        </is>
      </c>
      <c r="B3" s="76" t="inlineStr">
        <is>
          <t>camera lucida, stereoscope, portable camera obscura, compact 35mm cameras, Leica I, Leica system, rangefinder lineage, SLR, TLR, compact point-and-shoot, средний формат, большой формат, view camera, устройство плёночной камеры, выбор первой камеры, авторская роль камеры, объектив, элементы объектива, байонет, диафрагма, фокусное расстояние, угол зрения, широкий угол, нормальный 50 мм, портретный объектив, телеобъектив, светосила, диафрагма, базовая экспозиция, диафрагма как окно, выдержка как время, ISO как чувствительность, экспозиционный треугольник, стопы света</t>
        </is>
      </c>
      <c r="C3" s="76" t="inlineStr">
        <is>
          <t>PL-001 / PL-009 / PL-010 / PL-021–PL-039 / PL-041–PL-046 / будущие PL</t>
        </is>
      </c>
      <c r="D3" s="76" t="inlineStr">
        <is>
          <t>голубой</t>
        </is>
      </c>
      <c r="E3" s="76" t="inlineStr">
        <is>
          <t>Оптическая и камерная линия: от оптических предпосылок к устройству камеры, объективам, типам фокусных расстояний и управлению экспозицией через диафрагму, выдержку, ISO и стопы света.</t>
        </is>
      </c>
    </row>
    <row r="4" ht="21" customHeight="1" s="72">
      <c r="A4" s="76" t="inlineStr">
        <is>
          <t>Фотохимия</t>
        </is>
      </c>
      <c r="B4" s="76" t="inlineStr">
        <is>
          <t>серебряные соли, желатиновые эмульсии, скрытое изображение, проявление, чувствительность, ISO / film speed, EI, push/pull, спектральная чувствительность, зерно, цветные слои, color couplers, C-41, E-6, reversal-процесс, экспозиционная широта, сенситометрия / характеристическая кривая</t>
        </is>
      </c>
      <c r="C4" s="76" t="inlineStr">
        <is>
          <t>PL-002 / PL-006 / PL-011 / PL-012 / PL-015 / PL-016 / PL-017 / PL-018 / PL-019 / PL-020</t>
        </is>
      </c>
      <c r="D4" s="76" t="inlineStr">
        <is>
          <t>жёлтый</t>
        </is>
      </c>
      <c r="E4" s="76" t="inlineStr">
        <is>
          <t>Химическая половина рождения фотографии: от серебряного изображения к чувствительности, зерну, цвету и экспозиционному диапазону материала.</t>
        </is>
      </c>
    </row>
    <row r="5" ht="21" customHeight="1" s="72">
      <c r="A5" s="76" t="inlineStr">
        <is>
          <t>Гелиография</t>
        </is>
      </c>
      <c r="B5" s="76" t="inlineStr">
        <is>
          <t>Ньепс, битум, первое сохранившееся изображение</t>
        </is>
      </c>
      <c r="C5" s="76" t="inlineStr">
        <is>
          <t>PL-002</t>
        </is>
      </c>
      <c r="D5" s="76" t="inlineStr">
        <is>
          <t>золотой</t>
        </is>
      </c>
      <c r="E5" s="76" t="inlineStr">
        <is>
          <t>Путь к постоянному изображению.</t>
        </is>
      </c>
    </row>
    <row r="6" ht="42" customHeight="1" s="72">
      <c r="A6" s="76" t="inlineStr">
        <is>
          <t>Дагеротип</t>
        </is>
      </c>
      <c r="B6" s="76" t="inlineStr">
        <is>
          <t>прямой позитив на серебряной пластине</t>
        </is>
      </c>
      <c r="C6" s="76" t="inlineStr">
        <is>
          <t>PL-003</t>
        </is>
      </c>
      <c r="D6" s="76" t="inlineStr">
        <is>
          <t>серебряный</t>
        </is>
      </c>
      <c r="E6" s="76" t="inlineStr">
        <is>
          <t>Резкость и публичный эффект, но уникальный экземпляр.</t>
        </is>
      </c>
    </row>
    <row r="7" ht="42" customHeight="1" s="72">
      <c r="A7" s="76" t="inlineStr">
        <is>
          <t>Фотогенный рисунок / фотограмма</t>
        </is>
      </c>
      <c r="B7" s="76" t="inlineStr">
        <is>
          <t>контактные изображения объектов на бумаге</t>
        </is>
      </c>
      <c r="C7" s="76" t="inlineStr">
        <is>
          <t>PL-004</t>
        </is>
      </c>
      <c r="D7" s="76" t="inlineStr">
        <is>
          <t>зелёный</t>
        </is>
      </c>
      <c r="E7" s="76" t="inlineStr">
        <is>
          <t>Британская линия Тальбота.</t>
        </is>
      </c>
    </row>
    <row r="8" ht="21" customHeight="1" s="72">
      <c r="A8" s="76" t="inlineStr">
        <is>
          <t>Печать / тиражирование</t>
        </is>
      </c>
      <c r="B8" s="76" t="inlineStr">
        <is>
          <t>salt print, albumen print, gelatin silver print, POP/DOP, chromogenic print, фотокнига, лабораторная и сервисная печать, цветная печать с негатива, влияние зерна и экспозиции на скан/отпечаток, контактная печать, крупный негатив</t>
        </is>
      </c>
      <c r="C8" s="76" t="inlineStr">
        <is>
          <t>PL-004 / PL-013 / PL-014 / PL-015 / PL-016 / PL-019 / PL-020 / PL-028</t>
        </is>
      </c>
      <c r="D8" s="76" t="inlineStr">
        <is>
          <t>оранжевый</t>
        </is>
      </c>
      <c r="E8" s="76" t="inlineStr">
        <is>
          <t>Ветка распространения изображений: от единичного отпечатка к массовому фотосервису, авторскому управлению финальной фактурой и контактному отпечатку крупного негатива.</t>
        </is>
      </c>
    </row>
    <row r="9" ht="21" customHeight="1" s="72">
      <c r="A9" s="76" t="inlineStr">
        <is>
          <t>Печать / тиражирование</t>
        </is>
      </c>
      <c r="B9" s="76" t="inlineStr">
        <is>
          <t>salt print, albumen print, gelatin silver print, POP/DOP, chromogenic print, фотокнига, лабораторная и сервисная печать, цветная печать с негатива, влияние зерна и экспозиции на скан/отпечаток</t>
        </is>
      </c>
      <c r="C9" s="76" t="inlineStr">
        <is>
          <t>PL-004 / PL-013 / PL-014 / PL-015 / PL-016 / PL-019 / PL-020</t>
        </is>
      </c>
      <c r="D9" s="76" t="inlineStr">
        <is>
          <t>оранжевый</t>
        </is>
      </c>
      <c r="E9" s="76" t="inlineStr">
        <is>
          <t>Ветка распространения изображений: от единичного отпечатка к массовому фотосервису и авторскому управлению финальной фактурой.</t>
        </is>
      </c>
    </row>
    <row r="10" ht="21" customHeight="1" s="72">
      <c r="A10" s="76" t="inlineStr">
        <is>
          <t>Печать / тиражирование</t>
        </is>
      </c>
      <c r="B10" s="76" t="inlineStr">
        <is>
          <t>salt print, albumen print, gelatin silver print, POP/DOP, chromogenic print, фотокнига, лабораторная и сервисная печать, цветная печать с негатива</t>
        </is>
      </c>
      <c r="C10" s="76" t="inlineStr">
        <is>
          <t>PL-004 / PL-013 / PL-014 / PL-015 / PL-016</t>
        </is>
      </c>
      <c r="D10" s="76" t="inlineStr">
        <is>
          <t>оранжевый</t>
        </is>
      </c>
      <c r="E10" s="76" t="inlineStr">
        <is>
          <t>Ветка распространения изображений: от единичного отпечатка к массовому фотосервису.</t>
        </is>
      </c>
    </row>
    <row r="11" ht="21" customHeight="1" s="72">
      <c r="A11" s="76" t="inlineStr">
        <is>
          <t>Уникальный позитив</t>
        </is>
      </c>
      <c r="B11" s="76" t="inlineStr">
        <is>
          <t>ранний цвет, Autochrome, Kodachrome, Kodacolor, Ektachrome, цветная негативная и слайдовая плёнка, chromogenic print, C-41, E-6, узкая широта слайдового позитива</t>
        </is>
      </c>
      <c r="C11" s="76" t="inlineStr">
        <is>
          <t>PL-014 / PL-016 / PL-017 / PL-020 / будущие PL</t>
        </is>
      </c>
      <c r="D11" s="76" t="inlineStr">
        <is>
          <t>серый</t>
        </is>
      </c>
      <c r="E11" s="76" t="inlineStr">
        <is>
          <t>Важные, но технологически ограниченные ветки; слайдовая прозрачность особенно хорошо показывает цену ошибки экспозиции.</t>
        </is>
      </c>
    </row>
    <row r="12" ht="21" customHeight="1" s="72">
      <c r="A12" s="76" t="inlineStr">
        <is>
          <t>Цвет</t>
        </is>
      </c>
      <c r="B12" s="76" t="inlineStr">
        <is>
          <t>цветные негативы, слайды, прозрачности, projected positive, Kodachrome, Ektachrome, EKTAR, EKTACOLOR, цветное зерно/красители, широта цветного негатива и слайда</t>
        </is>
      </c>
      <c r="C12" s="76" t="inlineStr">
        <is>
          <t>PL-016 / PL-017 / PL-019 / PL-020 / будущие PL</t>
        </is>
      </c>
      <c r="D12" s="76" t="inlineStr">
        <is>
          <t>радужный</t>
        </is>
      </c>
      <c r="E12" s="76" t="inlineStr">
        <is>
          <t>Цветная фотография как отдельная технологическая и визуальная линия: материал, проявка, просмотр, печать и экспозиционный допуск.</t>
        </is>
      </c>
    </row>
    <row r="13" ht="21" customHeight="1" s="72">
      <c r="A13" s="76" t="inlineStr">
        <is>
          <t>Цвет</t>
        </is>
      </c>
      <c r="B13" s="76" t="inlineStr">
        <is>
          <t>lantern slides, слайды, прозрачности, projected positive, публичный и семейный показ</t>
        </is>
      </c>
      <c r="C13" s="76" t="inlineStr">
        <is>
          <t>PL-017 / будущие PL</t>
        </is>
      </c>
      <c r="D13" s="76" t="inlineStr">
        <is>
          <t>радужный</t>
        </is>
      </c>
      <c r="E13" s="76" t="inlineStr">
        <is>
          <t>Цветная фотография как отдельная технологическая и визуальная линия.</t>
        </is>
      </c>
    </row>
    <row r="14" ht="21" customHeight="1" s="72">
      <c r="A14" s="76" t="inlineStr">
        <is>
          <t>Проекция / распространение</t>
        </is>
      </c>
      <c r="B14" s="76" t="inlineStr">
        <is>
          <t>lantern slides, публичный показ</t>
        </is>
      </c>
      <c r="C14" s="76" t="inlineStr">
        <is>
          <t>будущие PL</t>
        </is>
      </c>
      <c r="D14" s="76" t="inlineStr">
        <is>
          <t>бирюзовый</t>
        </is>
      </c>
      <c r="E14" s="76" t="inlineStr">
        <is>
          <t>Мост к обучению, лекциям, презентациям.</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10" defaultColWidth="8.6640625" defaultRowHeight="13"/>
  <cols>
    <col width="9.6640625" customWidth="1" style="72" min="1" max="1"/>
    <col width="27.33203125" customWidth="1" style="72" min="2" max="2"/>
    <col width="42" customWidth="1" style="72" min="3" max="3"/>
    <col width="76.1640625" customWidth="1" style="72" min="4" max="4"/>
    <col width="11.33203125" customWidth="1" style="72" min="5" max="5"/>
    <col width="28" customWidth="1" style="72" min="6" max="6"/>
  </cols>
  <sheetData>
    <row r="1" ht="37" customHeight="1" s="72">
      <c r="A1" s="73" t="inlineStr">
        <is>
          <t>Урок</t>
        </is>
      </c>
      <c r="B1" s="73" t="inlineStr">
        <is>
          <t>Главная тема</t>
        </is>
      </c>
      <c r="C1" s="73" t="inlineStr">
        <is>
          <t>Исторические узлы</t>
        </is>
      </c>
      <c r="D1" s="73" t="inlineStr">
        <is>
          <t>Что должен понять новичок</t>
        </is>
      </c>
      <c r="E1" s="73" t="inlineStr">
        <is>
          <t>Статус</t>
        </is>
      </c>
      <c r="F1" s="75" t="inlineStr">
        <is>
          <t>Ссылка на урок (Telegram)</t>
        </is>
      </c>
    </row>
    <row r="2" ht="42" customHeight="1" s="72">
      <c r="A2" s="76" t="inlineStr">
        <is>
          <t>PL-001</t>
        </is>
      </c>
      <c r="B2" s="76" t="inlineStr">
        <is>
          <t>Камера-обскура и оптика</t>
        </is>
      </c>
      <c r="C2" s="76" t="inlineStr">
        <is>
          <t>PL-HIST-0001…0008, 0013, 0028</t>
        </is>
      </c>
      <c r="D2" s="76" t="inlineStr">
        <is>
          <t>Свет умеет строить изображение, но ещё не сохраняет его.</t>
        </is>
      </c>
      <c r="E2" s="76" t="inlineStr">
        <is>
          <t>основа готова</t>
        </is>
      </c>
      <c r="F2" s="75" t="inlineStr">
        <is>
          <t>https://t.me/photolab_vf_pro/4/40</t>
        </is>
      </c>
    </row>
    <row r="3" ht="42" customHeight="1" s="72">
      <c r="A3" s="76" t="inlineStr">
        <is>
          <t>PL-002</t>
        </is>
      </c>
      <c r="B3" s="76" t="inlineStr">
        <is>
          <t>Ньепс и первая фиксация</t>
        </is>
      </c>
      <c r="C3" s="76" t="inlineStr">
        <is>
          <t>PL-HIST-0009…0016</t>
        </is>
      </c>
      <c r="D3" s="76" t="inlineStr">
        <is>
          <t>Недостаточно увидеть изображение — его нужно зафиксировать.</t>
        </is>
      </c>
      <c r="E3" s="76" t="inlineStr">
        <is>
          <t>основа готова</t>
        </is>
      </c>
      <c r="F3" s="75" t="inlineStr">
        <is>
          <t>https://t.me/photolab_vf_pro/4/54</t>
        </is>
      </c>
    </row>
    <row r="4" ht="42" customHeight="1" s="72">
      <c r="A4" s="76" t="inlineStr">
        <is>
          <t>PL-003</t>
        </is>
      </c>
      <c r="B4" s="76" t="inlineStr">
        <is>
          <t>Дагеротип</t>
        </is>
      </c>
      <c r="C4" s="76" t="inlineStr">
        <is>
          <t>PL-HIST-0017…0023, 0027</t>
        </is>
      </c>
      <c r="D4" s="76" t="inlineStr">
        <is>
          <t>Фотография стала публичной, резкой и убедительной, но изображение было уникальным.</t>
        </is>
      </c>
      <c r="E4" s="76" t="inlineStr">
        <is>
          <t>основа готова</t>
        </is>
      </c>
      <c r="F4" s="75" t="inlineStr">
        <is>
          <t>https://t.me/photolab_vf_pro/4/59</t>
        </is>
      </c>
    </row>
    <row r="5" ht="42" customHeight="1" s="72">
      <c r="A5" s="76" t="inlineStr">
        <is>
          <t>PL-004</t>
        </is>
      </c>
      <c r="B5" s="76" t="inlineStr">
        <is>
          <t>Тальбот, калотип, негатив-позитив</t>
        </is>
      </c>
      <c r="C5" s="76" t="inlineStr">
        <is>
          <t>PL-HIST-0019…0026, 0029…0035</t>
        </is>
      </c>
      <c r="D5" s="76" t="inlineStr">
        <is>
          <t>Идея копирования победила: один негатив может дать много отпечатков.</t>
        </is>
      </c>
      <c r="E5" s="76" t="inlineStr">
        <is>
          <t>основа готова</t>
        </is>
      </c>
      <c r="F5" s="75" t="inlineStr">
        <is>
          <t>https://t.me/photolab_vf_pro/4/64</t>
        </is>
      </c>
    </row>
    <row r="6" ht="42" customHeight="1" s="72">
      <c r="A6" s="76" t="inlineStr">
        <is>
          <t>PL-005</t>
        </is>
      </c>
      <c r="B6" s="76" t="inlineStr">
        <is>
          <t>Мокрый коллодий</t>
        </is>
      </c>
      <c r="C6" s="76" t="inlineStr">
        <is>
          <t>PL-HIST-0041…0048</t>
        </is>
      </c>
      <c r="D6" s="76" t="inlineStr">
        <is>
          <t>Резкость дагеротипа и тираж калотипа встретились на стеклянной влажной пластине.</t>
        </is>
      </c>
      <c r="E6" s="76" t="inlineStr">
        <is>
          <t>основа готова</t>
        </is>
      </c>
      <c r="F6" s="75" t="inlineStr">
        <is>
          <t>https://t.me/photolab_vf_pro/4/69</t>
        </is>
      </c>
    </row>
    <row r="7" ht="42" customHeight="1" s="72">
      <c r="A7" s="76" t="inlineStr">
        <is>
          <t>PL-006</t>
        </is>
      </c>
      <c r="B7" s="76" t="inlineStr">
        <is>
          <t>Сухие желатиновые пластины</t>
        </is>
      </c>
      <c r="C7" s="76" t="inlineStr">
        <is>
          <t>PL-HIST-0049…0058</t>
        </is>
      </c>
      <c r="D7" s="76" t="inlineStr">
        <is>
          <t>Фотография освобождается от немедленной полевой химии: пластину можно купить, хранить, экспонировать и проявлять позже.</t>
        </is>
      </c>
      <c r="E7" s="76" t="inlineStr">
        <is>
          <t>основа заполнена</t>
        </is>
      </c>
      <c r="F7" s="75" t="inlineStr">
        <is>
          <t>https://t.me/photolab_vf_pro/4/75</t>
        </is>
      </c>
    </row>
    <row r="8" ht="17" customHeight="1" s="72">
      <c r="A8" s="75" t="inlineStr">
        <is>
          <t>PL-007</t>
        </is>
      </c>
      <c r="B8" s="75" t="inlineStr">
        <is>
          <t>Рулонная плёнка и Kodak</t>
        </is>
      </c>
      <c r="C8" s="75" t="inlineStr">
        <is>
          <t>PL-HIST-0059…0068</t>
        </is>
      </c>
      <c r="D8" s="75" t="inlineStr">
        <is>
          <t>Фотография освобождается от стеклянной пластины: рулонный носитель, Kodak и сервис обработки делают съёмку проще и ближе к массовому пользователю.</t>
        </is>
      </c>
      <c r="E8" s="75" t="inlineStr">
        <is>
          <t>основа заполнена</t>
        </is>
      </c>
      <c r="F8" s="75" t="inlineStr">
        <is>
          <t>https://t.me/photolab_vf_pro/4/105</t>
        </is>
      </c>
    </row>
    <row r="9" ht="28" customHeight="1" s="72">
      <c r="A9" s="75" t="inlineStr">
        <is>
          <t>PL-008</t>
        </is>
      </c>
      <c r="B9" s="75" t="inlineStr">
        <is>
          <t>Brownie и snapshot-культура</t>
        </is>
      </c>
      <c r="C9" s="75" t="inlineStr">
        <is>
          <t>PL-HIST-0069…0078</t>
        </is>
      </c>
      <c r="D9" s="75" t="inlineStr">
        <is>
          <t>Фотография становится дешёвой и повседневной: обычные люди начинают снимать семью, поездки, детей и частную жизнь.</t>
        </is>
      </c>
      <c r="E9" s="75" t="inlineStr">
        <is>
          <t>основа заполнена</t>
        </is>
      </c>
      <c r="F9" s="75" t="inlineStr">
        <is>
          <t>https://t.me/photolab_vf_pro/4/110</t>
        </is>
      </c>
    </row>
    <row r="10" ht="28" customHeight="1" s="72">
      <c r="A10" s="75" t="inlineStr">
        <is>
          <t>PL-009</t>
        </is>
      </c>
      <c r="B10" s="75" t="inlineStr">
        <is>
          <t>35 мм</t>
        </is>
      </c>
      <c r="C10" s="75" t="inlineStr">
        <is>
          <t>PL-HIST-0079…0088</t>
        </is>
      </c>
      <c r="D10" s="75" t="inlineStr">
        <is>
          <t>35 мм родился в кино, но стал языком компактной фотографии: киноплёнка превратилась в маленький кадр 24×36 и открыла путь Leica.</t>
        </is>
      </c>
      <c r="E10" s="75" t="inlineStr">
        <is>
          <t>основа заполнена</t>
        </is>
      </c>
      <c r="F10" s="75" t="inlineStr">
        <is>
          <t>https://t.me/photolab_vf_pro/4/118</t>
        </is>
      </c>
    </row>
    <row r="11" ht="42" customHeight="1" s="72">
      <c r="A11" s="75" t="inlineStr">
        <is>
          <t>PL-010</t>
        </is>
      </c>
      <c r="B11" s="75" t="inlineStr">
        <is>
          <t>Leica I</t>
        </is>
      </c>
      <c r="C11" s="75" t="inlineStr">
        <is>
          <t>PL-HIST-0089…0098</t>
        </is>
      </c>
      <c r="D11" s="75" t="inlineStr">
        <is>
          <t>Leica I сделала 35 мм не просто форматом плёнки, а языком мобильной фотографии: маленькая камера стала серьёзным инструментом репортажа, улицы и повседневного наблюдения.</t>
        </is>
      </c>
      <c r="E11" s="75" t="inlineStr">
        <is>
          <t>основа заполнена</t>
        </is>
      </c>
      <c r="F11" s="75" t="inlineStr">
        <is>
          <t>https://t.me/photolab_vf_pro/4/131</t>
        </is>
      </c>
    </row>
    <row r="12" ht="42" customHeight="1" s="72">
      <c r="A12" s="75" t="inlineStr">
        <is>
          <t>PL-011</t>
        </is>
      </c>
      <c r="B12" s="75" t="inlineStr">
        <is>
          <t>Плёнка как светочувствительный материал</t>
        </is>
      </c>
      <c r="C12" s="75" t="inlineStr">
        <is>
          <t>PL-HIST-0099…0109</t>
        </is>
      </c>
      <c r="D12" s="75" t="inlineStr">
        <is>
          <t>Плёнка — это не просто катушка, а многослойный светочувствительный материал: гибкая основа, эмульсия, серебряные соли, скрытое изображение и служебные слои.</t>
        </is>
      </c>
      <c r="E12" s="75" t="inlineStr">
        <is>
          <t>основа заполнена</t>
        </is>
      </c>
      <c r="F12" s="75" t="inlineStr">
        <is>
          <t>https://t.me/photolab_vf_pro/4/145</t>
        </is>
      </c>
    </row>
    <row r="13" ht="28" customHeight="1" s="72">
      <c r="A13" s="75" t="inlineStr">
        <is>
          <t>PL-012</t>
        </is>
      </c>
      <c r="B13" s="75" t="inlineStr">
        <is>
          <t>Эмульсия: как свет становится изображением</t>
        </is>
      </c>
      <c r="C13" s="75" t="inlineStr">
        <is>
          <t>PL-HIST-0110…0120</t>
        </is>
      </c>
      <c r="D13" s="75" t="inlineStr">
        <is>
          <t>Эмульсия — это рабочий светочувствительный слой: желатин удерживает кристаллы галогенидов серебра, свет создаёт скрытое изображение, проявитель делает его видимым, а фиксаж закрепляет результат.</t>
        </is>
      </c>
      <c r="E13" s="75" t="inlineStr">
        <is>
          <t>основа заполнена</t>
        </is>
      </c>
      <c r="F13" s="75" t="inlineStr">
        <is>
          <t>https://t.me/photolab_vf_pro/4/151</t>
        </is>
      </c>
    </row>
    <row r="14">
      <c r="A14" s="75" t="inlineStr">
        <is>
          <t>PL-013</t>
        </is>
      </c>
      <c r="B14" s="75" t="inlineStr">
        <is>
          <t>Негатив и позитив</t>
        </is>
      </c>
      <c r="C14" s="75" t="inlineStr">
        <is>
          <t>PL-HIST-0121…0131</t>
        </is>
      </c>
      <c r="D14" s="75" t="inlineStr">
        <is>
          <t>Негатив — это не «испорченная фотография», а промежуточная матрица: из неё можно получить читаемый позитив, тиражировать изображение и управлять печатью.</t>
        </is>
      </c>
      <c r="E14" s="75" t="inlineStr">
        <is>
          <t>основа заполнена</t>
        </is>
      </c>
      <c r="F14" s="75" t="inlineStr">
        <is>
          <t>https://t.me/photolab_vf_pro/4/162</t>
        </is>
      </c>
    </row>
    <row r="15">
      <c r="A15" s="75" t="inlineStr">
        <is>
          <t>PL-014</t>
        </is>
      </c>
      <c r="B15" s="75" t="inlineStr">
        <is>
          <t>Позитив</t>
        </is>
      </c>
      <c r="C15" s="75" t="inlineStr">
        <is>
          <t>PL-HIST-0132…0142</t>
        </is>
      </c>
      <c r="D15" s="75" t="inlineStr">
        <is>
          <t>Позитив — это читаемая финальная форма изображения: бумажный отпечаток, прозрачность, слайд или мгновенная фотография, которую уже видит зритель.</t>
        </is>
      </c>
      <c r="E15" s="75" t="inlineStr">
        <is>
          <t>основа заполнена</t>
        </is>
      </c>
      <c r="F15" s="75" t="inlineStr">
        <is>
          <t>https://t.me/photolab_vf_pro/4/168</t>
        </is>
      </c>
    </row>
    <row r="16">
      <c r="A16" s="75" t="inlineStr">
        <is>
          <t>PL-015</t>
        </is>
      </c>
      <c r="B16" s="75" t="inlineStr">
        <is>
          <t>Чёрно-белая плёнка</t>
        </is>
      </c>
      <c r="C16" s="75" t="inlineStr">
        <is>
          <t>PL-HIST-0143…0153</t>
        </is>
      </c>
      <c r="D16" s="75" t="inlineStr">
        <is>
          <t>Чёрно-белая плёнка — это не просто отсутствие цвета, а отдельный материал и язык: серебро, тон, контраст, зерно, проявка и управляемый характер изображения.</t>
        </is>
      </c>
      <c r="E16" s="75" t="inlineStr">
        <is>
          <t>основа заполнена</t>
        </is>
      </c>
      <c r="F16" s="75" t="inlineStr">
        <is>
          <t>https://t.me/photolab_vf_pro/4/173</t>
        </is>
      </c>
    </row>
    <row r="17">
      <c r="A17" t="inlineStr">
        <is>
          <t>PL-016</t>
        </is>
      </c>
      <c r="B17" t="inlineStr">
        <is>
          <t>Цветная негативная плёнка</t>
        </is>
      </c>
      <c r="C17" t="inlineStr">
        <is>
          <t>PL-HIST-0154…0164</t>
        </is>
      </c>
      <c r="D17" t="inlineStr">
        <is>
          <t>Цветной негатив — это не готовая картинка, а цветная матрица: несколько слоёв, красители, оранжевая маска и процесс C-41 превращают сцену в материал для печати или сканирования.</t>
        </is>
      </c>
      <c r="E17" t="inlineStr">
        <is>
          <t>основа заполнена</t>
        </is>
      </c>
      <c r="F17" t="inlineStr">
        <is>
          <t>https://t.me/photolab_vf_pro/4/181</t>
        </is>
      </c>
    </row>
    <row r="18">
      <c r="A18" s="75" t="inlineStr">
        <is>
          <t>PL-017</t>
        </is>
      </c>
      <c r="B18" s="75" t="inlineStr">
        <is>
          <t>Слайдовая плёнка</t>
        </is>
      </c>
      <c r="C18" s="75" t="inlineStr">
        <is>
          <t>PL-HIST-0165…0175</t>
        </is>
      </c>
      <c r="D18" s="75" t="inlineStr">
        <is>
          <t>Слайдовая плёнка — это позитивная прозрачность: реверсивный процесс даёт готовое изображение прямо на плёнке, поэтому цвет, проекция и экспозиция требуют большей точности.</t>
        </is>
      </c>
      <c r="E18" s="75" t="inlineStr">
        <is>
          <t>основа заполнена</t>
        </is>
      </c>
      <c r="F18" s="75" t="inlineStr">
        <is>
          <t>https://t.me/photolab_vf_pro</t>
        </is>
      </c>
    </row>
    <row r="19">
      <c r="A19" s="75" t="inlineStr">
        <is>
          <t>PL-018</t>
        </is>
      </c>
      <c r="B19" s="75" t="inlineStr">
        <is>
          <t>ISO плёнки</t>
        </is>
      </c>
      <c r="C19" s="75" t="inlineStr">
        <is>
          <t>PL-HIST-0176…0186</t>
        </is>
      </c>
      <c r="D19" s="75" t="inlineStr">
        <is>
          <t>ISO — это язык светочувствительности плёнки: число на коробке помогает выбрать материал под свет, связать его с выдержкой/диафрагмой и понять разницу между box speed, EI и push/pull.</t>
        </is>
      </c>
      <c r="E19" s="75" t="inlineStr">
        <is>
          <t>основа заполнена</t>
        </is>
      </c>
      <c r="F19" s="75" t="inlineStr">
        <is>
          <t>https://t.me/photolab_vf_pro</t>
        </is>
      </c>
    </row>
    <row r="20">
      <c r="A20" t="inlineStr">
        <is>
          <t>PL-019</t>
        </is>
      </c>
      <c r="B20" t="inlineStr">
        <is>
          <t>Зерно</t>
        </is>
      </c>
      <c r="C20" t="inlineStr">
        <is>
          <t>PL-HIST-0187…0197</t>
        </is>
      </c>
      <c r="D20" t="inlineStr">
        <is>
          <t>Зерно — это не цифровой шум и не просто дефект, а материальная фактура плёнки: кристаллы, эмульсия, ISO, проявитель, сканирование и печать формируют характер изображения.</t>
        </is>
      </c>
      <c r="E20" t="inlineStr">
        <is>
          <t>основа заполнена</t>
        </is>
      </c>
      <c r="F20" t="inlineStr">
        <is>
          <t>https://t.me/photolab_vf_pro</t>
        </is>
      </c>
    </row>
    <row r="21">
      <c r="A21" t="inlineStr">
        <is>
          <t>PL-020</t>
        </is>
      </c>
      <c r="B21" t="inlineStr">
        <is>
          <t>Экспозиционная широта</t>
        </is>
      </c>
      <c r="C21" t="inlineStr">
        <is>
          <t>PL-HIST-0198…0208</t>
        </is>
      </c>
      <c r="D21" t="inlineStr">
        <is>
          <t>Экспозиционная широта — это запас материала: плёнка может выдержать часть ошибок экспозиции, но тени, света, контраст, зерно и печать всё равно меняются.</t>
        </is>
      </c>
      <c r="E21" t="inlineStr">
        <is>
          <t>основа заполнена</t>
        </is>
      </c>
      <c r="F21" t="inlineStr">
        <is>
          <t>https://t.me/photolab_vf_pro</t>
        </is>
      </c>
    </row>
    <row r="22">
      <c r="A22" t="inlineStr">
        <is>
          <t>PL-021</t>
        </is>
      </c>
      <c r="B22" t="inlineStr">
        <is>
          <t>Из чего состоит плёночная камера</t>
        </is>
      </c>
      <c r="C22" t="inlineStr">
        <is>
          <t>PL-HIST-0209…0219</t>
        </is>
      </c>
      <c r="D22" t="inlineStr">
        <is>
          <t>Плёночная камера — это не магия, а понятная система: корпус защищает плёнку, объектив собирает свет, диафрагма и затвор дозируют его, а видоискатель помогает выбрать кадр.</t>
        </is>
      </c>
      <c r="E22" t="inlineStr">
        <is>
          <t>основа заполнена</t>
        </is>
      </c>
      <c r="F22" t="inlineStr">
        <is>
          <t>https://t.me/photolab_vf_pro</t>
        </is>
      </c>
    </row>
    <row r="23">
      <c r="A23" t="inlineStr">
        <is>
          <t>PL-022</t>
        </is>
      </c>
      <c r="B23" t="inlineStr">
        <is>
          <t>Механическая камера</t>
        </is>
      </c>
      <c r="C23" t="inlineStr">
        <is>
          <t>PL-HIST-0220…0230</t>
        </is>
      </c>
      <c r="D23" t="inlineStr">
        <is>
          <t>Механическая камера учит ручному контролю: фотограф сам задаёт выдержку, диафрагму, фокус, взвод и перемотку, а камера точно выполняет физическое действие.</t>
        </is>
      </c>
      <c r="E23" t="inlineStr">
        <is>
          <t>основа заполнена</t>
        </is>
      </c>
      <c r="F23" t="inlineStr">
        <is>
          <t>https://t.me/photolab_vf_pro</t>
        </is>
      </c>
    </row>
    <row r="24">
      <c r="A24" t="inlineStr">
        <is>
          <t>PL-023</t>
        </is>
      </c>
      <c r="B24" t="inlineStr">
        <is>
          <t>Камера с автоматикой</t>
        </is>
      </c>
      <c r="C24" t="inlineStr">
        <is>
          <t>PL-HIST-0231…0241</t>
        </is>
      </c>
      <c r="D24" t="inlineStr">
        <is>
          <t>Автоматика не отменяет фотографа: камера может помогать с экспозицией, фокусом, протяжкой и ISO, но смысл кадра, свет и момент остаются за автором.</t>
        </is>
      </c>
      <c r="E24" t="inlineStr">
        <is>
          <t>основа заполнена</t>
        </is>
      </c>
      <c r="F24" t="inlineStr">
        <is>
          <t>https://t.me/photolab_vf_pro</t>
        </is>
      </c>
    </row>
    <row r="25">
      <c r="A25" s="75" t="inlineStr">
        <is>
          <t>PL-024</t>
        </is>
      </c>
      <c r="B25" s="75" t="inlineStr">
        <is>
          <t>Дальномерная камера</t>
        </is>
      </c>
      <c r="C25" s="75" t="inlineStr">
        <is>
          <t>PL-HIST-0242…0252</t>
        </is>
      </c>
      <c r="D25" s="75" t="inlineStr">
        <is>
          <t>Дальномерная камера объясняет фокусировку через совмещение изображений, рамочное видение, параллакс и отличие от зеркальной схемы.</t>
        </is>
      </c>
      <c r="E25" s="75" t="inlineStr">
        <is>
          <t>основа заполнена</t>
        </is>
      </c>
      <c r="F25" s="75" t="inlineStr">
        <is>
          <t>https://t.me/photolab_vf_pro</t>
        </is>
      </c>
    </row>
    <row r="26">
      <c r="A26" s="75" t="inlineStr">
        <is>
          <t>PL-025</t>
        </is>
      </c>
      <c r="B26" s="75" t="inlineStr">
        <is>
          <t>Зеркальная камера</t>
        </is>
      </c>
      <c r="C26" s="75" t="inlineStr">
        <is>
          <t>PL-HIST-0253…0263</t>
        </is>
      </c>
      <c r="D26" s="75" t="inlineStr">
        <is>
          <t>Зеркальная камера показывает принцип «видеть через объектив»: зеркало, матовое стекло, пентапризма, TTL-замер и профессиональная SLR-система.</t>
        </is>
      </c>
      <c r="E26" s="75" t="inlineStr">
        <is>
          <t>основа заполнена</t>
        </is>
      </c>
      <c r="F26" s="75" t="inlineStr">
        <is>
          <t>https://t.me/photolab_vf_pro</t>
        </is>
      </c>
    </row>
    <row r="27">
      <c r="A27" s="75" t="inlineStr">
        <is>
          <t>PL-026</t>
        </is>
      </c>
      <c r="B27" s="75" t="inlineStr">
        <is>
          <t>Компактная плёночная камера</t>
        </is>
      </c>
      <c r="C27" s="75" t="inlineStr">
        <is>
          <t>PL-HIST-0264…0274</t>
        </is>
      </c>
      <c r="D27" s="75" t="inlineStr">
        <is>
          <t>Компактная камера показывает, как простота, маленький корпус, автофокус, вспышка и point-and-shoot меняют повседневную фотографию.</t>
        </is>
      </c>
      <c r="E27" s="75" t="inlineStr">
        <is>
          <t>основа заполнена</t>
        </is>
      </c>
      <c r="F27" s="75" t="inlineStr">
        <is>
          <t>https://t.me/photolab_vf_pro</t>
        </is>
      </c>
    </row>
    <row r="28">
      <c r="A28" s="75" t="inlineStr">
        <is>
          <t>PL-027</t>
        </is>
      </c>
      <c r="B28" s="75" t="inlineStr">
        <is>
          <t>Средний формат</t>
        </is>
      </c>
      <c r="C28" s="75" t="inlineStr">
        <is>
          <t>PL-HIST-0275…0285</t>
        </is>
      </c>
      <c r="D28" s="75" t="inlineStr">
        <is>
          <t>Средний формат объясняет 120 roll film, TLR, модульные 6×6/6×7 камеры и баланс между качеством изображения и мобильностью.</t>
        </is>
      </c>
      <c r="E28" s="75" t="inlineStr">
        <is>
          <t>основа заполнена</t>
        </is>
      </c>
      <c r="F28" s="75" t="inlineStr">
        <is>
          <t>https://t.me/photolab_vf_pro</t>
        </is>
      </c>
    </row>
    <row r="29">
      <c r="A29" s="75" t="inlineStr">
        <is>
          <t>PL-028</t>
        </is>
      </c>
      <c r="B29" s="75" t="inlineStr">
        <is>
          <t>Большой формат</t>
        </is>
      </c>
      <c r="C29" s="75" t="inlineStr">
        <is>
          <t>PL-HIST-0286…0296</t>
        </is>
      </c>
      <c r="D29" s="75" t="inlineStr">
        <is>
          <t>Большой формат объясняет sheet film, view camera, подвижки, контроль фокуса/перспективы и медленную осознанную работу с кадром.</t>
        </is>
      </c>
      <c r="E29" s="75" t="inlineStr">
        <is>
          <t>основа заполнена</t>
        </is>
      </c>
      <c r="F29" s="75" t="inlineStr">
        <is>
          <t>https://t.me/photolab_vf_pro</t>
        </is>
      </c>
    </row>
    <row r="30">
      <c r="A30" s="75" t="inlineStr">
        <is>
          <t>PL-029</t>
        </is>
      </c>
      <c r="B30" s="75" t="inlineStr">
        <is>
          <t>Как выбрать первую плёночную камеру</t>
        </is>
      </c>
      <c r="C30" s="75" t="inlineStr">
        <is>
          <t>PL-HIST-0297…0307</t>
        </is>
      </c>
      <c r="D30" s="75" t="inlineStr">
        <is>
          <t>Первая камера выбирается не по легендарности модели, а по задаче: формат плёнки, состояние, объектив, батарейки, ремонтопригодность, доступность проявки и реальная цена владения.</t>
        </is>
      </c>
      <c r="E30" s="75" t="inlineStr">
        <is>
          <t>основа заполнена</t>
        </is>
      </c>
      <c r="F30" s="75" t="inlineStr">
        <is>
          <t>https://t.me/photolab_vf_pro</t>
        </is>
      </c>
    </row>
    <row r="31">
      <c r="A31" t="inlineStr">
        <is>
          <t>PL-030</t>
        </is>
      </c>
      <c r="B31" t="inlineStr">
        <is>
          <t>Почему камера не делает фотографию за автора</t>
        </is>
      </c>
      <c r="C31" t="inlineStr">
        <is>
          <t>PL-HIST-0308…0318</t>
        </is>
      </c>
      <c r="D31" t="inlineStr">
        <is>
          <t>Камера фиксирует свет, но автор выбирает тему, момент, дистанцию, свет, рамку, отношение к человеку, отбор и финальную форму изображения.</t>
        </is>
      </c>
      <c r="E31" t="inlineStr">
        <is>
          <t>основа заполнена</t>
        </is>
      </c>
      <c r="F31" t="inlineStr">
        <is>
          <t>https://t.me/photolab_vf_pro</t>
        </is>
      </c>
    </row>
    <row r="32">
      <c r="A32" t="inlineStr">
        <is>
          <t>PL-031</t>
        </is>
      </c>
      <c r="B32" t="inlineStr">
        <is>
          <t>Что такое объектив</t>
        </is>
      </c>
      <c r="C32" t="inlineStr">
        <is>
          <t>PL-HIST-0319…0329</t>
        </is>
      </c>
      <c r="D32" t="inlineStr">
        <is>
          <t>Объектив — это оптическая система, которая собирает свет и фокусирует его на плёнке или сенсоре; он задаёт угол зрения, резкость, светосилу и характер изображения.</t>
        </is>
      </c>
      <c r="E32" t="inlineStr">
        <is>
          <t>основа заполнена</t>
        </is>
      </c>
      <c r="F32" t="inlineStr">
        <is>
          <t>https://t.me/photolab_vf_pro</t>
        </is>
      </c>
    </row>
    <row r="33">
      <c r="A33" t="inlineStr">
        <is>
          <t>PL-032</t>
        </is>
      </c>
      <c r="B33" t="inlineStr">
        <is>
          <t>Из чего состоит объектив</t>
        </is>
      </c>
      <c r="C33" t="inlineStr">
        <is>
          <t>PL-HIST-0330…0340</t>
        </is>
      </c>
      <c r="D33" t="inlineStr">
        <is>
          <t>Объектив состоит из элементов и групп, корпуса, байонета, фокусировочного механизма, диафрагмы, покрытий, шкал и внешних защитных деталей.</t>
        </is>
      </c>
      <c r="E33" t="inlineStr">
        <is>
          <t>основа заполнена</t>
        </is>
      </c>
      <c r="F33" t="inlineStr">
        <is>
          <t>https://t.me/photolab_vf_pro</t>
        </is>
      </c>
    </row>
    <row r="34">
      <c r="A34" t="inlineStr">
        <is>
          <t>PL-033</t>
        </is>
      </c>
      <c r="B34" t="inlineStr">
        <is>
          <t>Фокусное расстояние</t>
        </is>
      </c>
      <c r="C34" t="inlineStr">
        <is>
          <t>PL-HIST-0341…0351</t>
        </is>
      </c>
      <c r="D34" t="inlineStr">
        <is>
          <t>Фокусное расстояние определяет угол зрения и масштаб изображения; вместе с дистанцией съёмки и размером кадра оно формирует ощущение пространства.</t>
        </is>
      </c>
      <c r="E34" t="inlineStr">
        <is>
          <t>основа заполнена</t>
        </is>
      </c>
      <c r="F34" t="inlineStr">
        <is>
          <t>https://t.me/photolab_vf_pro</t>
        </is>
      </c>
    </row>
    <row r="35">
      <c r="A35" t="inlineStr">
        <is>
          <t>PL-034</t>
        </is>
      </c>
      <c r="B35" t="inlineStr">
        <is>
          <t>Широкоугольный объектив</t>
        </is>
      </c>
      <c r="C35" t="inlineStr">
        <is>
          <t>PL-HIST-0352…0362</t>
        </is>
      </c>
      <c r="D35" t="inlineStr">
        <is>
          <t>Широкий угол — это не просто «влезло больше», а язык близости, пространства, контекста, переднего плана и контроля перспективы.</t>
        </is>
      </c>
      <c r="E35" t="inlineStr">
        <is>
          <t>основа заполнена</t>
        </is>
      </c>
      <c r="F35" t="inlineStr">
        <is>
          <t>https://t.me/photolab_vf_pro</t>
        </is>
      </c>
    </row>
    <row r="36">
      <c r="A36" t="inlineStr">
        <is>
          <t>PL-035</t>
        </is>
      </c>
      <c r="B36" t="inlineStr">
        <is>
          <t>Нормальный объектив 50 мм</t>
        </is>
      </c>
      <c r="C36" t="inlineStr">
        <is>
          <t>PL-HIST-0363…0373</t>
        </is>
      </c>
      <c r="D36" t="inlineStr">
        <is>
          <t>50 мм — спокойная середина для 35-мм кадра: объектив, который учит видеть дистанцию, свет, момент и композицию без сильной оптической драматизации.</t>
        </is>
      </c>
      <c r="E36" t="inlineStr">
        <is>
          <t>основа заполнена</t>
        </is>
      </c>
      <c r="F36" t="inlineStr">
        <is>
          <t>https://t.me/photolab_vf_pro</t>
        </is>
      </c>
    </row>
    <row r="37">
      <c r="A37" t="inlineStr">
        <is>
          <t>PL-036</t>
        </is>
      </c>
      <c r="B37" t="inlineStr">
        <is>
          <t>Портретный объектив</t>
        </is>
      </c>
      <c r="C37" t="inlineStr">
        <is>
          <t>PL-HIST-0374…0384</t>
        </is>
      </c>
      <c r="D37" t="inlineStr">
        <is>
          <t>Портретный объектив — это способ уважительно работать с человеком: выбрать дистанцию, пропорции, фон, резкость и настроение.</t>
        </is>
      </c>
      <c r="E37" t="inlineStr">
        <is>
          <t>основа заполнена</t>
        </is>
      </c>
      <c r="F37" t="inlineStr">
        <is>
          <t>https://t.me/photolab_vf_pro</t>
        </is>
      </c>
    </row>
    <row r="38">
      <c r="A38" t="inlineStr">
        <is>
          <t>PL-037</t>
        </is>
      </c>
      <c r="B38" t="inlineStr">
        <is>
          <t>Телеобъектив</t>
        </is>
      </c>
      <c r="C38" t="inlineStr">
        <is>
          <t>PL-HIST-0385…0395</t>
        </is>
      </c>
      <c r="D38" t="inlineStr">
        <is>
          <t>Телеобъектив — это язык дистанции, отбора и сжатого пространства: он помогает увидеть деталь и убрать лишнее.</t>
        </is>
      </c>
      <c r="E38" t="inlineStr">
        <is>
          <t>основа заполнена</t>
        </is>
      </c>
      <c r="F38" t="inlineStr">
        <is>
          <t>https://t.me/photolab_vf_pro</t>
        </is>
      </c>
    </row>
    <row r="39">
      <c r="A39" t="inlineStr">
        <is>
          <t>PL-038</t>
        </is>
      </c>
      <c r="B39" t="inlineStr">
        <is>
          <t>Светосила</t>
        </is>
      </c>
      <c r="C39" t="inlineStr">
        <is>
          <t>PL-HIST-0396…0406</t>
        </is>
      </c>
      <c r="D39" t="inlineStr">
        <is>
          <t>Светосила — это запас света и выразительности: она помогает в темноте и даёт малую ГРИП, но требует точного фокуса и приносит вес/цену.</t>
        </is>
      </c>
      <c r="E39" t="inlineStr">
        <is>
          <t>основа заполнена</t>
        </is>
      </c>
      <c r="F39" t="inlineStr">
        <is>
          <t>https://t.me/photolab_vf_pro</t>
        </is>
      </c>
    </row>
    <row r="40">
      <c r="A40" t="inlineStr">
        <is>
          <t>PL-039</t>
        </is>
      </c>
      <c r="B40" t="inlineStr">
        <is>
          <t>Диафрагма внутри объектива</t>
        </is>
      </c>
      <c r="C40" t="inlineStr">
        <is>
          <t>PL-HIST-0407…0417</t>
        </is>
      </c>
      <c r="D40" t="inlineStr">
        <is>
          <t>Диафрагма — механическое сердце объектива: она дозирует свет, меняет глубину резкости, влияет на фон и ведёт к теме экспозиции.</t>
        </is>
      </c>
      <c r="E40" t="inlineStr">
        <is>
          <t>основа заполнена</t>
        </is>
      </c>
      <c r="F40" t="inlineStr">
        <is>
          <t>https://t.me/photolab_vf_pro</t>
        </is>
      </c>
    </row>
    <row r="41">
      <c r="A41" t="inlineStr">
        <is>
          <t>PL-040</t>
        </is>
      </c>
      <c r="B41" t="inlineStr">
        <is>
          <t>Почему объективы рисуют по-разному</t>
        </is>
      </c>
      <c r="C41" t="inlineStr">
        <is>
          <t>планируется</t>
        </is>
      </c>
      <c r="D41" t="inlineStr">
        <is>
          <t>Тема пропущена в этой партии и остаётся следующим отдельным заполнением внутри Модуля 4.</t>
        </is>
      </c>
      <c r="E41" t="inlineStr">
        <is>
          <t>планируется</t>
        </is>
      </c>
      <c r="F41" t="inlineStr">
        <is>
          <t>https://t.me/photolab_vf_pro</t>
        </is>
      </c>
    </row>
    <row r="42">
      <c r="A42" t="inlineStr">
        <is>
          <t>PL-041</t>
        </is>
      </c>
      <c r="B42" t="inlineStr">
        <is>
          <t>Что такое экспозиция</t>
        </is>
      </c>
      <c r="C42" t="inlineStr">
        <is>
          <t>PL-HIST-0418…0428</t>
        </is>
      </c>
      <c r="D42" t="inlineStr">
        <is>
          <t>Экспозиция — это доза света и авторский выбор: диафрагма, выдержка и ISO управляют яркостью, движением, ГРИП и качеством изображения.</t>
        </is>
      </c>
      <c r="E42" t="inlineStr">
        <is>
          <t>основа заполнена</t>
        </is>
      </c>
      <c r="F42" t="inlineStr">
        <is>
          <t>https://t.me/photolab_vf_pro</t>
        </is>
      </c>
    </row>
    <row r="43">
      <c r="A43" t="inlineStr">
        <is>
          <t>PL-042</t>
        </is>
      </c>
      <c r="B43" t="inlineStr">
        <is>
          <t>Диафрагма как окно</t>
        </is>
      </c>
      <c r="C43" t="inlineStr">
        <is>
          <t>PL-HIST-0429…0439</t>
        </is>
      </c>
      <c r="D43" t="inlineStr">
        <is>
          <t>Диафрагма — это окно света: она управляет количеством света и глубиной резкости, превращая экспозицию в визуальный выбор.</t>
        </is>
      </c>
      <c r="E43" t="inlineStr">
        <is>
          <t>основа заполнена</t>
        </is>
      </c>
      <c r="F43" t="inlineStr">
        <is>
          <t>https://t.me/photolab_vf_pro</t>
        </is>
      </c>
    </row>
    <row r="44">
      <c r="A44" t="inlineStr">
        <is>
          <t>PL-043</t>
        </is>
      </c>
      <c r="B44" t="inlineStr">
        <is>
          <t>Выдержка как время</t>
        </is>
      </c>
      <c r="C44" t="inlineStr">
        <is>
          <t>PL-HIST-0440…0450</t>
        </is>
      </c>
      <c r="D44" t="inlineStr">
        <is>
          <t>Выдержка — это время действия света: она управляет яркостью, заморозкой движения, смазом, длинной экспозицией и ощущением времени в кадре.</t>
        </is>
      </c>
      <c r="E44" t="inlineStr">
        <is>
          <t>основа заполнена</t>
        </is>
      </c>
      <c r="F44" t="inlineStr">
        <is>
          <t>https://t.me/photolab_vf_pro</t>
        </is>
      </c>
    </row>
    <row r="45">
      <c r="A45" t="inlineStr">
        <is>
          <t>PL-044</t>
        </is>
      </c>
      <c r="B45" t="inlineStr">
        <is>
          <t>ISO как чувствительность</t>
        </is>
      </c>
      <c r="C45" t="inlineStr">
        <is>
          <t>PL-HIST-0451…0461</t>
        </is>
      </c>
      <c r="D45" t="inlineStr">
        <is>
          <t>ISO задаёт чувствительность материала или усиление сигнала: помогает снимать при меньшем свете, но влияет на зерно, шум и доступные пары настроек.</t>
        </is>
      </c>
      <c r="E45" t="inlineStr">
        <is>
          <t>основа заполнена</t>
        </is>
      </c>
      <c r="F45" t="inlineStr">
        <is>
          <t>https://t.me/photolab_vf_pro</t>
        </is>
      </c>
    </row>
    <row r="46">
      <c r="A46" t="inlineStr">
        <is>
          <t>PL-045</t>
        </is>
      </c>
      <c r="B46" t="inlineStr">
        <is>
          <t>Экспозиционный треугольник</t>
        </is>
      </c>
      <c r="C46" t="inlineStr">
        <is>
          <t>PL-HIST-0462…0472</t>
        </is>
      </c>
      <c r="D46" t="inlineStr">
        <is>
          <t>Экспозиционный треугольник связывает диафрагму, выдержку и ISO: изменение одного параметра меняет яркость и визуальный характер кадра.</t>
        </is>
      </c>
      <c r="E46" t="inlineStr">
        <is>
          <t>основа заполнена</t>
        </is>
      </c>
      <c r="F46" t="inlineStr">
        <is>
          <t>https://t.me/photolab_vf_pro</t>
        </is>
      </c>
    </row>
    <row r="47">
      <c r="A47" t="inlineStr">
        <is>
          <t>PL-046</t>
        </is>
      </c>
      <c r="B47" t="inlineStr">
        <is>
          <t>Стопы света</t>
        </is>
      </c>
      <c r="C47" t="inlineStr">
        <is>
          <t>PL-HIST-0473…0483</t>
        </is>
      </c>
      <c r="D47" t="inlineStr">
        <is>
          <t>Стопы света — общий язык экспозиции: каждый полный стоп добавляет или убирает свет в два раза через диафрагму, выдержку, ISO, фильтр или экспокоррекцию.</t>
        </is>
      </c>
      <c r="E47" t="inlineStr">
        <is>
          <t>основа заполнена</t>
        </is>
      </c>
      <c r="F47" t="inlineStr">
        <is>
          <t>https://t.me/photolab_vf_pro</t>
        </is>
      </c>
    </row>
    <row r="48">
      <c r="A48" t="inlineStr">
        <is>
          <t>будущие PL</t>
        </is>
      </c>
      <c r="B48" t="inlineStr">
        <is>
          <t>Расширение после PL-046</t>
        </is>
      </c>
      <c r="C48" t="inlineStr">
        <is>
          <t>PL-047 — недодержка; PL-048 — передержка; PL-049 — экспонометр; PL-050 — Sunny 16</t>
        </is>
      </c>
      <c r="D48" t="inlineStr">
        <is>
          <t>После языка стопов курс переходит к ошибкам и измерению экспозиции: недодержка, передержка, экспонометр и солнечное правило.</t>
        </is>
      </c>
      <c r="E48" t="inlineStr">
        <is>
          <t>планируется</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317"/>
  <sheetViews>
    <sheetView workbookViewId="0">
      <selection activeCell="A1" sqref="A1"/>
    </sheetView>
  </sheetViews>
  <sheetFormatPr baseColWidth="10" defaultColWidth="8.6640625" defaultRowHeight="13"/>
  <cols>
    <col width="14" customWidth="1" style="72" min="1" max="1"/>
    <col width="42" customWidth="1" style="72" min="2" max="2"/>
    <col width="70" customWidth="1" style="72" min="3" max="3"/>
    <col width="42" customWidth="1" style="72" min="4" max="4"/>
    <col width="30" customWidth="1" style="72" min="5" max="5"/>
  </cols>
  <sheetData>
    <row r="1" ht="37" customHeight="1" s="72">
      <c r="A1" s="79" t="inlineStr">
        <is>
          <t>Источник ID</t>
        </is>
      </c>
      <c r="B1" s="79" t="inlineStr">
        <is>
          <t>Название</t>
        </is>
      </c>
      <c r="C1" s="79" t="inlineStr">
        <is>
          <t>URL</t>
        </is>
      </c>
      <c r="D1" s="79" t="inlineStr">
        <is>
          <t>Используется для</t>
        </is>
      </c>
      <c r="E1" s="79" t="inlineStr">
        <is>
          <t>Примечание</t>
        </is>
      </c>
    </row>
    <row r="2" ht="42" customHeight="1" s="72">
      <c r="A2" s="4" t="inlineStr">
        <is>
          <t>SRC-001</t>
        </is>
      </c>
      <c r="B2" s="4" t="inlineStr">
        <is>
          <t>AramcoWorld — Ibn al-Haytham: Testing is Believing</t>
        </is>
      </c>
      <c r="C2" s="4" t="inlineStr">
        <is>
          <t>https://www.aramcoworld.com/en/articles/2023/ibn-al-haytham-testing-is-believing</t>
        </is>
      </c>
      <c r="D2" s="4" t="inlineStr">
        <is>
          <t>Ибн аль-Хайсам, камера-обскура, прямолинейное распространение света</t>
        </is>
      </c>
      <c r="E2" s="4" t="inlineStr">
        <is>
          <t>вводный источник</t>
        </is>
      </c>
    </row>
    <row r="3" ht="42" customHeight="1" s="72">
      <c r="A3" s="4" t="inlineStr">
        <is>
          <t>SRC-002</t>
        </is>
      </c>
      <c r="B3" s="4" t="inlineStr">
        <is>
          <t>IMSS / Museo Galileo — Camera Obscura</t>
        </is>
      </c>
      <c r="C3" s="4" t="inlineStr">
        <is>
          <t>https://redi.imss.fi.it/inventions/index.php/Camera_Obscura</t>
        </is>
      </c>
      <c r="D3" s="4" t="inlineStr">
        <is>
          <t>Cardano, Della Porta, линза в камере-обскуре</t>
        </is>
      </c>
      <c r="E3" s="4" t="inlineStr">
        <is>
          <t>музейный образовательный источник</t>
        </is>
      </c>
    </row>
    <row r="4" ht="42" customHeight="1" s="72">
      <c r="A4" s="4" t="inlineStr">
        <is>
          <t>SRC-003</t>
        </is>
      </c>
      <c r="B4" s="4" t="inlineStr">
        <is>
          <t>Max Planck Institute — Camera Obscura PDF</t>
        </is>
      </c>
      <c r="C4" s="4" t="inlineStr">
        <is>
          <t>https://www.mpiwg-berlin.mpg.de/sites/default/files/Preprints/P307.pdf</t>
        </is>
      </c>
      <c r="D4" s="4" t="inlineStr">
        <is>
          <t>Kepler, термин camera obscura, развитие оптических приборов</t>
        </is>
      </c>
      <c r="E4" s="4" t="inlineStr">
        <is>
          <t>академический PDF</t>
        </is>
      </c>
    </row>
    <row r="5" ht="42" customHeight="1" s="72">
      <c r="A5" s="4" t="inlineStr">
        <is>
          <t>SRC-004</t>
        </is>
      </c>
      <c r="B5" s="4" t="inlineStr">
        <is>
          <t>Public Domain Review — Johann Zahn's Oculus Artificialis</t>
        </is>
      </c>
      <c r="C5" s="4" t="inlineStr">
        <is>
          <t>https://publicdomainreview.org/collection/images-from-johann-zahn-s-oculus-artificialis-1685</t>
        </is>
      </c>
      <c r="D5" s="4" t="inlineStr">
        <is>
          <t>Johann Zahn, portable camera obscura</t>
        </is>
      </c>
      <c r="E5" s="4" t="inlineStr">
        <is>
          <t>источник по историческим изображениям</t>
        </is>
      </c>
    </row>
    <row r="6" ht="42" customHeight="1" s="72">
      <c r="A6" s="4" t="inlineStr">
        <is>
          <t>SRC-005</t>
        </is>
      </c>
      <c r="B6" s="4" t="inlineStr">
        <is>
          <t>Swiss Camera Museum — Johann Heinrich Schulze</t>
        </is>
      </c>
      <c r="C6" s="4" t="inlineStr">
        <is>
          <t>https://www.cameramuseum.ch/en/discover/permanent-exhibition/the-origins-of-photography/the-precursors-johann-heinrich-schulze/</t>
        </is>
      </c>
      <c r="D6" s="4" t="inlineStr">
        <is>
          <t>Schulze, светочувствительность серебряных солей</t>
        </is>
      </c>
      <c r="E6" s="4" t="inlineStr">
        <is>
          <t>музейный источник</t>
        </is>
      </c>
    </row>
    <row r="7" ht="21" customHeight="1" s="72">
      <c r="A7" s="4" t="inlineStr">
        <is>
          <t>SRC-006</t>
        </is>
      </c>
      <c r="B7" s="4" t="inlineStr">
        <is>
          <t>Science History Institute — Silver and Sunlight</t>
        </is>
      </c>
      <c r="C7" s="4" t="inlineStr">
        <is>
          <t>https://www.sciencehistory.org/stories/magazine/silver-and-sunlight/</t>
        </is>
      </c>
      <c r="D7" s="4" t="inlineStr">
        <is>
          <t>Scheele, silver chloride, ammonia</t>
        </is>
      </c>
      <c r="E7" s="4" t="inlineStr">
        <is>
          <t>научно-исторический источник</t>
        </is>
      </c>
    </row>
    <row r="8" ht="42" customHeight="1" s="72">
      <c r="A8" s="4" t="inlineStr">
        <is>
          <t>SRC-007</t>
        </is>
      </c>
      <c r="B8" s="4" t="inlineStr">
        <is>
          <t>Swiss Camera Museum — Thomas Wedgwood</t>
        </is>
      </c>
      <c r="C8" s="4" t="inlineStr">
        <is>
          <t>https://www.cameramuseum.ch/en/discover/permanent-exhibition/the-origins-of-photography/the-precursors-thomas-wedgwood/</t>
        </is>
      </c>
      <c r="D8" s="4" t="inlineStr">
        <is>
          <t>Wedgwood, silver nitrate, early camera obscura attempts</t>
        </is>
      </c>
      <c r="E8" s="4" t="inlineStr">
        <is>
          <t>музейный источник</t>
        </is>
      </c>
    </row>
    <row r="9" ht="42" customHeight="1" s="72">
      <c r="A9" s="4" t="inlineStr">
        <is>
          <t>SRC-008</t>
        </is>
      </c>
      <c r="B9" s="4" t="inlineStr">
        <is>
          <t>Bodleian — Talbot Catalogue: Photogenic Drawing</t>
        </is>
      </c>
      <c r="C9" s="4" t="inlineStr">
        <is>
          <t>https://talbot.bodleian.ox.ac.uk/2017/02/17/an-account-of-the-processes-employed-in-photogenic-drawing/</t>
        </is>
      </c>
      <c r="D9" s="4" t="inlineStr">
        <is>
          <t>Talbot, Wedgwood/Davy, photogenic drawing</t>
        </is>
      </c>
      <c r="E9" s="4" t="inlineStr">
        <is>
          <t>архивный/исследовательский источник</t>
        </is>
      </c>
    </row>
    <row r="10" ht="21" customHeight="1" s="72">
      <c r="A10" s="4" t="inlineStr">
        <is>
          <t>SRC-009</t>
        </is>
      </c>
      <c r="B10" s="4" t="inlineStr">
        <is>
          <t>Smithsonian NMAH — Camera Lucida</t>
        </is>
      </c>
      <c r="C10" s="4" t="inlineStr">
        <is>
          <t>https://americanhistory.si.edu/collections/object/nmah_1184286</t>
        </is>
      </c>
      <c r="D10" s="4" t="inlineStr">
        <is>
          <t>Wollaston, Camera Lucida, 1806/1807</t>
        </is>
      </c>
      <c r="E10" s="4" t="inlineStr">
        <is>
          <t>музейная карточка предмета</t>
        </is>
      </c>
    </row>
    <row r="11" ht="42" customHeight="1" s="72">
      <c r="A11" s="4" t="inlineStr">
        <is>
          <t>SRC-010</t>
        </is>
      </c>
      <c r="B11" s="4" t="inlineStr">
        <is>
          <t>Harry Ransom Center — The Niépce Heliograph</t>
        </is>
      </c>
      <c r="C11" s="4" t="inlineStr">
        <is>
          <t>https://www.hrc.utexas.edu/niepce-heliograph/</t>
        </is>
      </c>
      <c r="D11" s="4" t="inlineStr">
        <is>
          <t>Niépce, View from the Window at Le Gras, heliography</t>
        </is>
      </c>
      <c r="E11" s="4" t="inlineStr">
        <is>
          <t>ключевой источник</t>
        </is>
      </c>
    </row>
    <row r="12" ht="42" customHeight="1" s="72">
      <c r="A12" s="4" t="inlineStr">
        <is>
          <t>SRC-011</t>
        </is>
      </c>
      <c r="B12" s="4" t="inlineStr">
        <is>
          <t>Maison Nicéphore Niépce — First experiments</t>
        </is>
      </c>
      <c r="C12" s="4" t="inlineStr">
        <is>
          <t>https://bicentennial-of-photography.org/niepce-and-the-invention-of-photography-niepce-s-first-experiments/</t>
        </is>
      </c>
      <c r="D12" s="4" t="inlineStr">
        <is>
          <t>Niépce 1816, исчезающие negative images</t>
        </is>
      </c>
      <c r="E12" s="4" t="inlineStr">
        <is>
          <t>музей/юбилейный проект</t>
        </is>
      </c>
    </row>
    <row r="13" ht="42" customHeight="1" s="72">
      <c r="A13" s="4" t="inlineStr">
        <is>
          <t>SRC-012</t>
        </is>
      </c>
      <c r="B13" s="4" t="inlineStr">
        <is>
          <t>Harvard Library — History of Photography Timeline</t>
        </is>
      </c>
      <c r="C13" s="4" t="inlineStr">
        <is>
          <t>https://photographpreservationprogram.hsites.harvard.edu/harvards-history-photography-timeline-text-only</t>
        </is>
      </c>
      <c r="D13" s="4" t="inlineStr">
        <is>
          <t>1826, 1839, Talbot, calotype, cyanotype, early medical photography, lantern slides</t>
        </is>
      </c>
      <c r="E13" s="4" t="inlineStr">
        <is>
          <t>университетская таймлайн-опора</t>
        </is>
      </c>
    </row>
    <row r="14" ht="42" customHeight="1" s="72">
      <c r="A14" s="4" t="inlineStr">
        <is>
          <t>SRC-013</t>
        </is>
      </c>
      <c r="B14" s="4" t="inlineStr">
        <is>
          <t>The Met — Daguerre and the Invention of Photography</t>
        </is>
      </c>
      <c r="C14" s="4" t="inlineStr">
        <is>
          <t>https://www.metmuseum.org/essays/daguerre-1787-1851-and-the-invention-of-photography</t>
        </is>
      </c>
      <c r="D14" s="4" t="inlineStr">
        <is>
          <t>Daguerre, Académie des Sciences, 1839</t>
        </is>
      </c>
      <c r="E14" s="4" t="inlineStr">
        <is>
          <t>музейный эссе-источник</t>
        </is>
      </c>
    </row>
    <row r="15" ht="42" customHeight="1" s="72">
      <c r="A15" s="4" t="inlineStr">
        <is>
          <t>SRC-014</t>
        </is>
      </c>
      <c r="B15" s="4" t="inlineStr">
        <is>
          <t>Library of Congress — Daguerreotype Medium</t>
        </is>
      </c>
      <c r="C15" s="4" t="inlineStr">
        <is>
          <t>https://www.loc.gov/collections/daguerreotypes/articles-and-essays/the-daguerreotype-medium</t>
        </is>
      </c>
      <c r="D15" s="4" t="inlineStr">
        <is>
          <t>daguerreotype as direct-positive process</t>
        </is>
      </c>
      <c r="E15" s="4" t="inlineStr">
        <is>
          <t>архивный источник</t>
        </is>
      </c>
    </row>
    <row r="16" ht="42" customHeight="1" s="72">
      <c r="A16" s="4" t="inlineStr">
        <is>
          <t>SRC-015</t>
        </is>
      </c>
      <c r="B16" s="4" t="inlineStr">
        <is>
          <t>Library of Congress — Calotype and Daguerreotype</t>
        </is>
      </c>
      <c r="C16" s="4" t="inlineStr">
        <is>
          <t>https://blogs.loc.gov/teachers/2018/09/pre-civil-war-photographic-technologies-the-calotype-and-daguerreotype/</t>
        </is>
      </c>
      <c r="D16" s="4" t="inlineStr">
        <is>
          <t>calotype as first negative-positive process</t>
        </is>
      </c>
      <c r="E16" s="4" t="inlineStr">
        <is>
          <t>архивный образовательный источник</t>
        </is>
      </c>
    </row>
    <row r="17" ht="42" customHeight="1" s="72">
      <c r="A17" s="4" t="inlineStr">
        <is>
          <t>SRC-016</t>
        </is>
      </c>
      <c r="B17" s="4" t="inlineStr">
        <is>
          <t>The Met — William Henry Fox Talbot</t>
        </is>
      </c>
      <c r="C17" s="4" t="inlineStr">
        <is>
          <t>https://www.metmuseum.org/essays/william-henry-fox-talbot-1800-1877-and-the-invention-of-photography</t>
        </is>
      </c>
      <c r="D17" s="4" t="inlineStr">
        <is>
          <t>Talbot, latent image, calotype, hypo, Pencil of Nature</t>
        </is>
      </c>
      <c r="E17" s="4" t="inlineStr">
        <is>
          <t>музейный эссе-источник</t>
        </is>
      </c>
    </row>
    <row r="18" ht="21" customHeight="1" s="72">
      <c r="A18" s="4" t="inlineStr">
        <is>
          <t>SRC-017</t>
        </is>
      </c>
      <c r="B18" s="4" t="inlineStr">
        <is>
          <t>Getty — Sir John F. W. Herschel</t>
        </is>
      </c>
      <c r="C18" s="4" t="inlineStr">
        <is>
          <t>https://www.getty.edu/art/collection/person/103KHK</t>
        </is>
      </c>
      <c r="D18" s="4" t="inlineStr">
        <is>
          <t>Herschel, terminology, cyanotype context</t>
        </is>
      </c>
      <c r="E18" s="4" t="inlineStr">
        <is>
          <t>музейная биография</t>
        </is>
      </c>
    </row>
    <row r="19" ht="42" customHeight="1" s="72">
      <c r="A19" s="4" t="inlineStr">
        <is>
          <t>SRC-018</t>
        </is>
      </c>
      <c r="B19" s="4" t="inlineStr">
        <is>
          <t>HNOC — Cyanotype Process</t>
        </is>
      </c>
      <c r="C19" s="4" t="inlineStr">
        <is>
          <t>https://hnoc.org/virtual-exhibitions/from_daguerreotype_to_digital/cyanotype-process</t>
        </is>
      </c>
      <c r="D19" s="4" t="inlineStr">
        <is>
          <t>Herschel, cyanotype 1842</t>
        </is>
      </c>
      <c r="E19" s="4" t="inlineStr">
        <is>
          <t>музейный образовательный источник</t>
        </is>
      </c>
    </row>
    <row r="20" ht="42" customHeight="1" s="72">
      <c r="A20" s="4" t="inlineStr">
        <is>
          <t>SRC-019</t>
        </is>
      </c>
      <c r="B20" s="4" t="inlineStr">
        <is>
          <t>Natural History Museum — Anna Atkins's cyanotypes</t>
        </is>
      </c>
      <c r="C20" s="4" t="inlineStr">
        <is>
          <t>https://www.nhm.ac.uk/discover/anna-atkins-cyanotypes-the-first-book-of-photographs.html</t>
        </is>
      </c>
      <c r="D20" s="4" t="inlineStr">
        <is>
          <t>Anna Atkins, Photographs of British Algae</t>
        </is>
      </c>
      <c r="E20" s="4" t="inlineStr">
        <is>
          <t>музейный источник</t>
        </is>
      </c>
    </row>
    <row r="21" ht="42" customHeight="1" s="72">
      <c r="A21" s="4" t="inlineStr">
        <is>
          <t>SRC-020</t>
        </is>
      </c>
      <c r="B21" s="4" t="inlineStr">
        <is>
          <t>V&amp;A — Photography Processes and Techniques</t>
        </is>
      </c>
      <c r="C21" s="4" t="inlineStr">
        <is>
          <t>https://www.vam.ac.uk/info/collection-selection-boxes-photography-processes-and-techniques</t>
        </is>
      </c>
      <c r="D21" s="4" t="inlineStr">
        <is>
          <t>salt print, albumen print, wet collodion process</t>
        </is>
      </c>
      <c r="E21" s="4" t="inlineStr">
        <is>
          <t>музейный источник</t>
        </is>
      </c>
    </row>
    <row r="22" ht="42" customHeight="1" s="72">
      <c r="A22" s="4" t="inlineStr">
        <is>
          <t>SRC-021</t>
        </is>
      </c>
      <c r="B22" s="4" t="inlineStr">
        <is>
          <t>National Science and Media Museum — Frederick Scott Archer</t>
        </is>
      </c>
      <c r="C22" s="4" t="inlineStr">
        <is>
          <t>https://blog.scienceandmediamuseum.org.uk/photography-a-z-frederick-scott-archer-wet-collodion-process/</t>
        </is>
      </c>
      <c r="D22" s="4" t="inlineStr">
        <is>
          <t>Archer, wet collodion, 1851, process details</t>
        </is>
      </c>
      <c r="E22" s="4" t="inlineStr">
        <is>
          <t>музейный блог</t>
        </is>
      </c>
    </row>
    <row r="23" ht="42" customHeight="1" s="72">
      <c r="A23" s="4" t="inlineStr">
        <is>
          <t>SRC-022</t>
        </is>
      </c>
      <c r="B23" s="4" t="inlineStr">
        <is>
          <t>Library of Congress — Ambrotypes and Tintypes</t>
        </is>
      </c>
      <c r="C23" s="4" t="inlineStr">
        <is>
          <t>https://www.loc.gov/collections/liljenquist-civil-war-photographs/articles-and-essays/ambrotypes-and-tintypes/</t>
        </is>
      </c>
      <c r="D23" s="4" t="inlineStr">
        <is>
          <t>ambrotype, tintype, Cutting patent, 1854</t>
        </is>
      </c>
      <c r="E23" s="4" t="inlineStr">
        <is>
          <t>архивный источник</t>
        </is>
      </c>
    </row>
    <row r="24" ht="21" customHeight="1" s="72">
      <c r="A24" s="4" t="inlineStr">
        <is>
          <t>SRC-023</t>
        </is>
      </c>
      <c r="B24" s="4" t="inlineStr">
        <is>
          <t>National Gallery of Canada — The Calotype Process</t>
        </is>
      </c>
      <c r="C24" s="4" t="inlineStr">
        <is>
          <t>https://www.gallery.ca/photo-blog/the-calotype-process</t>
        </is>
      </c>
      <c r="D24" s="4" t="inlineStr">
        <is>
          <t>photogenic drawing 1834, calotype context</t>
        </is>
      </c>
      <c r="E24" s="4" t="inlineStr">
        <is>
          <t>музейный источник</t>
        </is>
      </c>
    </row>
    <row r="25" ht="42" customHeight="1" s="72">
      <c r="A25" s="4" t="inlineStr">
        <is>
          <t>SRC-024</t>
        </is>
      </c>
      <c r="B25" s="4" t="inlineStr">
        <is>
          <t>Royal Society / Google Arts &amp; Culture — Stereoscopy</t>
        </is>
      </c>
      <c r="C25" s="4" t="inlineStr">
        <is>
          <t>https://artsandculture.google.com/story/stereoscopy-the-birth-of-3d-technology-the-royal-society/pwWRTNS-hqDN5g</t>
        </is>
      </c>
      <c r="D25" s="4" t="inlineStr">
        <is>
          <t>Wheatstone, stereoscopy 1838</t>
        </is>
      </c>
      <c r="E25" s="4" t="inlineStr">
        <is>
          <t>общественно-научный источник</t>
        </is>
      </c>
    </row>
    <row r="26" ht="42" customHeight="1" s="72">
      <c r="A26" s="4" t="inlineStr">
        <is>
          <t>SRC-025</t>
        </is>
      </c>
      <c r="B26" s="4" t="inlineStr">
        <is>
          <t>Getty Conservation Institute — Atlas: Salt Print PDF</t>
        </is>
      </c>
      <c r="C26" s="4" t="inlineStr">
        <is>
          <t>https://www.getty.edu/conservation/publications_resources/pdf_publications/pdf/atlas_saltprint.pdf</t>
        </is>
      </c>
      <c r="D26" s="4" t="inlineStr">
        <is>
          <t>salt print chemistry, Scheele, Wedgwood context</t>
        </is>
      </c>
      <c r="E26" s="4" t="inlineStr">
        <is>
          <t>технический PDF</t>
        </is>
      </c>
    </row>
    <row r="27" ht="42" customHeight="1" s="72">
      <c r="A27" s="4" t="inlineStr">
        <is>
          <t>SRC-026</t>
        </is>
      </c>
      <c r="B27" s="4" t="inlineStr">
        <is>
          <t>V&amp;A — A to Z of photographic processes</t>
        </is>
      </c>
      <c r="C27" s="4" t="inlineStr">
        <is>
          <t>https://www.vam.ac.uk/articles/photographic-processes</t>
        </is>
      </c>
      <c r="D27" s="4" t="inlineStr">
        <is>
          <t>общий перечень процессов для последующих версий</t>
        </is>
      </c>
      <c r="E27" s="4" t="inlineStr">
        <is>
          <t>дополнительный справочник</t>
        </is>
      </c>
    </row>
    <row r="28" ht="31" customHeight="1" s="72">
      <c r="A28" s="3" t="inlineStr">
        <is>
          <t>SRC-027</t>
        </is>
      </c>
      <c r="B28" s="3" t="inlineStr">
        <is>
          <t>National Science and Media Museum — Kodak and Ilford camera factories</t>
        </is>
      </c>
      <c r="C28" s="3" t="inlineStr">
        <is>
          <t>https://www.scienceandmediamuseum.org.uk/objects-and-stories/kodak-ilford-camera-factories-1930s</t>
        </is>
      </c>
      <c r="D28" s="3" t="inlineStr">
        <is>
          <t>Maddox 1871, Burgess/Kennett/Bennett improvements, Liverpool Dry Plate Company 1874</t>
        </is>
      </c>
      <c r="E28" s="3" t="inlineStr">
        <is>
          <t>музейный источник</t>
        </is>
      </c>
    </row>
    <row r="29" ht="31" customHeight="1" s="72">
      <c r="A29" s="3" t="inlineStr">
        <is>
          <t>SRC-028</t>
        </is>
      </c>
      <c r="B29" s="3" t="inlineStr">
        <is>
          <t>National Science and Media Museum — A brief guide to photographs on glass</t>
        </is>
      </c>
      <c r="C29" s="3" t="inlineStr">
        <is>
          <t>https://blog.scienceandmediamuseum.org.uk/a-brief-guide-to-photographs-on-glass/</t>
        </is>
      </c>
      <c r="D29" s="3" t="inlineStr">
        <is>
          <t>dry plate 1871, manufacture 1878, replacement of wet collodion, storage benefits</t>
        </is>
      </c>
      <c r="E29" s="3" t="inlineStr">
        <is>
          <t>музейный блог</t>
        </is>
      </c>
    </row>
    <row r="30" ht="31" customHeight="1" s="72">
      <c r="A30" s="3" t="inlineStr">
        <is>
          <t>SRC-029</t>
        </is>
      </c>
      <c r="B30" s="3" t="inlineStr">
        <is>
          <t>Swiss Camera Museum — Gelatine bromide plates</t>
        </is>
      </c>
      <c r="C30" s="3" t="inlineStr">
        <is>
          <t>https://www.cameramuseum.ch/en/discover/permanent-exhibition/the-plate-era/gelatine-bromide-plates/</t>
        </is>
      </c>
      <c r="D30" s="3" t="inlineStr">
        <is>
          <t>Maddox 1871, Bennett 1878, heating emulsion, 1/25 second exposure</t>
        </is>
      </c>
      <c r="E30" s="3" t="inlineStr">
        <is>
          <t>музейный источник</t>
        </is>
      </c>
    </row>
    <row r="31" ht="31" customHeight="1" s="72">
      <c r="A31" s="3" t="inlineStr">
        <is>
          <t>SRC-030</t>
        </is>
      </c>
      <c r="B31" s="3" t="inlineStr">
        <is>
          <t>Cornell Library — Dawn's Early Light: Towards Modern Photography</t>
        </is>
      </c>
      <c r="C31" s="3" t="inlineStr">
        <is>
          <t>https://rmc.library.cornell.edu/DawnsEarlyLight/exhibition/modernphotography/index.html</t>
        </is>
      </c>
      <c r="D31" s="3" t="inlineStr">
        <is>
          <t>dry plate 1871/1878, faster exposure, motion, norm by late 1880s</t>
        </is>
      </c>
      <c r="E31" s="3" t="inlineStr">
        <is>
          <t>университетская выставка</t>
        </is>
      </c>
    </row>
    <row r="32" ht="31" customHeight="1" s="72">
      <c r="A32" s="3" t="inlineStr">
        <is>
          <t>SRC-031</t>
        </is>
      </c>
      <c r="B32" s="3" t="inlineStr">
        <is>
          <t>Kodak — History</t>
        </is>
      </c>
      <c r="C32" s="3" t="inlineStr">
        <is>
          <t>https://www.kodak.com/en/company/page/history/</t>
        </is>
      </c>
      <c r="D32" s="3" t="inlineStr">
        <is>
          <t>Eastman commercial dry plates in 1880, Eastman Dry Plate Company 1881</t>
        </is>
      </c>
      <c r="E32" s="3" t="inlineStr">
        <is>
          <t>официальная история компании</t>
        </is>
      </c>
    </row>
    <row r="33" ht="31" customHeight="1" s="72">
      <c r="A33" s="3" t="inlineStr">
        <is>
          <t>SRC-032</t>
        </is>
      </c>
      <c r="B33" s="3" t="inlineStr">
        <is>
          <t>Kodak — George Eastman History</t>
        </is>
      </c>
      <c r="C33" s="3" t="inlineStr">
        <is>
          <t>https://www.kodak.com/en/company/page/george-eastman-history/</t>
        </is>
      </c>
      <c r="D33" s="3" t="inlineStr">
        <is>
          <t>Eastman and Strong, Eastman Dry Plate Company on January 1, 1881</t>
        </is>
      </c>
      <c r="E33" s="3" t="inlineStr">
        <is>
          <t>официальная история компании</t>
        </is>
      </c>
    </row>
    <row r="34" ht="31" customHeight="1" s="72">
      <c r="A34" s="3" t="inlineStr">
        <is>
          <t>SRC-033</t>
        </is>
      </c>
      <c r="B34" s="3" t="inlineStr">
        <is>
          <t>Smithsonian Institution Archives — Gelatin Dry Plate Negatives</t>
        </is>
      </c>
      <c r="C34" s="3" t="inlineStr">
        <is>
          <t>https://siarchives.si.edu/blog/highlight-photo-cold-vault-gelatin-dry-plate-negatives</t>
        </is>
      </c>
      <c r="D34" s="3" t="inlineStr">
        <is>
          <t>dry plates as popular negative from 1880 to 1900, benefits versus wet collodion</t>
        </is>
      </c>
      <c r="E34" s="3" t="inlineStr">
        <is>
          <t>архивный музейный источник</t>
        </is>
      </c>
    </row>
    <row r="35" ht="31" customHeight="1" s="72">
      <c r="A35" s="3" t="inlineStr">
        <is>
          <t>SRC-034</t>
        </is>
      </c>
      <c r="B35" s="3" t="inlineStr">
        <is>
          <t>George Eastman Museum — Dry Plates in the Woods</t>
        </is>
      </c>
      <c r="C35" s="3" t="inlineStr">
        <is>
          <t>https://www.eastman.org/blog/dry-plates-woods-using-19th-century-photographic-processes-capture-letchworth-state-park</t>
        </is>
      </c>
      <c r="D35" s="3" t="inlineStr">
        <is>
          <t>dry plates coated with gelatin emulsion, practical freedom, Eastman's role</t>
        </is>
      </c>
      <c r="E35" s="3" t="inlineStr">
        <is>
          <t>музейный источник</t>
        </is>
      </c>
    </row>
    <row r="36" ht="28" customHeight="1" s="72">
      <c r="A36" s="8" t="inlineStr">
        <is>
          <t>SRC-035</t>
        </is>
      </c>
      <c r="B36" s="8" t="inlineStr">
        <is>
          <t>Science Museum Group — Eastman-Walker roll holder</t>
        </is>
      </c>
      <c r="C36" s="8" t="inlineStr">
        <is>
          <t>https://collection.sciencemuseumgroup.org.uk/objects/co15879/eastman-walker-roll-holder</t>
        </is>
      </c>
      <c r="D36" s="8" t="inlineStr">
        <is>
          <t>Eastman-Walker roll holder, 1885, made by Eastman Dry Plate and Film Company</t>
        </is>
      </c>
      <c r="E36" s="8" t="inlineStr">
        <is>
          <t>музейная карточка предмета</t>
        </is>
      </c>
    </row>
    <row r="37" ht="42" customHeight="1" s="72">
      <c r="A37" s="8" t="inlineStr">
        <is>
          <t>SRC-036</t>
        </is>
      </c>
      <c r="B37" s="8" t="inlineStr">
        <is>
          <t>George Eastman Museum — Two rare rolls of early Kodak film</t>
        </is>
      </c>
      <c r="C37" s="8" t="inlineStr">
        <is>
          <t>https://www.eastman.org/two-rare-rolls-early-kodak-film-acquired-george-eastman-museum</t>
        </is>
      </c>
      <c r="D37" s="8" t="inlineStr">
        <is>
          <t>American Film 1885 with Eastman-Walker roll holder; Kodak film 1888; Kodak transparent film 1889</t>
        </is>
      </c>
      <c r="E37" s="8" t="inlineStr">
        <is>
          <t>музейный источник</t>
        </is>
      </c>
    </row>
    <row r="38" ht="28" customHeight="1" s="72">
      <c r="A38" s="8" t="inlineStr">
        <is>
          <t>SRC-037</t>
        </is>
      </c>
      <c r="B38" s="8" t="inlineStr">
        <is>
          <t>National Inventors Hall of Fame — Hannibal Goodwin</t>
        </is>
      </c>
      <c r="C38" s="8" t="inlineStr">
        <is>
          <t>https://www.invent.org/inductees/hannibal-goodwin</t>
        </is>
      </c>
      <c r="D38" s="8" t="inlineStr">
        <is>
          <t>Goodwin and transparent flexible roll film on nitrocellulose base</t>
        </is>
      </c>
      <c r="E38" s="8" t="inlineStr">
        <is>
          <t>биографический/изобретательский источник</t>
        </is>
      </c>
    </row>
    <row r="39" ht="28" customHeight="1" s="72">
      <c r="A39" s="8" t="inlineStr">
        <is>
          <t>SRC-038</t>
        </is>
      </c>
      <c r="B39" s="8" t="inlineStr">
        <is>
          <t>Smithsonian NMAH — Original Kodak Camera, Serial No. 540</t>
        </is>
      </c>
      <c r="C39" s="8" t="inlineStr">
        <is>
          <t>https://americanhistory.si.edu/collections/object/nmah_760118</t>
        </is>
      </c>
      <c r="D39" s="8" t="inlineStr">
        <is>
          <t>Original Kodak camera 1888, flexible roll film, 100 exposures, price/context</t>
        </is>
      </c>
      <c r="E39" s="8" t="inlineStr">
        <is>
          <t>музейная карточка предмета</t>
        </is>
      </c>
    </row>
    <row r="40" ht="28" customHeight="1" s="72">
      <c r="A40" s="8" t="inlineStr">
        <is>
          <t>SRC-039</t>
        </is>
      </c>
      <c r="B40" s="8" t="inlineStr">
        <is>
          <t>The Met — Kodak and the Rise of Amateur Photography</t>
        </is>
      </c>
      <c r="C40" s="8" t="inlineStr">
        <is>
          <t>https://www.metmuseum.org/essays/kodak-and-the-rise-of-amateur-photography</t>
        </is>
      </c>
      <c r="D40" s="8" t="inlineStr">
        <is>
          <t>Kodak No. 1 camera, 100-exposure roll, factory processing/reloading, amateur photography</t>
        </is>
      </c>
      <c r="E40" s="8" t="inlineStr">
        <is>
          <t>музейный эссе-источник</t>
        </is>
      </c>
    </row>
    <row r="41" ht="28" customHeight="1" s="72">
      <c r="A41" s="8" t="inlineStr">
        <is>
          <t>SRC-040</t>
        </is>
      </c>
      <c r="B41" s="8" t="inlineStr">
        <is>
          <t>George Eastman Museum — From the Camera Obscura to the Revolutionary Kodak</t>
        </is>
      </c>
      <c r="C41" s="8" t="inlineStr">
        <is>
          <t>https://www.eastman.org/camera-obscura-revolutionary-kodak</t>
        </is>
      </c>
      <c r="D41" s="8" t="inlineStr">
        <is>
          <t>Kodak launch 1888, camera patent and Kodak trademark on September 4, 1888</t>
        </is>
      </c>
      <c r="E41" s="8" t="inlineStr">
        <is>
          <t>музейный источник</t>
        </is>
      </c>
    </row>
    <row r="42" ht="42" customHeight="1" s="72">
      <c r="A42" s="8" t="inlineStr">
        <is>
          <t>SRC-041</t>
        </is>
      </c>
      <c r="B42" s="8" t="inlineStr">
        <is>
          <t>Kodak — Chronology of Film</t>
        </is>
      </c>
      <c r="C42" s="8" t="inlineStr">
        <is>
          <t>https://www.kodak.com/en/motion/page/chronology-of-film/</t>
        </is>
      </c>
      <c r="D42" s="8" t="inlineStr">
        <is>
          <t>1889 first commercial transparent roll film, Eastman and research chemist, impact on motion picture camera</t>
        </is>
      </c>
      <c r="E42" s="8" t="inlineStr">
        <is>
          <t>официальная хронология компании</t>
        </is>
      </c>
    </row>
    <row r="43" ht="28" customHeight="1" s="72">
      <c r="A43" s="8" t="inlineStr">
        <is>
          <t>SRC-042</t>
        </is>
      </c>
      <c r="B43" s="8" t="inlineStr">
        <is>
          <t>Kodak — Milestones</t>
        </is>
      </c>
      <c r="C43" s="8" t="inlineStr">
        <is>
          <t>https://www.kodak.com/en/company/page/milestones/</t>
        </is>
      </c>
      <c r="D43" s="8" t="inlineStr">
        <is>
          <t>1891 first daylight-loading camera; Kodak Park and film/paper manufacturing context</t>
        </is>
      </c>
      <c r="E43" s="8" t="inlineStr">
        <is>
          <t>официальная хронология компании</t>
        </is>
      </c>
    </row>
    <row r="44" ht="28" customHeight="1" s="72">
      <c r="A44" s="8" t="inlineStr">
        <is>
          <t>SRC-043</t>
        </is>
      </c>
      <c r="B44" s="8" t="inlineStr">
        <is>
          <t>National Science and Media Museum — Kodak Gallery</t>
        </is>
      </c>
      <c r="C44" s="8" t="inlineStr">
        <is>
          <t>https://www.scienceandmediamuseum.org.uk/whats-on/kodak-gallery</t>
        </is>
      </c>
      <c r="D44" s="8" t="inlineStr">
        <is>
          <t>Kodak camera 1888 and Brownie 1900 as birth of popular photography</t>
        </is>
      </c>
      <c r="E44" s="8" t="inlineStr">
        <is>
          <t>музейный источник</t>
        </is>
      </c>
    </row>
    <row r="45" ht="28" customHeight="1" s="72">
      <c r="A45" s="8" t="inlineStr">
        <is>
          <t>SRC-044</t>
        </is>
      </c>
      <c r="B45" s="8" t="inlineStr">
        <is>
          <t>Science Museum Group — No. 1 Brownie Box Camera</t>
        </is>
      </c>
      <c r="C45" s="8" t="inlineStr">
        <is>
          <t>https://collection.sciencemuseumgroup.org.uk/objects/co8406729/no-1-brownie-box-camera</t>
        </is>
      </c>
      <c r="D45" s="8" t="inlineStr">
        <is>
          <t>No. 1 Brownie box roll-film camera; affordable and easy to use camera context</t>
        </is>
      </c>
      <c r="E45" s="8" t="inlineStr">
        <is>
          <t>музейная карточка предмета</t>
        </is>
      </c>
    </row>
    <row r="46" ht="28" customHeight="1" s="72">
      <c r="A46" s="8" t="inlineStr">
        <is>
          <t>SRC-045</t>
        </is>
      </c>
      <c r="B46" s="8" t="inlineStr">
        <is>
          <t>The Strong National Museum of Play — Brownies: From Folklore to Kodak Cameras</t>
        </is>
      </c>
      <c r="C46" s="8" t="inlineStr">
        <is>
          <t>https://www.museumofplay.org/blog/brownies-from-folklore-to-kodak-cameras/</t>
        </is>
      </c>
      <c r="D46" s="8" t="inlineStr">
        <is>
          <t>Brownie name, Frank A. Brownell, Eastman Kodak and cultural naming context</t>
        </is>
      </c>
      <c r="E46" s="8" t="inlineStr">
        <is>
          <t>музейный блог</t>
        </is>
      </c>
    </row>
    <row r="47" ht="28" customHeight="1" s="72">
      <c r="A47" s="8" t="inlineStr">
        <is>
          <t>SRC-046</t>
        </is>
      </c>
      <c r="B47" s="8" t="inlineStr">
        <is>
          <t>ACS — George Eastman, Kodak, and the Birth of Consumer Photography</t>
        </is>
      </c>
      <c r="C47" s="8" t="inlineStr">
        <is>
          <t>https://www.acs.org/education/whatischemistry/landmarks/eastman-kodak.html</t>
        </is>
      </c>
      <c r="D47" s="8" t="inlineStr">
        <is>
          <t>Brownie 1900, $1 price, children/consumer photography context</t>
        </is>
      </c>
      <c r="E47" s="8" t="inlineStr">
        <is>
          <t>научно-образовательный источник</t>
        </is>
      </c>
    </row>
    <row r="48" ht="42" customHeight="1" s="72">
      <c r="A48" s="8" t="inlineStr">
        <is>
          <t>SRC-047</t>
        </is>
      </c>
      <c r="B48" s="8" t="inlineStr">
        <is>
          <t>National Science and Media Museum — B is for Brownie</t>
        </is>
      </c>
      <c r="C48" s="8" t="inlineStr">
        <is>
          <t>https://blog.scienceandmediamuseum.org.uk/a-z-photography-collection-b-is-for-brownie/</t>
        </is>
      </c>
      <c r="D48" s="8" t="inlineStr">
        <is>
          <t>Brownie democratized photography, aimed at people with no previous experience, advertising and Palmer Cox context</t>
        </is>
      </c>
      <c r="E48" s="8" t="inlineStr">
        <is>
          <t>музейный блог</t>
        </is>
      </c>
    </row>
    <row r="49" ht="28" customHeight="1" s="72">
      <c r="A49" s="8" t="inlineStr">
        <is>
          <t>SRC-048</t>
        </is>
      </c>
      <c r="B49" s="8" t="inlineStr">
        <is>
          <t>NEH — How Kodak Created a Fashion Accessory</t>
        </is>
      </c>
      <c r="C49" s="8" t="inlineStr">
        <is>
          <t>https://www.neh.gov/article/how-kodak-created-fashion-accessory</t>
        </is>
      </c>
      <c r="D49" s="8" t="inlineStr">
        <is>
          <t>Brownie 1900, $1 camera, mass-market amateur camera, middle/working-class and children context</t>
        </is>
      </c>
      <c r="E49" s="8" t="inlineStr">
        <is>
          <t>культурно-исторический источник</t>
        </is>
      </c>
    </row>
    <row r="50" ht="28" customHeight="1" s="72">
      <c r="A50" s="8" t="inlineStr">
        <is>
          <t>SRC-049</t>
        </is>
      </c>
      <c r="B50" s="8" t="inlineStr">
        <is>
          <t>National Gallery of Art — The Art of the American Snapshot, 1888–1978</t>
        </is>
      </c>
      <c r="C50" s="8" t="inlineStr">
        <is>
          <t>https://www.nga.gov/exhibitions/art-american-snapshot-1888-1978-collection-robert-e-jackson</t>
        </is>
      </c>
      <c r="D50" s="8" t="inlineStr">
        <is>
          <t>snapshot photography as vernacular/cultural archive from Kodak roll-film era onward</t>
        </is>
      </c>
      <c r="E50" s="8" t="inlineStr">
        <is>
          <t>музейный источник</t>
        </is>
      </c>
    </row>
    <row r="51" ht="28" customHeight="1" s="72">
      <c r="A51" s="8" t="inlineStr">
        <is>
          <t>SRC-050</t>
        </is>
      </c>
      <c r="B51" s="8" t="inlineStr">
        <is>
          <t>Science Museum Group — No 2 Brownie Camera</t>
        </is>
      </c>
      <c r="C51" s="8" t="inlineStr">
        <is>
          <t>https://collection.sciencemuseumgroup.org.uk/objects/co8207799/no-2-brownie-camera</t>
        </is>
      </c>
      <c r="D51" s="8" t="inlineStr">
        <is>
          <t>No. 2 Brownie camera, 120 rollfilm, simple box-form camera details</t>
        </is>
      </c>
      <c r="E51" s="8" t="inlineStr">
        <is>
          <t>музейная карточка предмета</t>
        </is>
      </c>
    </row>
    <row r="52" ht="42" customHeight="1" s="72">
      <c r="A52" s="8" t="inlineStr">
        <is>
          <t>SRC-051</t>
        </is>
      </c>
      <c r="B52" s="8" t="inlineStr">
        <is>
          <t>Smithsonian NMAH — Leica 35 mm 1(A) Camera</t>
        </is>
      </c>
      <c r="C52" s="8" t="inlineStr">
        <is>
          <t>https://americanhistory.si.edu/collections/object/nmah_834692</t>
        </is>
      </c>
      <c r="D52" s="8" t="inlineStr">
        <is>
          <t>Leica 1(A), commercial 35mm camera, Barnack, 1924/1925 and popularization of 35mm film photography</t>
        </is>
      </c>
      <c r="E52" s="8" t="inlineStr">
        <is>
          <t>музейная карточка предмета</t>
        </is>
      </c>
    </row>
    <row r="53" ht="42" customHeight="1" s="72">
      <c r="A53" s="75" t="inlineStr">
        <is>
          <t>SRC-052</t>
        </is>
      </c>
      <c r="B53" s="75" t="inlineStr">
        <is>
          <t>Kodak — Motion Picture History</t>
        </is>
      </c>
      <c r="C53" s="75" t="inlineStr">
        <is>
          <t>https://www.kodak.com/en/company/page/motion-picture-history/</t>
        </is>
      </c>
      <c r="D53" s="75" t="inlineStr">
        <is>
          <t>Eastman transparent roll film in 1889 enabled Edison to develop the first motion picture camera in 1891</t>
        </is>
      </c>
      <c r="E53" s="75" t="inlineStr">
        <is>
          <t>официальная история компании</t>
        </is>
      </c>
    </row>
    <row r="54" ht="42" customHeight="1" s="72">
      <c r="A54" s="75" t="inlineStr">
        <is>
          <t>SRC-053</t>
        </is>
      </c>
      <c r="B54" s="75" t="inlineStr">
        <is>
          <t>Library of Congress — Origins of Motion Pictures</t>
        </is>
      </c>
      <c r="C54" s="75" t="inlineStr">
        <is>
          <t>https://www.loc.gov/collections/edison-company-motion-pictures-and-sound-recordings/articles-and-essays/history-of-edison-motion-pictures/origins-of-motion-pictures/</t>
        </is>
      </c>
      <c r="D54" s="75" t="inlineStr">
        <is>
          <t>Edison/Dickson motion picture work; Eastman celluloid film; patent width specified as 35mm</t>
        </is>
      </c>
      <c r="E54" s="75" t="inlineStr">
        <is>
          <t>архив / библиотека</t>
        </is>
      </c>
    </row>
    <row r="55" ht="28" customHeight="1" s="72">
      <c r="A55" s="75" t="inlineStr">
        <is>
          <t>SRC-054</t>
        </is>
      </c>
      <c r="B55" s="75" t="inlineStr">
        <is>
          <t>George Eastman Museum — Early Kodak transparent film</t>
        </is>
      </c>
      <c r="C55" s="75" t="inlineStr">
        <is>
          <t>https://www.eastman.org/two-rare-rolls-early-kodak-film-acquired-george-eastman-museum</t>
        </is>
      </c>
      <c r="D55" s="75" t="inlineStr">
        <is>
          <t>Kodak Transparent Film, 70mm slit in half to 35mm and perforated for Edison Kinetoscope</t>
        </is>
      </c>
      <c r="E55" s="75" t="inlineStr">
        <is>
          <t>музейный источник</t>
        </is>
      </c>
    </row>
    <row r="56" ht="28" customHeight="1" s="72">
      <c r="A56" s="75" t="inlineStr">
        <is>
          <t>SRC-055</t>
        </is>
      </c>
      <c r="B56" s="75" t="inlineStr">
        <is>
          <t>George Eastman Museum — Kinetoscope</t>
        </is>
      </c>
      <c r="C56" s="75" t="inlineStr">
        <is>
          <t>https://collections.eastman.org/objects/78087/kinetoscope</t>
        </is>
      </c>
      <c r="D56" s="75" t="inlineStr">
        <is>
          <t>Kinetoscope object with double-perforated 35mm film and Dickson/Edison context</t>
        </is>
      </c>
      <c r="E56" s="75" t="inlineStr">
        <is>
          <t>музейная карточка предмета</t>
        </is>
      </c>
    </row>
    <row r="57" ht="28" customHeight="1" s="72">
      <c r="A57" s="75" t="inlineStr">
        <is>
          <t>SRC-056</t>
        </is>
      </c>
      <c r="B57" s="75" t="inlineStr">
        <is>
          <t>SMPTE Journal — The Origins of 35mm Film as a Standard</t>
        </is>
      </c>
      <c r="C57" s="75" t="inlineStr">
        <is>
          <t>https://journal.smpte.org/periodicals/SMPTE%20Journal/99/8/22/</t>
        </is>
      </c>
      <c r="D57" s="75" t="inlineStr">
        <is>
          <t>Origins of 35mm film as production and exhibition standard; 1908–1909 context</t>
        </is>
      </c>
      <c r="E57" s="75" t="inlineStr">
        <is>
          <t>профильный историко-технический источник</t>
        </is>
      </c>
    </row>
    <row r="58" ht="42" customHeight="1" s="72">
      <c r="A58" s="75" t="inlineStr">
        <is>
          <t>SRC-057</t>
        </is>
      </c>
      <c r="B58" s="75" t="inlineStr">
        <is>
          <t>Leica Timeline — 1914</t>
        </is>
      </c>
      <c r="C58" s="75" t="inlineStr">
        <is>
          <t>https://timeline.leica-camera.com/en-US/years/1914</t>
        </is>
      </c>
      <c r="D58" s="75" t="inlineStr">
        <is>
          <t>Oskar Barnack rotates vertical 35mm cine film into landscape format; birth of 24×36 format and Ur-Leica</t>
        </is>
      </c>
      <c r="E58" s="75" t="inlineStr">
        <is>
          <t>официальная история Leica</t>
        </is>
      </c>
    </row>
    <row r="59" ht="28" customHeight="1" s="72">
      <c r="A59" s="75" t="inlineStr">
        <is>
          <t>SRC-058</t>
        </is>
      </c>
      <c r="B59" s="75" t="inlineStr">
        <is>
          <t>Leica Oskar Barnack Award — Oskar Barnack</t>
        </is>
      </c>
      <c r="C59" s="75" t="inlineStr">
        <is>
          <t>https://www.leica-oskar-barnack-award.com/en/information/oskar-barnack.html</t>
        </is>
      </c>
      <c r="D59" s="75" t="inlineStr">
        <is>
          <t>Barnack, Ur-Leica and 1920 Wetzlar floods as early 35mm still reportage series</t>
        </is>
      </c>
      <c r="E59" s="75" t="inlineStr">
        <is>
          <t>официальный Leica-ресурс</t>
        </is>
      </c>
    </row>
    <row r="60" ht="42" customHeight="1" s="72">
      <c r="A60" s="75" t="inlineStr">
        <is>
          <t>SRC-059</t>
        </is>
      </c>
      <c r="B60" s="75" t="inlineStr">
        <is>
          <t>Smithsonian NMAH — Leica 35 mm 1(A) Camera</t>
        </is>
      </c>
      <c r="C60" s="75" t="inlineStr">
        <is>
          <t>https://americanhistory.si.edu/collections/object/nmah_834692</t>
        </is>
      </c>
      <c r="D60" s="75" t="inlineStr">
        <is>
          <t>Leica 1(A), designed by Barnack, announced 1924 and sold in 1925; popularized 35mm film photography</t>
        </is>
      </c>
      <c r="E60" s="75" t="inlineStr">
        <is>
          <t>музейная карточка предмета</t>
        </is>
      </c>
    </row>
    <row r="61" ht="28" customHeight="1" s="72">
      <c r="A61" s="75" t="inlineStr">
        <is>
          <t>SRC-060</t>
        </is>
      </c>
      <c r="B61" s="75" t="inlineStr">
        <is>
          <t>Leica Timeline — 1925</t>
        </is>
      </c>
      <c r="C61" s="75" t="inlineStr">
        <is>
          <t>https://timeline.leica-camera.com/en/years/1925</t>
        </is>
      </c>
      <c r="D61" s="75" t="inlineStr">
        <is>
          <t>Leica I, Leitz’s first 35mm camera in serial production, debuts at Leipzig Spring Fair in 1925</t>
        </is>
      </c>
      <c r="E61" s="75" t="inlineStr">
        <is>
          <t>официальная история Leica</t>
        </is>
      </c>
    </row>
    <row r="62" ht="28" customHeight="1" s="72">
      <c r="A62" s="75" t="inlineStr">
        <is>
          <t>SRC-061</t>
        </is>
      </c>
      <c r="B62" s="75" t="inlineStr">
        <is>
          <t>Science Museum Group — Kodak Retina Type 117</t>
        </is>
      </c>
      <c r="C62" s="75" t="inlineStr">
        <is>
          <t>https://collection.sciencemuseumgroup.org.uk/objects/co8205056/kodak-retina-type-117-35mm-camera</t>
        </is>
      </c>
      <c r="D62" s="75" t="inlineStr">
        <is>
          <t>Kodak Retina Type 117, 1934–1935; first camera to use daylight-loading 135 cartridges</t>
        </is>
      </c>
      <c r="E62" s="75" t="inlineStr">
        <is>
          <t>музейная карточка предмета</t>
        </is>
      </c>
    </row>
    <row r="63" ht="42" customHeight="1" s="72">
      <c r="A63" s="75" t="inlineStr">
        <is>
          <t>SRC-062</t>
        </is>
      </c>
      <c r="B63" s="75" t="inlineStr">
        <is>
          <t>Leica Camera — The History of the Leica I</t>
        </is>
      </c>
      <c r="C63" s="75" t="inlineStr">
        <is>
          <t>https://leica-camera.com/en-int/photography/100-years/the-history-of-the-leica-I</t>
        </is>
      </c>
      <c r="D63" s="75" t="inlineStr">
        <is>
          <t>Leica I production, Leipzig 1925, compact mobile camera, around 57,000 units, visual language of reportage and street photography</t>
        </is>
      </c>
      <c r="E63" s="75" t="inlineStr">
        <is>
          <t>официальная история Leica</t>
        </is>
      </c>
    </row>
    <row r="64" ht="42" customHeight="1" s="72">
      <c r="A64" s="75" t="inlineStr">
        <is>
          <t>SRC-063</t>
        </is>
      </c>
      <c r="B64" s="75" t="inlineStr">
        <is>
          <t>Leica Camera — 100 Years of Leica: Witness to a Century</t>
        </is>
      </c>
      <c r="C64" s="75" t="inlineStr">
        <is>
          <t>https://leica-camera.com/en-GB/press/100-years-leica-witness-century-1925-2025-1</t>
        </is>
      </c>
      <c r="D64" s="75" t="inlineStr">
        <is>
          <t>Leica I first series-produced Leica 35mm camera, presented at Leipzig Spring Fair 1925, compact format and new photographic applications</t>
        </is>
      </c>
      <c r="E64" s="75" t="inlineStr">
        <is>
          <t>официальный пресс-материал Leica</t>
        </is>
      </c>
    </row>
    <row r="65" ht="42" customHeight="1" s="72">
      <c r="A65" s="75" t="inlineStr">
        <is>
          <t>SRC-064</t>
        </is>
      </c>
      <c r="B65" s="75" t="inlineStr">
        <is>
          <t>Smithsonian NMAH — Leica 35 mm 1(A) Camera</t>
        </is>
      </c>
      <c r="C65" s="75" t="inlineStr">
        <is>
          <t>https://americanhistory.si.edu/collections/object/nmah_834692</t>
        </is>
      </c>
      <c r="D65" s="75" t="inlineStr">
        <is>
          <t>Leica 1(A), designed by Oskar Barnack, announced 1924, sold 1925, popularized 35mm film photography</t>
        </is>
      </c>
      <c r="E65" s="75" t="inlineStr">
        <is>
          <t>музейная карточка предмета</t>
        </is>
      </c>
    </row>
    <row r="66" ht="28" customHeight="1" s="72">
      <c r="A66" s="75" t="inlineStr">
        <is>
          <t>SRC-065</t>
        </is>
      </c>
      <c r="B66" s="75" t="inlineStr">
        <is>
          <t>Leica Camera — Understanding Leica Lenses</t>
        </is>
      </c>
      <c r="C66" s="75" t="inlineStr">
        <is>
          <t>https://leica-camera.com/en-int/photography/understanding-leica-lenses</t>
        </is>
      </c>
      <c r="D66" s="75" t="inlineStr">
        <is>
          <t>Max Berek and early Leica lenses for Ur-Leica and Leica system</t>
        </is>
      </c>
      <c r="E66" s="75" t="inlineStr">
        <is>
          <t>официальный материал Leica</t>
        </is>
      </c>
    </row>
    <row r="67" ht="28" customHeight="1" s="72">
      <c r="A67" s="75" t="inlineStr">
        <is>
          <t>SRC-066</t>
        </is>
      </c>
      <c r="B67" s="75" t="inlineStr">
        <is>
          <t>LFI — Elmar 50 mm f/3.5</t>
        </is>
      </c>
      <c r="C67" s="75" t="inlineStr">
        <is>
          <t>https://lfi-online.de/en/stories/elmar-50-mm-f-3-5-19122.html</t>
        </is>
      </c>
      <c r="D67" s="75" t="inlineStr">
        <is>
          <t>Anastigmat, Elmax and Elmar 50mm f/3.5; Max Berek and early Leica I lenses</t>
        </is>
      </c>
      <c r="E67" s="75" t="inlineStr">
        <is>
          <t>профильный материал Leica Fotografie International</t>
        </is>
      </c>
    </row>
    <row r="68" ht="28" customHeight="1" s="72">
      <c r="A68" s="75" t="inlineStr">
        <is>
          <t>SRC-067</t>
        </is>
      </c>
      <c r="B68" s="75" t="inlineStr">
        <is>
          <t>Smithsonian NMAH — Leica 1(C)</t>
        </is>
      </c>
      <c r="C68" s="75" t="inlineStr">
        <is>
          <t>https://americanhistory.si.edu/collections/object/nmah_1145349</t>
        </is>
      </c>
      <c r="D68" s="75" t="inlineStr">
        <is>
          <t>First Leica with interchangeable lenses in 1930; standardized lens mount by the end of 1930</t>
        </is>
      </c>
      <c r="E68" s="75" t="inlineStr">
        <is>
          <t>музейная карточка предмета</t>
        </is>
      </c>
    </row>
    <row r="69" ht="28" customHeight="1" s="72">
      <c r="A69" s="75" t="inlineStr">
        <is>
          <t>SRC-068</t>
        </is>
      </c>
      <c r="B69" s="75" t="inlineStr">
        <is>
          <t>Leica Timeline — 1932</t>
        </is>
      </c>
      <c r="C69" s="75" t="inlineStr">
        <is>
          <t>https://timeline.leica-camera.com/en-US/years/1932</t>
        </is>
      </c>
      <c r="D69" s="75" t="inlineStr">
        <is>
          <t>Leica II becomes the first Leica with a built-in rangefinder</t>
        </is>
      </c>
      <c r="E69" s="75" t="inlineStr">
        <is>
          <t>официальная история Leica</t>
        </is>
      </c>
    </row>
    <row r="70" ht="28" customHeight="1" s="72">
      <c r="A70" s="75" t="inlineStr">
        <is>
          <t>SRC-069</t>
        </is>
      </c>
      <c r="B70" s="75" t="inlineStr">
        <is>
          <t>George Eastman Museum — Early Kodak Film 1888/1889</t>
        </is>
      </c>
      <c r="C70" s="75" t="inlineStr">
        <is>
          <t>https://www.eastman.org/two-rare-rolls-early-kodak-film-acquired-george-eastman-museum</t>
        </is>
      </c>
      <c r="D70" s="75" t="inlineStr">
        <is>
          <t>Kodak Film 1888 and Kodak Transparent Film 1889 for the Kodak camera</t>
        </is>
      </c>
      <c r="E70" s="75" t="inlineStr">
        <is>
          <t>музейный источник</t>
        </is>
      </c>
    </row>
    <row r="71" ht="28" customHeight="1" s="72">
      <c r="A71" s="75" t="inlineStr">
        <is>
          <t>SRC-070</t>
        </is>
      </c>
      <c r="B71" s="75" t="inlineStr">
        <is>
          <t>National Archives — Film-Based Negatives and Positives</t>
        </is>
      </c>
      <c r="C71" s="75" t="inlineStr">
        <is>
          <t>https://www.archives.gov/preservation/holdings-maintenance/film-based</t>
        </is>
      </c>
      <c r="D71" s="75" t="inlineStr">
        <is>
          <t>nitrate film base, acetate replacement from the 1920s, safety film and preservation issues</t>
        </is>
      </c>
      <c r="E71" s="75" t="inlineStr">
        <is>
          <t>архивный источник</t>
        </is>
      </c>
    </row>
    <row r="72" ht="42" customHeight="1" s="72">
      <c r="A72" s="75" t="inlineStr">
        <is>
          <t>SRC-071</t>
        </is>
      </c>
      <c r="B72" s="75" t="inlineStr">
        <is>
          <t>Kodak — Milestones</t>
        </is>
      </c>
      <c r="C72" s="75" t="inlineStr">
        <is>
          <t>https://www.kodak.com/en/company/page/milestones/</t>
        </is>
      </c>
      <c r="D72" s="75" t="inlineStr">
        <is>
          <t>1899 continuous process for transparent film base, 1903 Non-Curling Film, 1908 commercially practical acetate safety film</t>
        </is>
      </c>
      <c r="E72" s="75" t="inlineStr">
        <is>
          <t>официальная история Kodak</t>
        </is>
      </c>
    </row>
    <row r="73" ht="28" customHeight="1" s="72">
      <c r="A73" s="75" t="inlineStr">
        <is>
          <t>SRC-072</t>
        </is>
      </c>
      <c r="B73" s="75" t="inlineStr">
        <is>
          <t>Kodak — Glossary of Motion Picture Terms</t>
        </is>
      </c>
      <c r="C73" s="75" t="inlineStr">
        <is>
          <t>https://www.kodak.com/en/motion/page/glossary-of-motion-picture-terms/</t>
        </is>
      </c>
      <c r="D73" s="75" t="inlineStr">
        <is>
          <t>definition of photographic film/emulsion layer, base, silver halide gelatin emulsion, antihalation backing</t>
        </is>
      </c>
      <c r="E73" s="75" t="inlineStr">
        <is>
          <t>официальный технический словарь Kodak</t>
        </is>
      </c>
    </row>
    <row r="74" ht="42" customHeight="1" s="72">
      <c r="A74" s="75" t="inlineStr">
        <is>
          <t>SRC-073</t>
        </is>
      </c>
      <c r="B74" s="75" t="inlineStr">
        <is>
          <t>Kodak — Essential Reference Guide for Filmmakers</t>
        </is>
      </c>
      <c r="C74" s="75" t="inlineStr">
        <is>
          <t>https://www.kodak.com/content/products-brochures/Film/kodak-essential-reference-guide-for-filmmakers.pdf</t>
        </is>
      </c>
      <c r="D74" s="75" t="inlineStr">
        <is>
          <t>silver halide crystals suspended in gelatin, latent image, processing makes image visible and permanent</t>
        </is>
      </c>
      <c r="E74" s="75" t="inlineStr">
        <is>
          <t>официальный учебный PDF Kodak</t>
        </is>
      </c>
    </row>
    <row r="75" ht="28" customHeight="1" s="72">
      <c r="A75" s="75" t="inlineStr">
        <is>
          <t>SRC-074</t>
        </is>
      </c>
      <c r="B75" s="75" t="inlineStr">
        <is>
          <t>Kodak — Basic Sensitometry and Characteristics of Film</t>
        </is>
      </c>
      <c r="C75" s="75" t="inlineStr">
        <is>
          <t>https://www.kodak.com/uploadedfiles/motion/US_plugins_acrobat_en_motion_newsletters_filmEss_06_Characteristics_of_Film.pdf</t>
        </is>
      </c>
      <c r="D75" s="75" t="inlineStr">
        <is>
          <t>film speed, sensitivity, grain distribution and sensitometry basics</t>
        </is>
      </c>
      <c r="E75" s="75" t="inlineStr">
        <is>
          <t>официальный технический PDF Kodak</t>
        </is>
      </c>
    </row>
    <row r="76" ht="42" customHeight="1" s="72">
      <c r="A76" s="75" t="inlineStr">
        <is>
          <t>SRC-075</t>
        </is>
      </c>
      <c r="B76" s="75" t="inlineStr">
        <is>
          <t>Kodak — How Film Makes an Image / Film Structure</t>
        </is>
      </c>
      <c r="C76" s="75" t="inlineStr">
        <is>
          <t>https://125px.com/docs/motionpicture/kodak_guides/US_plugins_acrobat_en_motion_newsletters_filmEss_04_How-film-makes-image.pdf</t>
        </is>
      </c>
      <c r="D76" s="75" t="inlineStr">
        <is>
          <t>supercoat, emulsion protection, antihalation backing and film structure</t>
        </is>
      </c>
      <c r="E76" s="75" t="inlineStr">
        <is>
          <t>копия технического руководства Kodak; заменить при нахождении официального URL</t>
        </is>
      </c>
    </row>
    <row r="77">
      <c r="A77" s="75" t="inlineStr">
        <is>
          <t>SRC-076</t>
        </is>
      </c>
      <c r="B77" s="75" t="inlineStr">
        <is>
          <t>Library of Congress — Appendix G Glossary</t>
        </is>
      </c>
      <c r="C77" s="75" t="inlineStr">
        <is>
          <t>https://www.loc.gov/catdir/cpso/app-glos.html</t>
        </is>
      </c>
      <c r="D77" s="75" t="inlineStr">
        <is>
          <t>definition of emulsion as gelatin and silver salts coating; positive/negative determined by emulsion mixture</t>
        </is>
      </c>
      <c r="E77" s="75" t="inlineStr">
        <is>
          <t>архивный справочник</t>
        </is>
      </c>
    </row>
    <row r="78">
      <c r="A78" s="75" t="inlineStr">
        <is>
          <t>SRC-077</t>
        </is>
      </c>
      <c r="B78" s="75" t="inlineStr">
        <is>
          <t>Library of Congress — Care, Handling, and Storage of Photographs</t>
        </is>
      </c>
      <c r="C78" s="75" t="inlineStr">
        <is>
          <t>https://www.loc.gov/preservation/care/photolea.html</t>
        </is>
      </c>
      <c r="D78" s="75" t="inlineStr">
        <is>
          <t>support, binder/emulsion layer, final image material; conservation framing of photographic object layers</t>
        </is>
      </c>
      <c r="E78" s="75" t="inlineStr">
        <is>
          <t>архивный источник</t>
        </is>
      </c>
    </row>
    <row r="79">
      <c r="A79" s="75" t="inlineStr">
        <is>
          <t>SRC-078</t>
        </is>
      </c>
      <c r="B79" s="75" t="inlineStr">
        <is>
          <t>National Gallery of Art — Stieglitz's Practices and Processes</t>
        </is>
      </c>
      <c r="C79" s="75" t="inlineStr">
        <is>
          <t>https://www.nga.gov/research/publications/alfred-stieglitz-key-set/stieglitzs-practices-and-processes</t>
        </is>
      </c>
      <c r="D79" s="75" t="inlineStr">
        <is>
          <t>gelatin silver papers, light-sensitive silver salts in gelatin, developed-out process</t>
        </is>
      </c>
      <c r="E79" s="75" t="inlineStr">
        <is>
          <t>музейный исследовательский материал</t>
        </is>
      </c>
    </row>
    <row r="80">
      <c r="A80" s="75" t="inlineStr">
        <is>
          <t>SRC-079</t>
        </is>
      </c>
      <c r="B80" s="75" t="inlineStr">
        <is>
          <t>HNOC — Gelatin Silver Developing-Out Paper Process</t>
        </is>
      </c>
      <c r="C80" s="75" t="inlineStr">
        <is>
          <t>https://hnoc.org/virtual-exhibitions/from_daguerreotype_to_digital/gelatin-silver-developing-out-paper-process</t>
        </is>
      </c>
      <c r="D80" s="75" t="inlineStr">
        <is>
          <t>gelatin silver DOP process, invention 1873, process of choice by 1895, developed-out image</t>
        </is>
      </c>
      <c r="E80" s="75" t="inlineStr">
        <is>
          <t>музейный образовательный источник</t>
        </is>
      </c>
    </row>
    <row r="81">
      <c r="A81" s="75" t="inlineStr">
        <is>
          <t>SRC-080</t>
        </is>
      </c>
      <c r="B81" s="75" t="inlineStr">
        <is>
          <t>MoMA — Gelatin silver print (developing-out paper)</t>
        </is>
      </c>
      <c r="C81" s="75" t="inlineStr">
        <is>
          <t>https://www.moma.org/collection/terms/gelatin-silver-print-developing-out-paper</t>
        </is>
      </c>
      <c r="D81" s="75" t="inlineStr">
        <is>
          <t>gelatin silver DOP as paper containing silver halides in gelatin binder; popular 20th-century process</t>
        </is>
      </c>
      <c r="E81" s="75" t="inlineStr">
        <is>
          <t>музейный глоссарий</t>
        </is>
      </c>
    </row>
    <row r="82">
      <c r="A82" s="75" t="inlineStr">
        <is>
          <t>SRC-081</t>
        </is>
      </c>
      <c r="B82" s="75" t="inlineStr">
        <is>
          <t>Science Museum Journal — Kenneth Mees, Eastman Kodak and the challenges of research</t>
        </is>
      </c>
      <c r="C82" s="75" t="inlineStr">
        <is>
          <t>https://journal.sciencemuseum.ac.uk/article/kenneth-mees-eastman-kodak/</t>
        </is>
      </c>
      <c r="D82" s="75" t="inlineStr">
        <is>
          <t>Wratten &amp; Wainwright panchromatic plates, filters, research laboratory context</t>
        </is>
      </c>
      <c r="E82" s="75" t="inlineStr">
        <is>
          <t>музейный научный журнал</t>
        </is>
      </c>
    </row>
    <row r="83">
      <c r="A83" s="75" t="inlineStr">
        <is>
          <t>SRC-082</t>
        </is>
      </c>
      <c r="B83" s="75" t="inlineStr">
        <is>
          <t>National Science and Media Museum — Dawn of Colour / Autochrome</t>
        </is>
      </c>
      <c r="C83" s="75" t="inlineStr">
        <is>
          <t>https://www.scienceandmediamuseum.org.uk/what-was-on/dawn-colour-celebrating-centenary-autochrome</t>
        </is>
      </c>
      <c r="D83" s="75" t="inlineStr">
        <is>
          <t>panchromatic plates sensitive to all colours introduced at end of century and enabled practical colour processes</t>
        </is>
      </c>
      <c r="E83" s="75" t="inlineStr">
        <is>
          <t>музейный источник</t>
        </is>
      </c>
    </row>
    <row r="84">
      <c r="A84" s="75" t="inlineStr">
        <is>
          <t>SRC-083</t>
        </is>
      </c>
      <c r="B84" s="75" t="inlineStr">
        <is>
          <t>Conservation Wiki — Gelatin Dry-plate Negative</t>
        </is>
      </c>
      <c r="C84" s="75" t="inlineStr">
        <is>
          <t>https://conservation-wiki.com/wiki/Gelatin_Dry-plate_Negative</t>
        </is>
      </c>
      <c r="D84" s="75" t="inlineStr">
        <is>
          <t>Maddox 1871 gelatin, water and silver halides on glass; Bennett sensitivity improvements; panchromatic plate context</t>
        </is>
      </c>
      <c r="E84" s="75" t="inlineStr">
        <is>
          <t>консервационный справочник; использовать с пометкой проверки первоисточников</t>
        </is>
      </c>
    </row>
    <row r="85">
      <c r="A85" s="75" t="inlineStr">
        <is>
          <t>SRC-084</t>
        </is>
      </c>
      <c r="B85" s="75" t="inlineStr">
        <is>
          <t>National Science and Media Museum — History of Photography</t>
        </is>
      </c>
      <c r="C85" s="75" t="inlineStr">
        <is>
          <t>https://www.scienceandmediamuseum.org.uk/objects-and-stories/history-photography</t>
        </is>
      </c>
      <c r="D85" s="75" t="inlineStr">
        <is>
          <t>Talbot 1834 negative image on sensitised paper; negative/positive principle</t>
        </is>
      </c>
      <c r="E85" s="75" t="inlineStr">
        <is>
          <t>музейный обзорный источник</t>
        </is>
      </c>
    </row>
    <row r="86">
      <c r="A86" s="75" t="inlineStr">
        <is>
          <t>SRC-085</t>
        </is>
      </c>
      <c r="B86" s="75" t="inlineStr">
        <is>
          <t>George Eastman Museum — Photographic Processes Video Series Glossary</t>
        </is>
      </c>
      <c r="C86" s="75" t="inlineStr">
        <is>
          <t>https://www.eastman.org/photographic-processes-video-series-glossary</t>
        </is>
      </c>
      <c r="D86" s="75" t="inlineStr">
        <is>
          <t>Talbot’s photogenic drawing, salted paper print, calotype negative; one negative could make many prints</t>
        </is>
      </c>
      <c r="E86" s="75" t="inlineStr">
        <is>
          <t>музейный глоссарий</t>
        </is>
      </c>
    </row>
    <row r="87">
      <c r="A87" s="75" t="inlineStr">
        <is>
          <t>SRC-086</t>
        </is>
      </c>
      <c r="B87" s="75" t="inlineStr">
        <is>
          <t>Library of Congress — Calotypes</t>
        </is>
      </c>
      <c r="C87" s="75" t="inlineStr">
        <is>
          <t>https://www.loc.gov/pictures/item/tgm001562/</t>
        </is>
      </c>
      <c r="D87" s="75" t="inlineStr">
        <is>
          <t>calotype as paper negatives using Talbot's patented 1841 process</t>
        </is>
      </c>
      <c r="E87" s="75" t="inlineStr">
        <is>
          <t>архивный справочник</t>
        </is>
      </c>
    </row>
    <row r="88">
      <c r="A88" s="75" t="inlineStr">
        <is>
          <t>SRC-087</t>
        </is>
      </c>
      <c r="B88" s="75" t="inlineStr">
        <is>
          <t>The Met — William Henry Fox Talbot, The Pencil of Nature</t>
        </is>
      </c>
      <c r="C88" s="75" t="inlineStr">
        <is>
          <t>https://www.metmuseum.org/art/collection/search/267022</t>
        </is>
      </c>
      <c r="D88" s="75" t="inlineStr">
        <is>
          <t>The Pencil of Nature; salted paper prints from paper negatives; negative-positive advantage</t>
        </is>
      </c>
      <c r="E88" s="75" t="inlineStr">
        <is>
          <t>музейная коллекционная карточка</t>
        </is>
      </c>
    </row>
    <row r="89">
      <c r="A89" s="75" t="inlineStr">
        <is>
          <t>SRC-088</t>
        </is>
      </c>
      <c r="B89" s="75" t="inlineStr">
        <is>
          <t>V&amp;A — A to Z of photographic processes</t>
        </is>
      </c>
      <c r="C89" s="75" t="inlineStr">
        <is>
          <t>https://www.vam.ac.uk/articles/photographic-processes</t>
        </is>
      </c>
      <c r="D89" s="75" t="inlineStr">
        <is>
          <t>calotype negative permitting multiple positives; wet collodion and other processes</t>
        </is>
      </c>
      <c r="E89" s="75" t="inlineStr">
        <is>
          <t>музейный обзор процессов</t>
        </is>
      </c>
    </row>
    <row r="90">
      <c r="A90" s="75" t="inlineStr">
        <is>
          <t>SRC-089</t>
        </is>
      </c>
      <c r="B90" s="75" t="inlineStr">
        <is>
          <t>Royal Collection Trust — Albumen print</t>
        </is>
      </c>
      <c r="C90" s="75" t="inlineStr">
        <is>
          <t>https://albert.rct.uk/explore/themes/photographic-technologies/albumen-print</t>
        </is>
      </c>
      <c r="D90" s="75" t="inlineStr">
        <is>
          <t>albumen print: negative placed in contact with albumen paper and exposed to print positive image</t>
        </is>
      </c>
      <c r="E90" s="75" t="inlineStr">
        <is>
          <t>музейный технологический источник</t>
        </is>
      </c>
    </row>
    <row r="91">
      <c r="A91" s="75" t="inlineStr">
        <is>
          <t>SRC-090</t>
        </is>
      </c>
      <c r="B91" s="75" t="inlineStr">
        <is>
          <t>The Met — The Industrialization of French Photography after 1860</t>
        </is>
      </c>
      <c r="C91" s="75" t="inlineStr">
        <is>
          <t>https://www.metmuseum.org/essays/the-industrialization-of-french-photography-after-1860</t>
        </is>
      </c>
      <c r="D91" s="75" t="inlineStr">
        <is>
          <t>Disdéri carte-de-visite; eight exposures on a glass-plate negative; mass printing and distribution</t>
        </is>
      </c>
      <c r="E91" s="75" t="inlineStr">
        <is>
          <t>музейное эссе</t>
        </is>
      </c>
    </row>
    <row r="92">
      <c r="A92" s="75" t="inlineStr">
        <is>
          <t>SRC-091</t>
        </is>
      </c>
      <c r="B92" s="75" t="inlineStr">
        <is>
          <t>National Archives — Photographic Prints</t>
        </is>
      </c>
      <c r="C92" s="75" t="inlineStr">
        <is>
          <t>https://www.archives.gov/research/still-pictures/still-picture-photographic-prints</t>
        </is>
      </c>
      <c r="D92" s="75" t="inlineStr">
        <is>
          <t>photographic prints, contact printing, paper positives and print formats</t>
        </is>
      </c>
      <c r="E92" s="75" t="inlineStr">
        <is>
          <t>архивный справочник</t>
        </is>
      </c>
    </row>
    <row r="93">
      <c r="A93" s="75" t="inlineStr">
        <is>
          <t>SRC-092</t>
        </is>
      </c>
      <c r="B93" s="75" t="inlineStr">
        <is>
          <t>National Archives — Film-Based Negatives and Positives</t>
        </is>
      </c>
      <c r="C93" s="75" t="inlineStr">
        <is>
          <t>https://www.archives.gov/preservation/holdings-maintenance/film-based</t>
        </is>
      </c>
      <c r="D93" s="75" t="inlineStr">
        <is>
          <t>film-based negatives and positives; preservation framing of negatives/transparencies</t>
        </is>
      </c>
      <c r="E93" s="75" t="inlineStr">
        <is>
          <t>архивный консервационный источник</t>
        </is>
      </c>
    </row>
    <row r="94">
      <c r="A94" s="75" t="inlineStr">
        <is>
          <t>SRC-093</t>
        </is>
      </c>
      <c r="B94" s="75" t="inlineStr">
        <is>
          <t>National Science and Media Museum — A short history of colour photography</t>
        </is>
      </c>
      <c r="C94" s="75" t="inlineStr">
        <is>
          <t>https://www.scienceandmediamuseum.org.uk/objects-and-stories/history-colour-photography</t>
        </is>
      </c>
      <c r="D94" s="75" t="inlineStr">
        <is>
          <t>Kodachrome 1935 colour transparency; positive/reversal pathway as exception to negative-print route</t>
        </is>
      </c>
      <c r="E94" s="75" t="inlineStr">
        <is>
          <t>музейный источник по цветной фотографии</t>
        </is>
      </c>
    </row>
    <row r="95">
      <c r="A95" t="inlineStr">
        <is>
          <t>SRC-094</t>
        </is>
      </c>
      <c r="B95" t="inlineStr">
        <is>
          <t>The Met — William Henry Fox Talbot and the Invention of Photography</t>
        </is>
      </c>
      <c r="C95" t="inlineStr">
        <is>
          <t>https://www.metmuseum.org/essays/william-henry-fox-talbot-1800-1877-and-the-invention-of-photography</t>
        </is>
      </c>
      <c r="D95" t="inlineStr">
        <is>
          <t>1839 приоритетная гонка Тальбот/Дагер; патентные ограничения калотипа в Британии; провал патента Тальбота во Франции 1843</t>
        </is>
      </c>
      <c r="E95" t="inlineStr">
        <is>
          <t>музейное эссе</t>
        </is>
      </c>
    </row>
    <row r="96">
      <c r="A96" t="inlineStr">
        <is>
          <t>SRC-095</t>
        </is>
      </c>
      <c r="B96" t="inlineStr">
        <is>
          <t>National Gallery of Canada — The Calotype Process</t>
        </is>
      </c>
      <c r="C96" t="inlineStr">
        <is>
          <t>https://www.gallery.ca/photo-blog/the-calotype-process</t>
        </is>
      </c>
      <c r="D96" t="inlineStr">
        <is>
          <t>химия соляной бумажной печати (printing-out process)</t>
        </is>
      </c>
      <c r="E96" t="inlineStr">
        <is>
          <t>музейный источник</t>
        </is>
      </c>
    </row>
    <row r="97">
      <c r="A97" s="75" t="inlineStr">
        <is>
          <t>SRC-096</t>
        </is>
      </c>
      <c r="B97" s="75" t="inlineStr">
        <is>
          <t>Getty — Hippolyte Bayard: A Persistent Pioneer</t>
        </is>
      </c>
      <c r="C97" s="75" t="inlineStr">
        <is>
          <t>https://www.getty.edu/art/exhibitions/bayard/</t>
        </is>
      </c>
      <c r="D97" s="75" t="inlineStr">
        <is>
          <t>Bayard direct positive process on paper</t>
        </is>
      </c>
      <c r="E97" s="75" t="inlineStr">
        <is>
          <t>музейный источник</t>
        </is>
      </c>
    </row>
    <row r="98">
      <c r="A98" s="75" t="inlineStr">
        <is>
          <t>SRC-097</t>
        </is>
      </c>
      <c r="B98" s="75" t="inlineStr">
        <is>
          <t>Harvard — Salt Prints at Harvard</t>
        </is>
      </c>
      <c r="C98" s="75" t="inlineStr">
        <is>
          <t>https://saltprintsatharvard.hsites.harvard.edu/</t>
        </is>
      </c>
      <c r="D98" s="75" t="inlineStr">
        <is>
          <t>salt prints as first negative-to-positive photographic technique; positive prints from paper/glass negatives</t>
        </is>
      </c>
      <c r="E98" s="75" t="inlineStr">
        <is>
          <t>университетский источник</t>
        </is>
      </c>
    </row>
    <row r="99">
      <c r="A99" s="75" t="inlineStr">
        <is>
          <t>SRC-098</t>
        </is>
      </c>
      <c r="B99" s="75" t="inlineStr">
        <is>
          <t>Getty Conservation Institute — Atlas: Salt Print PDF</t>
        </is>
      </c>
      <c r="C99" s="75" t="inlineStr">
        <is>
          <t>https://www.getty.edu/conservation/publications_resources/pdf_publications/pdf/atlas_saltprint.pdf</t>
        </is>
      </c>
      <c r="D99" s="75" t="inlineStr">
        <is>
          <t>salt print positive process; printing calotype negatives until albumen process</t>
        </is>
      </c>
      <c r="E99" s="75" t="inlineStr">
        <is>
          <t>технический PDF по процессу</t>
        </is>
      </c>
    </row>
    <row r="100">
      <c r="A100" s="75" t="inlineStr">
        <is>
          <t>SRC-099</t>
        </is>
      </c>
      <c r="B100" s="75" t="inlineStr">
        <is>
          <t>MoMA — Gelatin silver printing-out-paper print (POP)</t>
        </is>
      </c>
      <c r="C100" s="75" t="inlineStr">
        <is>
          <t>https://www.moma.org/collection/terms/gelatin-silver-printing-out-paper-print-pop</t>
        </is>
      </c>
      <c r="D100" s="75" t="inlineStr">
        <is>
          <t>printing-out paper; contact printing; visible image by light; common 1860–1940</t>
        </is>
      </c>
      <c r="E100" s="75" t="inlineStr">
        <is>
          <t>музейный терминологический источник</t>
        </is>
      </c>
    </row>
    <row r="101">
      <c r="A101" s="75" t="inlineStr">
        <is>
          <t>SRC-100</t>
        </is>
      </c>
      <c r="B101" s="75" t="inlineStr">
        <is>
          <t>HNOC — Gelatin Silver Developing-Out Paper Process</t>
        </is>
      </c>
      <c r="C101" s="75" t="inlineStr">
        <is>
          <t>https://hnoc.org/virtual-exhibitions/from_daguerreotype_to_digital/gelatin-silver-developing-out-paper-process</t>
        </is>
      </c>
      <c r="D101" s="75" t="inlineStr">
        <is>
          <t>DOP invented 1873 by Peter Mawdsley; process of choice by 1895; dominated 20th century B&amp;W prints</t>
        </is>
      </c>
      <c r="E101" s="75" t="inlineStr">
        <is>
          <t>музейный образовательный источник</t>
        </is>
      </c>
    </row>
    <row r="102">
      <c r="A102" s="75" t="inlineStr">
        <is>
          <t>SRC-101</t>
        </is>
      </c>
      <c r="B102" s="75" t="inlineStr">
        <is>
          <t>Smithsonian — Polaroid Land Camera Model 95</t>
        </is>
      </c>
      <c r="C102" s="75" t="inlineStr">
        <is>
          <t>https://americanhistory.si.edu/collections/object/nmah_1154069</t>
        </is>
      </c>
      <c r="D102" s="75" t="inlineStr">
        <is>
          <t>Polaroid Land Camera production in 1948; Edwin Land; instant positive print context</t>
        </is>
      </c>
      <c r="E102" s="75" t="inlineStr">
        <is>
          <t>музейная карточка предмета</t>
        </is>
      </c>
    </row>
    <row r="103">
      <c r="A103" s="75" t="inlineStr">
        <is>
          <t>SRC-102</t>
        </is>
      </c>
      <c r="B103" s="75" t="inlineStr">
        <is>
          <t>MoMA — Chromogenic print</t>
        </is>
      </c>
      <c r="C103" s="75" t="inlineStr">
        <is>
          <t>https://www.moma.org/collection/terms/chromogenic-print</t>
        </is>
      </c>
      <c r="D103" s="75" t="inlineStr">
        <is>
          <t>chromogenic print as dominant color photographic process of 20th century</t>
        </is>
      </c>
      <c r="E103" s="75" t="inlineStr">
        <is>
          <t>музейный терминологический источник</t>
        </is>
      </c>
    </row>
    <row r="104">
      <c r="A104" s="75" t="inlineStr">
        <is>
          <t>SRC-103</t>
        </is>
      </c>
      <c r="B104" s="75" t="inlineStr">
        <is>
          <t>Tate — C-print</t>
        </is>
      </c>
      <c r="C104" s="75" t="inlineStr">
        <is>
          <t>https://www.tate.org.uk/art/art-terms/c/c-print</t>
        </is>
      </c>
      <c r="D104" s="75" t="inlineStr">
        <is>
          <t>C-print / chromogenic print made from color negative or slide</t>
        </is>
      </c>
      <c r="E104" s="75" t="inlineStr">
        <is>
          <t>музейный справочник</t>
        </is>
      </c>
    </row>
    <row r="105">
      <c r="A105" s="75" t="inlineStr">
        <is>
          <t>SRC-104</t>
        </is>
      </c>
      <c r="B105" s="75" t="inlineStr">
        <is>
          <t>National Science and Media Museum — Autochromes: the dawn of colour photography</t>
        </is>
      </c>
      <c r="C105" s="75" t="inlineStr">
        <is>
          <t>https://blog.scienceandmediamuseum.org.uk/autochromes-the-dawn-of-colour-photography/</t>
        </is>
      </c>
      <c r="D105" s="75" t="inlineStr">
        <is>
          <t>Autochrome commercial manufacture 1907; positive transparency</t>
        </is>
      </c>
      <c r="E105" s="75" t="inlineStr">
        <is>
          <t>музейный источник</t>
        </is>
      </c>
    </row>
    <row r="106">
      <c r="A106" t="inlineStr">
        <is>
          <t>SRC-105</t>
        </is>
      </c>
      <c r="B106" t="inlineStr">
        <is>
          <t>The Art of the Photogravure — Hippolyte Fizeau (gold toning)</t>
        </is>
      </c>
      <c r="C106" t="inlineStr">
        <is>
          <t>https://photogravure.com/key-figure/hippolyte-fizeau/</t>
        </is>
      </c>
      <c r="D106" t="inlineStr">
        <is>
          <t>gold toning 1840 (daguerreotypes) adapted to salted paper positives by 1847; print permanence and tone</t>
        </is>
      </c>
      <c r="E106" t="inlineStr">
        <is>
          <t>исторический обзор процессов печати</t>
        </is>
      </c>
    </row>
    <row r="107">
      <c r="A107" t="inlineStr">
        <is>
          <t>SRC-106</t>
        </is>
      </c>
      <c r="B107" t="inlineStr">
        <is>
          <t>Royal Collection Trust — Carbon print</t>
        </is>
      </c>
      <c r="C107" t="inlineStr">
        <is>
          <t>https://www.rct.uk/group/381/content/explore/themes/photographic-technologies/carbon-print</t>
        </is>
      </c>
      <c r="D107" t="inlineStr">
        <is>
          <t>Poitevin carbon printing 1855: pigment-based permanent positive, response to fading of salt/albumen prints</t>
        </is>
      </c>
      <c r="E107" t="inlineStr">
        <is>
          <t>музейный технологический источник</t>
        </is>
      </c>
    </row>
    <row r="108">
      <c r="A108" t="inlineStr">
        <is>
          <t>SRC-107</t>
        </is>
      </c>
      <c r="B108" t="inlineStr">
        <is>
          <t>Historic New Orleans Collection — Platinum Process</t>
        </is>
      </c>
      <c r="C108" t="inlineStr">
        <is>
          <t>https://hnoc.org/virtual-exhibitions/from_daguerreotype_to_digital/platinum-process</t>
        </is>
      </c>
      <c r="D108" t="inlineStr">
        <is>
          <t>Willis platinotype 1873 patent / 1880 commercial paper: tonal range and archival permanence</t>
        </is>
      </c>
      <c r="E108" t="inlineStr">
        <is>
          <t>музейная виртуальная выставка</t>
        </is>
      </c>
    </row>
    <row r="109">
      <c r="A109" t="inlineStr">
        <is>
          <t>SRC-108</t>
        </is>
      </c>
      <c r="B109" t="inlineStr">
        <is>
          <t>George Eastman Museum — Dye-transfer printing (images)</t>
        </is>
      </c>
      <c r="C109" t="inlineStr">
        <is>
          <t>https://www.eastman.org/technicolor/2b-dye-transfer-printing-images</t>
        </is>
      </c>
      <c r="D109" t="inlineStr">
        <is>
          <t>Kodak Dye Transfer 1945/1946: imbibition color positive print on paper, distinct from Kodachrome transparency</t>
        </is>
      </c>
      <c r="E109" t="inlineStr">
        <is>
          <t>музейный источник по цветной печати</t>
        </is>
      </c>
    </row>
    <row r="110">
      <c r="A110" t="inlineStr">
        <is>
          <t>SRC-109</t>
        </is>
      </c>
      <c r="B110" t="inlineStr">
        <is>
          <t>ILFORD Photo — Silver Halide Prints</t>
        </is>
      </c>
      <c r="C110" t="inlineStr">
        <is>
          <t>https://www.ilfordphoto.com/silver-halide/</t>
        </is>
      </c>
      <c r="D110" t="inlineStr">
        <is>
          <t>silver halide crystals in gelatin form an emulsion used to coat paper or film; traditional B&amp;W silver halide process</t>
        </is>
      </c>
      <c r="E110" t="inlineStr">
        <is>
          <t>официальный образовательный источник ILFORD</t>
        </is>
      </c>
    </row>
    <row r="111">
      <c r="A111" t="inlineStr">
        <is>
          <t>SRC-110</t>
        </is>
      </c>
      <c r="B111" t="inlineStr">
        <is>
          <t>Canadian Conservation Institute — Processing Contemporary Black-and-White Photographic Films and Papers for Maximum Permanence</t>
        </is>
      </c>
      <c r="C111" t="inlineStr">
        <is>
          <t>https://www.canada.ca/en/conservation-institute/services/conservation-preservation-publications/canadian-conservation-institute-notes/black-white-photographic-films-papers-permanence.html</t>
        </is>
      </c>
      <c r="D111" t="inlineStr">
        <is>
          <t>B&amp;W film/paper contains silver halides in gelatin; development, stop, fixing, washing, drying; fixer removes remaining silver salts</t>
        </is>
      </c>
      <c r="E111" t="inlineStr">
        <is>
          <t>государственный консервационный источник</t>
        </is>
      </c>
    </row>
    <row r="112">
      <c r="A112" t="inlineStr">
        <is>
          <t>SRC-111</t>
        </is>
      </c>
      <c r="B112" t="inlineStr">
        <is>
          <t>Kodak — Processing KODAK Motion Picture Films, Module 15</t>
        </is>
      </c>
      <c r="C112" t="inlineStr">
        <is>
          <t>https://www.kodak.com/content/products-brochures/Film/Processing-KODAK-Motion-Picture-Films-Module-15.pdf</t>
        </is>
      </c>
      <c r="D112" t="inlineStr">
        <is>
          <t>black-and-white film structure; panchromatic/orthochromatic/blue/infrared sensitivity; antihalation support details</t>
        </is>
      </c>
      <c r="E112" t="inlineStr">
        <is>
          <t>официальный технический документ Kodak</t>
        </is>
      </c>
    </row>
    <row r="113">
      <c r="A113" t="inlineStr">
        <is>
          <t>SRC-112</t>
        </is>
      </c>
      <c r="B113" t="inlineStr">
        <is>
          <t>Kodak Professional — Black &amp; White</t>
        </is>
      </c>
      <c r="C113" t="inlineStr">
        <is>
          <t>https://kodakprofessional.com/photographers/film/black-white</t>
        </is>
      </c>
      <c r="D113" t="inlineStr">
        <is>
          <t>Kodak professional B&amp;W film range; Tri-X, T-MAX, grain, sharpness, exposure latitude</t>
        </is>
      </c>
      <c r="E113" t="inlineStr">
        <is>
          <t>официальная страница Kodak Professional</t>
        </is>
      </c>
    </row>
    <row r="114">
      <c r="A114" t="inlineStr">
        <is>
          <t>SRC-113</t>
        </is>
      </c>
      <c r="B114" t="inlineStr">
        <is>
          <t>Kodak Professional — KODAK PROFESSIONAL TRI-X Films</t>
        </is>
      </c>
      <c r="C114" t="inlineStr">
        <is>
          <t>https://kodakprofessional.com/photographers/film/black-white/kodak-professional-tri-x-films/515</t>
        </is>
      </c>
      <c r="D114" t="inlineStr">
        <is>
          <t>TRI-X: ISO 400, classic grain, high sharpness, wide exposure latitude, pushability</t>
        </is>
      </c>
      <c r="E114" t="inlineStr">
        <is>
          <t>официальная страница продукта Kodak Professional</t>
        </is>
      </c>
    </row>
    <row r="115">
      <c r="A115" t="inlineStr">
        <is>
          <t>SRC-114</t>
        </is>
      </c>
      <c r="B115" t="inlineStr">
        <is>
          <t>Kodak Professional — KODAK PROFESSIONAL T-MAX 400 Film</t>
        </is>
      </c>
      <c r="C115" t="inlineStr">
        <is>
          <t>https://www.kodakprofessional.com/photographers/film/black-white/kodak-professional-t-max-400-film/526</t>
        </is>
      </c>
      <c r="D115" t="inlineStr">
        <is>
          <t>T-MAX 400: panchromatic black-and-white negative film, T-Grain technology, sharpness and tonal performance</t>
        </is>
      </c>
      <c r="E115" t="inlineStr">
        <is>
          <t>официальная страница продукта Kodak Professional</t>
        </is>
      </c>
    </row>
    <row r="116">
      <c r="A116" t="inlineStr">
        <is>
          <t>SRC-115</t>
        </is>
      </c>
      <c r="B116" t="inlineStr">
        <is>
          <t>ILFORD Photo — Beginners Guide: Processing Film</t>
        </is>
      </c>
      <c r="C116" t="inlineStr">
        <is>
          <t>https://www.ilfordphoto.com/beginners-guide-processing-film/</t>
        </is>
      </c>
      <c r="D116" t="inlineStr">
        <is>
          <t>beginner workflow for processing B&amp;W film: tank, chemistry and practical sequence</t>
        </is>
      </c>
      <c r="E116" t="inlineStr">
        <is>
          <t>официальный практический источник ILFORD</t>
        </is>
      </c>
    </row>
    <row r="117">
      <c r="A117" t="inlineStr">
        <is>
          <t>SRC-116</t>
        </is>
      </c>
      <c r="B117" t="inlineStr">
        <is>
          <t>ILFORD Photo — Introduction to ILFORD Film Developers</t>
        </is>
      </c>
      <c r="C117" t="inlineStr">
        <is>
          <t>https://www.ilfordphoto.com/beginners-guide-film-developers/</t>
        </is>
      </c>
      <c r="D117" t="inlineStr">
        <is>
          <t>film developers turn exposed film into working negatives; developers affect processing workflow and results</t>
        </is>
      </c>
      <c r="E117" t="inlineStr">
        <is>
          <t>официальный практический источник ILFORD</t>
        </is>
      </c>
    </row>
    <row r="118">
      <c r="A118" t="inlineStr">
        <is>
          <t>SRC-117</t>
        </is>
      </c>
      <c r="B118" t="inlineStr">
        <is>
          <t>ILFORD Photo — XP2 SUPER 35mm</t>
        </is>
      </c>
      <c r="C118" t="inlineStr">
        <is>
          <t>https://www.ilfordphoto.com/xp2-super-35mm</t>
        </is>
      </c>
      <c r="D118" t="inlineStr">
        <is>
          <t>XP2 SUPER: true black-and-white film, can be processed in C41 chemicals alongside colour negative films</t>
        </is>
      </c>
      <c r="E118" t="inlineStr">
        <is>
          <t>официальная страница продукта ILFORD</t>
        </is>
      </c>
    </row>
    <row r="119">
      <c r="A119" t="inlineStr">
        <is>
          <t>SRC-118</t>
        </is>
      </c>
      <c r="B119" t="inlineStr">
        <is>
          <t>ILFORD Photo — Processing your first black and white film</t>
        </is>
      </c>
      <c r="C119" t="inlineStr">
        <is>
          <t>https://www.ilfordphoto.com/wp/wp-content/uploads/2017/04/Processing-your-first-black-and-white-film.pdf</t>
        </is>
      </c>
      <c r="D119" t="inlineStr">
        <is>
          <t>small-tank B&amp;W processing sequence; exception of XP2 SUPER as chromogenic C-41 B&amp;W film</t>
        </is>
      </c>
      <c r="E119" t="inlineStr">
        <is>
          <t>официальная PDF-инструкция ILFORD</t>
        </is>
      </c>
    </row>
    <row r="120">
      <c r="A120" t="inlineStr">
        <is>
          <t>SRC-119</t>
        </is>
      </c>
      <c r="B120" t="inlineStr">
        <is>
          <t>National Archives — Film-Based Negatives and Positives</t>
        </is>
      </c>
      <c r="C120" t="inlineStr">
        <is>
          <t>https://www.archives.gov/preservation/holdings-maintenance/film-based</t>
        </is>
      </c>
      <c r="D120" t="inlineStr">
        <is>
          <t>film base stability and preservation handling for film-based negatives, positives and transparencies</t>
        </is>
      </c>
      <c r="E120" t="inlineStr">
        <is>
          <t>архивный консервационный источник</t>
        </is>
      </c>
    </row>
    <row r="121">
      <c r="A121" t="inlineStr">
        <is>
          <t>SRC-120</t>
        </is>
      </c>
      <c r="B121" t="inlineStr">
        <is>
          <t>Kodak — Photography History</t>
        </is>
      </c>
      <c r="C121" t="inlineStr">
        <is>
          <t>https://www.kodak.com/en/company/page/photography-history/</t>
        </is>
      </c>
      <c r="D121" t="inlineStr">
        <is>
          <t>1942 KODACOLOR Film announced as the world's first true color negative film for still photography</t>
        </is>
      </c>
      <c r="E121" t="inlineStr">
        <is>
          <t>официальная история Kodak</t>
        </is>
      </c>
    </row>
    <row r="122">
      <c r="A122" t="inlineStr">
        <is>
          <t>SRC-121</t>
        </is>
      </c>
      <c r="B122" t="inlineStr">
        <is>
          <t>Library of Congress — Dye coupler negatives</t>
        </is>
      </c>
      <c r="C122" t="inlineStr">
        <is>
          <t>https://www.loc.gov/pictures/item/tgm003415/</t>
        </is>
      </c>
      <c r="D122" t="inlineStr">
        <is>
          <t>Kodacolor launched in 1942 as first commercial color negative process in the United States; Ektacolor 1947; dye coupler negatives</t>
        </is>
      </c>
      <c r="E122" t="inlineStr">
        <is>
          <t>библиотечный справочник терминов</t>
        </is>
      </c>
    </row>
    <row r="123">
      <c r="A123" t="inlineStr">
        <is>
          <t>SRC-122</t>
        </is>
      </c>
      <c r="B123" t="inlineStr">
        <is>
          <t>National Archives — Identifying Motion Picture Film Formats</t>
        </is>
      </c>
      <c r="C123" t="inlineStr">
        <is>
          <t>https://www.archives.gov/preservation/formats/motion-picture-film-identify-formats.html</t>
        </is>
      </c>
      <c r="D123" t="inlineStr">
        <is>
          <t>modern color processes embed dyes/pigments in layers producing cyan, magenta and yellow; color negatives often have orange cast</t>
        </is>
      </c>
      <c r="E123" t="inlineStr">
        <is>
          <t>архивный консервационный источник</t>
        </is>
      </c>
    </row>
    <row r="124">
      <c r="A124" t="inlineStr">
        <is>
          <t>SRC-123</t>
        </is>
      </c>
      <c r="B124" t="inlineStr">
        <is>
          <t>Kodak — Essential Reference Guide for Filmmakers</t>
        </is>
      </c>
      <c r="C124" t="inlineStr">
        <is>
          <t>https://www.kodak.com/content/products-brochures/Film/kodak-essential-reference-guide-for-filmmakers.pdf</t>
        </is>
      </c>
      <c r="D124" t="inlineStr">
        <is>
          <t>color emulsion layers, color couplers and subtractive dye formation in color film</t>
        </is>
      </c>
      <c r="E124" t="inlineStr">
        <is>
          <t>официальный технический справочник Kodak</t>
        </is>
      </c>
    </row>
    <row r="125">
      <c r="A125" t="inlineStr">
        <is>
          <t>SRC-124</t>
        </is>
      </c>
      <c r="B125" t="inlineStr">
        <is>
          <t>Kodak — Processing KODAK Motion Picture Films, Module 7</t>
        </is>
      </c>
      <c r="C125" t="inlineStr">
        <is>
          <t>https://www.kodak.com/content/products-brochures/Film/Processing-KODAK-Motion-Picture-Films-Module-7.pdf</t>
        </is>
      </c>
      <c r="D125" t="inlineStr">
        <is>
          <t>residual colored couplers and dye absorptions form masking behavior in color negative film systems</t>
        </is>
      </c>
      <c r="E125" t="inlineStr">
        <is>
          <t>официальный технический документ Kodak</t>
        </is>
      </c>
    </row>
    <row r="126">
      <c r="A126" t="inlineStr">
        <is>
          <t>SRC-125</t>
        </is>
      </c>
      <c r="B126" t="inlineStr">
        <is>
          <t>National Archives — Photographic Prints in the Still Picture Branch</t>
        </is>
      </c>
      <c r="C126" t="inlineStr">
        <is>
          <t>https://www.archives.gov/research/still-pictures/still-picture-photographic-prints</t>
        </is>
      </c>
      <c r="D126" t="inlineStr">
        <is>
          <t>chromogenic prints are subtractive color processes based on dye couplers forming cyan, magenta or yellow dyes</t>
        </is>
      </c>
      <c r="E126" t="inlineStr">
        <is>
          <t>архивный образовательный источник</t>
        </is>
      </c>
    </row>
    <row r="127">
      <c r="A127" t="inlineStr">
        <is>
          <t>SRC-126</t>
        </is>
      </c>
      <c r="B127" t="inlineStr">
        <is>
          <t>Kodak — C-41 Color Negative Control Strips</t>
        </is>
      </c>
      <c r="C127" t="inlineStr">
        <is>
          <t>https://www.kodak.com/en/motion/page/c-41-control-strips/</t>
        </is>
      </c>
      <c r="D127" t="inlineStr">
        <is>
          <t>KODAK Control Strips, Process C-41 monitor processing of color negative films in KODAK FLEXICOLOR Chemicals</t>
        </is>
      </c>
      <c r="E127" t="inlineStr">
        <is>
          <t>официальный источник Kodak по C-41</t>
        </is>
      </c>
    </row>
    <row r="128">
      <c r="A128" t="inlineStr">
        <is>
          <t>SRC-127</t>
        </is>
      </c>
      <c r="B128" t="inlineStr">
        <is>
          <t>Kodak Alaris — Chemicals: Color Negative Film Processing Cycles (C-41)</t>
        </is>
      </c>
      <c r="C128" t="inlineStr">
        <is>
          <t>https://www.kodakprofessional.com/en-gb/taxonomy/term/245</t>
        </is>
      </c>
      <c r="D128" t="inlineStr">
        <is>
          <t>KODAK FLEXICOLOR Chemicals are designed for processing all KODAK Color Negative Films and other compatible films</t>
        </is>
      </c>
      <c r="E128" t="inlineStr">
        <is>
          <t>официальный источник Kodak Alaris</t>
        </is>
      </c>
    </row>
    <row r="129">
      <c r="A129" t="inlineStr">
        <is>
          <t>SRC-128</t>
        </is>
      </c>
      <c r="B129" t="inlineStr">
        <is>
          <t>Kodak Professional — Color Films</t>
        </is>
      </c>
      <c r="C129" t="inlineStr">
        <is>
          <t>https://kodakprofessional.com/photographers/film/color</t>
        </is>
      </c>
      <c r="D129" t="inlineStr">
        <is>
          <t>current Kodak Professional color negative films and their practical photographic roles</t>
        </is>
      </c>
      <c r="E129" t="inlineStr">
        <is>
          <t>официальная страница Kodak Professional</t>
        </is>
      </c>
    </row>
    <row r="130">
      <c r="A130" t="inlineStr">
        <is>
          <t>SRC-129</t>
        </is>
      </c>
      <c r="B130" t="inlineStr">
        <is>
          <t>Kodak Professional — PORTRA 400 Film</t>
        </is>
      </c>
      <c r="C130" t="inlineStr">
        <is>
          <t>https://kodakprofessional.com/photographers/film/color/kodak-professional-portra-400-film/516</t>
        </is>
      </c>
      <c r="D130" t="inlineStr">
        <is>
          <t>KODAK PROFESSIONAL PORTRA 400 as high-speed color negative film with fine grain and portrait-oriented color performance</t>
        </is>
      </c>
      <c r="E130" t="inlineStr">
        <is>
          <t>официальная страница продукта Kodak Professional</t>
        </is>
      </c>
    </row>
    <row r="131">
      <c r="A131" t="inlineStr">
        <is>
          <t>SRC-130</t>
        </is>
      </c>
      <c r="B131" t="inlineStr">
        <is>
          <t>National Archives — Film-Based Negatives and Positives</t>
        </is>
      </c>
      <c r="C131" t="inlineStr">
        <is>
          <t>https://www.archives.gov/preservation/holdings-maintenance/film-based</t>
        </is>
      </c>
      <c r="D131" t="inlineStr">
        <is>
          <t>storage and preservation guidance for film-based negatives and positives including color film and cold storage recommendations</t>
        </is>
      </c>
      <c r="E131" t="inlineStr">
        <is>
          <t>архивный консервационный источник</t>
        </is>
      </c>
    </row>
    <row r="132">
      <c r="A132" s="75" t="inlineStr">
        <is>
          <t>SRC-131</t>
        </is>
      </c>
      <c r="B132" s="75" t="inlineStr">
        <is>
          <t>National Science and Media Museum — A short history of colour photography</t>
        </is>
      </c>
      <c r="C132" s="75" t="inlineStr">
        <is>
          <t>https://www.scienceandmediamuseum.org.uk/objects-and-stories/history-colour-photography</t>
        </is>
      </c>
      <c r="D132" s="75" t="inlineStr">
        <is>
          <t>Lumière Autochrome: first practical/commercially successful colour photography process; commercial production from 1907; Kodachrome as first commercially successful integral tripack system</t>
        </is>
      </c>
      <c r="E132" s="75" t="inlineStr">
        <is>
          <t>музейный образовательный источник</t>
        </is>
      </c>
    </row>
    <row r="133">
      <c r="A133" s="75" t="inlineStr">
        <is>
          <t>SRC-132</t>
        </is>
      </c>
      <c r="B133" s="75" t="inlineStr">
        <is>
          <t>The Metropolitan Museum of Art — Original Autochromes Produced Using the First Color Photographic Process</t>
        </is>
      </c>
      <c r="C133" s="75" t="inlineStr">
        <is>
          <t>https://www.metmuseum.org/de/press-releases/original-color-photographs-by-stieglitz-and-steichen-january-25-30-2011-exhibitions</t>
        </is>
      </c>
      <c r="D133" s="75" t="inlineStr">
        <is>
          <t>Autochromes introduced in France in 1907 by Auguste and Louis Lumière; one-of-a-kind color transparencies viewed when backlit</t>
        </is>
      </c>
      <c r="E133" s="75" t="inlineStr">
        <is>
          <t>музейный источник по автохромам</t>
        </is>
      </c>
    </row>
    <row r="134">
      <c r="A134" s="75" t="inlineStr">
        <is>
          <t>SRC-133</t>
        </is>
      </c>
      <c r="B134" s="75" t="inlineStr">
        <is>
          <t>Kodak — 100 Years of 16mm Film</t>
        </is>
      </c>
      <c r="C134" s="75" t="inlineStr">
        <is>
          <t>https://www.kodak.com/en/motion/page/100-years-of-16mm-film/</t>
        </is>
      </c>
      <c r="D134" s="75" t="inlineStr">
        <is>
          <t>1923: Kodak made amateur motion pictures practical with 16mm reversal film, Cine-Kodak camera and Kodascope projector; 1935 Kodachrome introduced in 16mm</t>
        </is>
      </c>
      <c r="E134" s="75" t="inlineStr">
        <is>
          <t>официальный исторический источник Kodak</t>
        </is>
      </c>
    </row>
    <row r="135">
      <c r="A135" s="75" t="inlineStr">
        <is>
          <t>SRC-134</t>
        </is>
      </c>
      <c r="B135" s="75" t="inlineStr">
        <is>
          <t>Kodak — History of Film</t>
        </is>
      </c>
      <c r="C135" s="75" t="inlineStr">
        <is>
          <t>https://www.kodak.com/en/motion/page/chronology-of-film/</t>
        </is>
      </c>
      <c r="D135" s="75" t="inlineStr">
        <is>
          <t>Kodachrome introduced in 1935 as first commercially successful amateur color film, initially 16mm; 35mm slides and 8mm home movies followed in 1936</t>
        </is>
      </c>
      <c r="E135" s="75" t="inlineStr">
        <is>
          <t>официальная хронология Kodak</t>
        </is>
      </c>
    </row>
    <row r="136">
      <c r="A136" s="75" t="inlineStr">
        <is>
          <t>SRC-135</t>
        </is>
      </c>
      <c r="B136" s="75" t="inlineStr">
        <is>
          <t>Kodak — Milestones</t>
        </is>
      </c>
      <c r="C136" s="75" t="inlineStr">
        <is>
          <t>https://www.kodak.com/en/company/page/milestones/</t>
        </is>
      </c>
      <c r="D136" s="75" t="inlineStr">
        <is>
          <t>1935 Kodachrome introduced; 1946 Kodak marketed EKTACHROME Transparency Sheet Film, first Kodak color film photographers could process themselves using chemical kits</t>
        </is>
      </c>
      <c r="E136" s="75" t="inlineStr">
        <is>
          <t>официальные вехи Kodak</t>
        </is>
      </c>
    </row>
    <row r="137">
      <c r="A137" s="75" t="inlineStr">
        <is>
          <t>SRC-136</t>
        </is>
      </c>
      <c r="B137" s="75" t="inlineStr">
        <is>
          <t>V&amp;A — Colour photography</t>
        </is>
      </c>
      <c r="C137" s="75" t="inlineStr">
        <is>
          <t>https://www.vam.ac.uk/articles/colour-photography</t>
        </is>
      </c>
      <c r="D137" s="75" t="inlineStr">
        <is>
          <t>Autochrome became widely accessible in 1907; Kodachrome introduced in 35mm format in 1936 and replaced Autochrome as a leading colour process</t>
        </is>
      </c>
      <c r="E137" s="75" t="inlineStr">
        <is>
          <t>музейный обзор истории цветной фотографии</t>
        </is>
      </c>
    </row>
    <row r="138">
      <c r="A138" s="75" t="inlineStr">
        <is>
          <t>SRC-137</t>
        </is>
      </c>
      <c r="B138" s="75" t="inlineStr">
        <is>
          <t>National Archives — Archival Formats: Glossary of Terms</t>
        </is>
      </c>
      <c r="C138" s="75" t="inlineStr">
        <is>
          <t>https://www.archives.gov/preservation/formats/glossary.html</t>
        </is>
      </c>
      <c r="D138" s="75" t="inlineStr">
        <is>
          <t>When used in a camera, reversal stock develops into a positive; glossary also distinguishes color negatives with orange masking</t>
        </is>
      </c>
      <c r="E138" s="75" t="inlineStr">
        <is>
          <t>архивный терминологический источник</t>
        </is>
      </c>
    </row>
    <row r="139">
      <c r="A139" s="75" t="inlineStr">
        <is>
          <t>SRC-138</t>
        </is>
      </c>
      <c r="B139" s="75" t="inlineStr">
        <is>
          <t>Kodak — EKTACHROME Color Reversal Control Strips Process E-6</t>
        </is>
      </c>
      <c r="C139" s="75" t="inlineStr">
        <is>
          <t>https://www.kodak.com/en/motion/page/ektachrome-color-reversal-control-strips/</t>
        </is>
      </c>
      <c r="D139" s="75" t="inlineStr">
        <is>
          <t>KODAK EKTACHROME control strips monitor processing of color reversal films through Process E-6</t>
        </is>
      </c>
      <c r="E139" s="75" t="inlineStr">
        <is>
          <t>официальный источник Kodak по E-6</t>
        </is>
      </c>
    </row>
    <row r="140">
      <c r="A140" s="75" t="inlineStr">
        <is>
          <t>SRC-139</t>
        </is>
      </c>
      <c r="B140" s="75" t="inlineStr">
        <is>
          <t>National Archives — Photographs</t>
        </is>
      </c>
      <c r="C140" s="75" t="inlineStr">
        <is>
          <t>https://www.archives.gov/preservation/holdings-maintenance/photographs</t>
        </is>
      </c>
      <c r="D140" s="75" t="inlineStr">
        <is>
          <t>NARA holdings include film-based negatives, transparencies and slides; preservation page links them to photographic processes and handling</t>
        </is>
      </c>
      <c r="E140" s="75" t="inlineStr">
        <is>
          <t>архивный консервационный источник</t>
        </is>
      </c>
    </row>
    <row r="141">
      <c r="A141" s="75" t="inlineStr">
        <is>
          <t>SRC-140</t>
        </is>
      </c>
      <c r="B141" s="75" t="inlineStr">
        <is>
          <t>Kodak — EKTACHROME E100 Film</t>
        </is>
      </c>
      <c r="C141" s="75" t="inlineStr">
        <is>
          <t>https://www.kodak.com/en/still-film/product/professional/ektachrome-e100-film/</t>
        </is>
      </c>
      <c r="D141" s="75" t="inlineStr">
        <is>
          <t>KODAK EKTACHROME E100 is daylight-balanced color reversal film, ISO 100/21°, designed for E-6 processing</t>
        </is>
      </c>
      <c r="E141" s="75" t="inlineStr">
        <is>
          <t>официальная страница продукта Kodak</t>
        </is>
      </c>
    </row>
    <row r="142">
      <c r="A142" s="75" t="inlineStr">
        <is>
          <t>SRC-141</t>
        </is>
      </c>
      <c r="B142" s="75" t="inlineStr">
        <is>
          <t>Kodak Moments — Ektachrome 120 FAQs</t>
        </is>
      </c>
      <c r="C142" s="75" t="inlineStr">
        <is>
          <t>https://business.kodakmoments.com/sites/default/files/files/products/Ektachrome_120_FAQs_English.pdf</t>
        </is>
      </c>
      <c r="D142" s="75" t="inlineStr">
        <is>
          <t>Color reversal film has a much narrower exposure range than negative-working films; transparency itself serves as a color reference for scanning</t>
        </is>
      </c>
      <c r="E142" s="75" t="inlineStr">
        <is>
          <t>официальный/лицензионный справочник Kodak Moments</t>
        </is>
      </c>
    </row>
    <row r="143">
      <c r="A143" s="75" t="inlineStr">
        <is>
          <t>SRC-142</t>
        </is>
      </c>
      <c r="B143" s="75" t="inlineStr">
        <is>
          <t>National Archives — What is the Best Way to Store Negatives and Transparencies?</t>
        </is>
      </c>
      <c r="C143" s="75" t="inlineStr">
        <is>
          <t>https://www.archives.gov/preservation/storage/negatives-transparencies.html</t>
        </is>
      </c>
      <c r="D143" s="75" t="inlineStr">
        <is>
          <t>Guidance on storage materials for negatives and transparencies, including PAT-approved papers/plastics and enclosures</t>
        </is>
      </c>
      <c r="E143" s="75" t="inlineStr">
        <is>
          <t>архивный источник по хранению</t>
        </is>
      </c>
    </row>
    <row r="144">
      <c r="A144" t="inlineStr">
        <is>
          <t>SRC-143</t>
        </is>
      </c>
      <c r="B144" t="inlineStr">
        <is>
          <t>ISO — ISO 6:1993 Camera film speed</t>
        </is>
      </c>
      <c r="C144" t="inlineStr">
        <is>
          <t>https://www.iso.org/iso-6-camera-film-speed.html</t>
        </is>
      </c>
      <c r="D144" t="inlineStr">
        <is>
          <t>Official ISO article explaining camera film speed, ASA heritage and ISO film-speed standards</t>
        </is>
      </c>
      <c r="E144" t="inlineStr">
        <is>
          <t>официальный источник ISO по светочувствительности плёнки</t>
        </is>
      </c>
    </row>
    <row r="145">
      <c r="A145" t="inlineStr">
        <is>
          <t>SRC-144</t>
        </is>
      </c>
      <c r="B145" t="inlineStr">
        <is>
          <t>ISO — ISO 5800:1987 Colour negative films</t>
        </is>
      </c>
      <c r="C145" t="inlineStr">
        <is>
          <t>https://www.iso.org/standard/11948.html</t>
        </is>
      </c>
      <c r="D145" t="inlineStr">
        <is>
          <t>Photography — Colour negative films for still photography — Determination of ISO speed</t>
        </is>
      </c>
      <c r="E145" t="inlineStr">
        <is>
          <t>официальный стандарт ISO для цветных негативных плёнок</t>
        </is>
      </c>
    </row>
    <row r="146">
      <c r="A146" t="inlineStr">
        <is>
          <t>SRC-145</t>
        </is>
      </c>
      <c r="B146" t="inlineStr">
        <is>
          <t>ISO — ISO 2240:2003 Colour reversal camera films</t>
        </is>
      </c>
      <c r="C146" t="inlineStr">
        <is>
          <t>https://www.iso.org/standard/34533.html</t>
        </is>
      </c>
      <c r="D146" t="inlineStr">
        <is>
          <t>Method for determining ISO speed of colour reversal camera films intended for viewing as transparencies or projection as slides</t>
        </is>
      </c>
      <c r="E146" t="inlineStr">
        <is>
          <t>официальный стандарт ISO для обращаемых / слайдовых плёнок</t>
        </is>
      </c>
    </row>
    <row r="147">
      <c r="A147" t="inlineStr">
        <is>
          <t>SRC-146</t>
        </is>
      </c>
      <c r="B147" t="inlineStr">
        <is>
          <t>ILFORD — Choosing your first ILFORD film</t>
        </is>
      </c>
      <c r="C147" t="inlineStr">
        <is>
          <t>https://www.ilfordphoto.com/choosing-your-first-ilford-film/</t>
        </is>
      </c>
      <c r="D147" t="inlineStr">
        <is>
          <t>Film speed / ISO is the measure of film sensitivity to light; film families and speed choices explained for beginners</t>
        </is>
      </c>
      <c r="E147" t="inlineStr">
        <is>
          <t>официальный учебный источник ILFORD</t>
        </is>
      </c>
    </row>
    <row r="148">
      <c r="A148" t="inlineStr">
        <is>
          <t>SRC-147</t>
        </is>
      </c>
      <c r="B148" t="inlineStr">
        <is>
          <t>Kodak — Essential Reference Guide for Filmmakers</t>
        </is>
      </c>
      <c r="C148" t="inlineStr">
        <is>
          <t>https://www.kodak.com/content/products-brochures/Film/kodak-essential-reference-guide-for-filmmakers.pdf</t>
        </is>
      </c>
      <c r="D148" t="inlineStr">
        <is>
          <t>Proper exposure depends on exposure time, lens opening, scene luminance and film speed / Exposure Index; includes characteristic curve basics</t>
        </is>
      </c>
      <c r="E148" t="inlineStr">
        <is>
          <t>официальное справочное руководство Kodak</t>
        </is>
      </c>
    </row>
    <row r="149">
      <c r="A149" t="inlineStr">
        <is>
          <t>SRC-148</t>
        </is>
      </c>
      <c r="B149" t="inlineStr">
        <is>
          <t>Kodak — Frequently Asked Questions</t>
        </is>
      </c>
      <c r="C149" t="inlineStr">
        <is>
          <t>https://www.kodak.com/en/motion/page/frequently-asked-questions/</t>
        </is>
      </c>
      <c r="D149" t="inlineStr">
        <is>
          <t>Exposure Index values should not be treated as absolute fixed speed values and may be adjusted after tests</t>
        </is>
      </c>
      <c r="E149" t="inlineStr">
        <is>
          <t>официальный источник Kodak по EI и практическому тестированию</t>
        </is>
      </c>
    </row>
    <row r="150">
      <c r="A150" t="inlineStr">
        <is>
          <t>SRC-149</t>
        </is>
      </c>
      <c r="B150" t="inlineStr">
        <is>
          <t>ILFORD — HP5 PLUS 35mm</t>
        </is>
      </c>
      <c r="C150" t="inlineStr">
        <is>
          <t>https://www.ilfordphoto.com/hp5-plus-35mm?___from_store=ilford_uk&amp;___store=ilford_brochure</t>
        </is>
      </c>
      <c r="D150" t="inlineStr">
        <is>
          <t>HP5 PLUS is ISO 400 high-speed black and white film with wide exposure latitude</t>
        </is>
      </c>
      <c r="E150" t="inlineStr">
        <is>
          <t>официальная страница продукта ILFORD</t>
        </is>
      </c>
    </row>
    <row r="151">
      <c r="A151" t="inlineStr">
        <is>
          <t>SRC-150</t>
        </is>
      </c>
      <c r="B151" t="inlineStr">
        <is>
          <t>ILFORD — DELTA 3200 PROFESSIONAL</t>
        </is>
      </c>
      <c r="C151" t="inlineStr">
        <is>
          <t>https://www.ilfordphoto.com/delta-3200-professional-bulk-length-film?___from_store=ilford_uk&amp;___store=ilford_brochure</t>
        </is>
      </c>
      <c r="D151" t="inlineStr">
        <is>
          <t>DELTA 3200 Professional: exceptionally high-speed black and white film with nominal sensitivity EI 3200/36°</t>
        </is>
      </c>
      <c r="E151" t="inlineStr">
        <is>
          <t>официальная страница продукта ILFORD</t>
        </is>
      </c>
    </row>
    <row r="152">
      <c r="A152" t="inlineStr">
        <is>
          <t>SRC-151</t>
        </is>
      </c>
      <c r="B152" t="inlineStr">
        <is>
          <t>Kodak — Push / Pull Film Processing</t>
        </is>
      </c>
      <c r="C152" t="inlineStr">
        <is>
          <t>https://www.kodak.com/en/motion/page/push-pull-processing/</t>
        </is>
      </c>
      <c r="D152" t="inlineStr">
        <is>
          <t>Push/pull processing can compensate for non-standard exposure / speed conditions used for film</t>
        </is>
      </c>
      <c r="E152" t="inlineStr">
        <is>
          <t>официальный источник Kodak по push/pull</t>
        </is>
      </c>
    </row>
    <row r="153">
      <c r="A153" t="inlineStr">
        <is>
          <t>SRC-152</t>
        </is>
      </c>
      <c r="B153" t="inlineStr">
        <is>
          <t>Kodak — Still Film Products</t>
        </is>
      </c>
      <c r="C153" t="inlineStr">
        <is>
          <t>https://www.kodak.com/en/still-film/products/</t>
        </is>
      </c>
      <c r="D153" t="inlineStr">
        <is>
          <t>Kodak still-film catalogue noting films with ISO speeds, broad exposure latitude and multi-speed push capabilities</t>
        </is>
      </c>
      <c r="E153" t="inlineStr">
        <is>
          <t>официальный каталог плёнки Kodak</t>
        </is>
      </c>
    </row>
    <row r="154">
      <c r="A154" t="inlineStr">
        <is>
          <t>SRC-153</t>
        </is>
      </c>
      <c r="B154" t="inlineStr">
        <is>
          <t>ILFORD — Silver halide prints</t>
        </is>
      </c>
      <c r="C154" t="inlineStr">
        <is>
          <t>https://www.ilfordphoto.com/silver-halide</t>
        </is>
      </c>
      <c r="D154" t="inlineStr">
        <is>
          <t>Silver halide crystals in gelatin form part of an emulsion used to coat photographic paper or film</t>
        </is>
      </c>
      <c r="E154" t="inlineStr">
        <is>
          <t>официальный источник ILFORD по серебряно-желатиновому принципу</t>
        </is>
      </c>
    </row>
    <row r="155">
      <c r="A155" t="inlineStr">
        <is>
          <t>SRC-154</t>
        </is>
      </c>
      <c r="B155" t="inlineStr">
        <is>
          <t>ILFORD — PAN F PLUS 35mm</t>
        </is>
      </c>
      <c r="C155" t="inlineStr">
        <is>
          <t>https://www.ilfordphoto.com/pan-f-plus-35mm?___from_store=ilford_uk&amp;___store=ilford_brochure</t>
        </is>
      </c>
      <c r="D155" t="inlineStr">
        <is>
          <t>PAN F PLUS is a slow speed black and white film offering exceptionally fine grain, sharpness and detail</t>
        </is>
      </c>
      <c r="E155" t="inlineStr">
        <is>
          <t>официальная страница продукта ILFORD</t>
        </is>
      </c>
    </row>
    <row r="156">
      <c r="A156" t="inlineStr">
        <is>
          <t>SRC-155</t>
        </is>
      </c>
      <c r="B156" t="inlineStr">
        <is>
          <t>ILFORD — FP4 PLUS Sheet Film</t>
        </is>
      </c>
      <c r="C156" t="inlineStr">
        <is>
          <t>https://www.ilfordphoto.com/fp4-plus-sheet-film?___from_store=ilford_uk&amp;___store=ilford_brochure</t>
        </is>
      </c>
      <c r="D156" t="inlineStr">
        <is>
          <t>FP4 PLUS is medium-speed all-purpose black and white film with very fine grain, outstanding sharpness and superb exposure latitude</t>
        </is>
      </c>
      <c r="E156" t="inlineStr">
        <is>
          <t>официальная страница продукта ILFORD</t>
        </is>
      </c>
    </row>
    <row r="157">
      <c r="A157" t="inlineStr">
        <is>
          <t>SRC-156</t>
        </is>
      </c>
      <c r="B157" t="inlineStr">
        <is>
          <t>ILFORD — Introduction to ILFORD Film Developers</t>
        </is>
      </c>
      <c r="C157" t="inlineStr">
        <is>
          <t>https://www.ilfordphoto.com/beginners-guide-film-developers/?___from_store=ilford_uk</t>
        </is>
      </c>
      <c r="D157" t="inlineStr">
        <is>
          <t>Some developers exploit film speed; others act on grain structure by reducing grain</t>
        </is>
      </c>
      <c r="E157" t="inlineStr">
        <is>
          <t>официальный учебный источник ILFORD по проявителям</t>
        </is>
      </c>
    </row>
    <row r="158">
      <c r="A158" t="inlineStr">
        <is>
          <t>SRC-157</t>
        </is>
      </c>
      <c r="B158" t="inlineStr">
        <is>
          <t>ILFORD — Film FAQs</t>
        </is>
      </c>
      <c r="C158" t="inlineStr">
        <is>
          <t>https://www.ilfordphoto.com/faqs/ilford-film-faqs/?___from_store=ilford_uk&amp;___store=ilford_brochure</t>
        </is>
      </c>
      <c r="D158" t="inlineStr">
        <is>
          <t>Scanner auto-sharpening can enhance visible grain; DELTA films use newer Core-Shell crystal structure for finer grain and sharpness</t>
        </is>
      </c>
      <c r="E158" t="inlineStr">
        <is>
          <t>официальный FAQ ILFORD</t>
        </is>
      </c>
    </row>
    <row r="159">
      <c r="A159" t="inlineStr">
        <is>
          <t>SRC-158</t>
        </is>
      </c>
      <c r="B159" t="inlineStr">
        <is>
          <t>Kodak — Glossary of Motion Picture Terms</t>
        </is>
      </c>
      <c r="C159" t="inlineStr">
        <is>
          <t>https://www.kodak.com/en/motion/page/glossary-of-motion-picture-terms/</t>
        </is>
      </c>
      <c r="D159" t="inlineStr">
        <is>
          <t>Defines T-GRAIN Emulsion, toe/shoulder/D-Max and other sensitometric terms related to film response</t>
        </is>
      </c>
      <c r="E159" t="inlineStr">
        <is>
          <t>официальный словарь Kodak</t>
        </is>
      </c>
    </row>
    <row r="160">
      <c r="A160" t="inlineStr">
        <is>
          <t>SRC-159</t>
        </is>
      </c>
      <c r="B160" t="inlineStr">
        <is>
          <t>Kodak Professional — T-MAX 100 Film</t>
        </is>
      </c>
      <c r="C160" t="inlineStr">
        <is>
          <t>https://www.kodakprofessional.com/photographers/film/black-white/kodak-professional-t-max-100-film/525</t>
        </is>
      </c>
      <c r="D160" t="inlineStr">
        <is>
          <t>KODAK PROFESSIONAL T-MAX 100 is described as extremely fine-grained 100-speed black-and-white film</t>
        </is>
      </c>
      <c r="E160" t="inlineStr">
        <is>
          <t>официальная страница Kodak Professional</t>
        </is>
      </c>
    </row>
    <row r="161">
      <c r="A161" t="inlineStr">
        <is>
          <t>SRC-160</t>
        </is>
      </c>
      <c r="B161" t="inlineStr">
        <is>
          <t>Kodak Professional — T-MAX P3200 Technical Data</t>
        </is>
      </c>
      <c r="C161" t="inlineStr">
        <is>
          <t>https://www.kodakprofessional.com/sites/default/files/wysiwyg/pro/resources/f4001_tmax_3200_0.pdf</t>
        </is>
      </c>
      <c r="D161" t="inlineStr">
        <is>
          <t>T-MAX P3200 combines high to ultra-high film speeds with finer grain than other fast black-and-white films; uses KODAK T-GRAIN emulsion</t>
        </is>
      </c>
      <c r="E161" t="inlineStr">
        <is>
          <t>официальный технический PDF Kodak Professional</t>
        </is>
      </c>
    </row>
    <row r="162">
      <c r="A162" t="inlineStr">
        <is>
          <t>SRC-161</t>
        </is>
      </c>
      <c r="B162" t="inlineStr">
        <is>
          <t>Kodak — EKTAR 100 Film</t>
        </is>
      </c>
      <c r="C162" t="inlineStr">
        <is>
          <t>https://www.kodak.com/en/still-film/product/professional/ektar-100-film/</t>
        </is>
      </c>
      <c r="D162" t="inlineStr">
        <is>
          <t>EKTAR 100 is low-speed ISO 100/21° colour negative film with very smooth/fine grain positioning</t>
        </is>
      </c>
      <c r="E162" t="inlineStr">
        <is>
          <t>официальная страница продукта Kodak</t>
        </is>
      </c>
    </row>
    <row r="163">
      <c r="A163" t="inlineStr">
        <is>
          <t>SRC-162</t>
        </is>
      </c>
      <c r="B163" t="inlineStr">
        <is>
          <t>Kodak — Basic Photographic Sensitometry Workbook</t>
        </is>
      </c>
      <c r="C163" t="inlineStr">
        <is>
          <t>https://www.kodak.com/content/products-brochures/Film/Basic-Photographic-Sensitometry-Workbook.pdf</t>
        </is>
      </c>
      <c r="D163" t="inlineStr">
        <is>
          <t>The characteristic curve tells key film characteristics and includes toe, straight-line portion and shoulder</t>
        </is>
      </c>
      <c r="E163" t="inlineStr">
        <is>
          <t>официальный учебный PDF Kodak по сенситометрии</t>
        </is>
      </c>
    </row>
    <row r="164">
      <c r="A164" t="inlineStr">
        <is>
          <t>SRC-163</t>
        </is>
      </c>
      <c r="B164" t="inlineStr">
        <is>
          <t>Kodak Professional — EKTACHROME E100 FAQs 2024</t>
        </is>
      </c>
      <c r="C164" t="inlineStr">
        <is>
          <t>https://www.kodakprofessional.com/sites/default/files/wysiwyg/E100%20FAQs%20PDF%202024.pdf</t>
        </is>
      </c>
      <c r="D164" t="inlineStr">
        <is>
          <t>Color reversal films have much narrower exposure range than negative-working films, about +/- half a stop</t>
        </is>
      </c>
      <c r="E164" t="inlineStr">
        <is>
          <t>официальный FAQ Kodak Professional по слайдовой плёнке</t>
        </is>
      </c>
    </row>
    <row r="165">
      <c r="A165" t="inlineStr">
        <is>
          <t>SRC-164</t>
        </is>
      </c>
      <c r="B165" t="inlineStr">
        <is>
          <t>Kodak — EKTACOLOR PRO 400 Film</t>
        </is>
      </c>
      <c r="C165" t="inlineStr">
        <is>
          <t>https://www.kodak.com/en/still-film/product/professional/ektacolor/ektacolor-pro-400-film/</t>
        </is>
      </c>
      <c r="D165" t="inlineStr">
        <is>
          <t>EKTACOLOR PRO family offers outstanding exposure latitude and accommodates variations in exposure</t>
        </is>
      </c>
      <c r="E165" t="inlineStr">
        <is>
          <t>официальная страница продукта Kodak</t>
        </is>
      </c>
    </row>
    <row r="166">
      <c r="A166" t="inlineStr">
        <is>
          <t>SRC-165</t>
        </is>
      </c>
      <c r="B166" t="inlineStr">
        <is>
          <t>Kodak — Gray Card for the Cinematographer</t>
        </is>
      </c>
      <c r="C166" t="inlineStr">
        <is>
          <t>https://www.kodak.com/en/motion/page/for-the-cinematographer/</t>
        </is>
      </c>
      <c r="D166" t="inlineStr">
        <is>
          <t>Kodak recommends normal exposure with gray card to provide a full-range negative for transfer grading and film timing</t>
        </is>
      </c>
      <c r="E166" t="inlineStr">
        <is>
          <t>официальный источник Kodak по нормальной экспозиции и серой карте</t>
        </is>
      </c>
    </row>
    <row r="167">
      <c r="A167" t="inlineStr">
        <is>
          <t>SRC-166</t>
        </is>
      </c>
      <c r="B167" t="inlineStr">
        <is>
          <t>Wikipedia — Film grain</t>
        </is>
      </c>
      <c r="C167" t="inlineStr">
        <is>
          <t>https://en.wikipedia.org/wiki/Film_grain</t>
        </is>
      </c>
      <c r="D167" t="inlineStr">
        <is>
          <t>PL-HIST-0187 (флагман PL-019): зерно как оптический эффект скоплений серебра, а не отдельный кристалл</t>
        </is>
      </c>
      <c r="E167" t="inlineStr">
        <is>
          <t>Общий образовательный источник (не производитель); проверено по содержанию статьи вручную</t>
        </is>
      </c>
    </row>
    <row r="168">
      <c r="A168" t="inlineStr">
        <is>
          <t>SRC-167</t>
        </is>
      </c>
      <c r="B168" t="inlineStr">
        <is>
          <t>Britannica Concise Encyclopedia — Camera</t>
        </is>
      </c>
      <c r="C168" t="inlineStr">
        <is>
          <t>https://slovar-vocab.com/english/britannica-concise-encyclopedia/camera-6543391.html</t>
        </is>
      </c>
      <c r="D168" t="inlineStr">
        <is>
          <t>camera as light-tight box; five crucial components: body, film, light control, lens, viewing system</t>
        </is>
      </c>
      <c r="E168" t="inlineStr">
        <is>
          <t>энциклопедический источник по базовой архитектуре камеры</t>
        </is>
      </c>
    </row>
    <row r="169">
      <c r="A169" t="inlineStr">
        <is>
          <t>SRC-168</t>
        </is>
      </c>
      <c r="B169" t="inlineStr">
        <is>
          <t>Nikon — FM2 Instruction Manual</t>
        </is>
      </c>
      <c r="C169" t="inlineStr">
        <is>
          <t>https://cdn-10.nikon-cdn.com/pdf/manuals/archive/FM2.pdf</t>
        </is>
      </c>
      <c r="D169" t="inlineStr">
        <is>
          <t>Nikon FM2: 35mm SLR, lens mount, shutter speeds, focusing screen, exposure meter, film advance/rewind and manual operation</t>
        </is>
      </c>
      <c r="E169" t="inlineStr">
        <is>
          <t>официальный PDF-инструктаж Nikon</t>
        </is>
      </c>
    </row>
    <row r="170">
      <c r="A170" t="inlineStr">
        <is>
          <t>SRC-169</t>
        </is>
      </c>
      <c r="B170" t="inlineStr">
        <is>
          <t>Leica — M-A (Typ 127)</t>
        </is>
      </c>
      <c r="C170" t="inlineStr">
        <is>
          <t>https://leica-camera.com/en-US/photography/cameras/m/m-a-typ-127-black</t>
        </is>
      </c>
      <c r="D170" t="inlineStr">
        <is>
          <t>Leica M-A as purely mechanical camera with no monitor, no exposure meter and no battery</t>
        </is>
      </c>
      <c r="E170" t="inlineStr">
        <is>
          <t>официальная страница Leica</t>
        </is>
      </c>
    </row>
    <row r="171">
      <c r="A171" t="inlineStr">
        <is>
          <t>SRC-170</t>
        </is>
      </c>
      <c r="B171" t="inlineStr">
        <is>
          <t>Leica — M-A Technical Specifications</t>
        </is>
      </c>
      <c r="C171" t="inlineStr">
        <is>
          <t>https://leica-camera.com/en-DK/photography/cameras/m/m-a-typ-127-black/technical-specification</t>
        </is>
      </c>
      <c r="D171" t="inlineStr">
        <is>
          <t>Leica M-A: compact 35 mm rangefinder system camera with mechanically controlled shutter and rangefinder base</t>
        </is>
      </c>
      <c r="E171" t="inlineStr">
        <is>
          <t>официальные технические характеристики Leica</t>
        </is>
      </c>
    </row>
    <row r="172">
      <c r="A172" t="inlineStr">
        <is>
          <t>SRC-171</t>
        </is>
      </c>
      <c r="B172" t="inlineStr">
        <is>
          <t>Nikon — 50th Anniversary of Nikon F-Mount</t>
        </is>
      </c>
      <c r="C172" t="inlineStr">
        <is>
          <t>https://www.nikon.com/company/news/2009/0303_f-mount50th_01/</t>
        </is>
      </c>
      <c r="D172" t="inlineStr">
        <is>
          <t>Nikon F-mount first used on Nikon F in 1959; bayonet mount for 35mm SLR interchangeable lenses</t>
        </is>
      </c>
      <c r="E172" t="inlineStr">
        <is>
          <t>официальная новость Nikon</t>
        </is>
      </c>
    </row>
    <row r="173">
      <c r="A173" t="inlineStr">
        <is>
          <t>SRC-172</t>
        </is>
      </c>
      <c r="B173" t="inlineStr">
        <is>
          <t>Nikon — Corporate History / Nikon F</t>
        </is>
      </c>
      <c r="C173" t="inlineStr">
        <is>
          <t>https://www.nikon.com/company/corporate/history/</t>
        </is>
      </c>
      <c r="D173" t="inlineStr">
        <is>
          <t>Nikon F 1959; mirror box, pentaprism and bayonet as newly developed main components; first Nikon interchangeable-lens SLR</t>
        </is>
      </c>
      <c r="E173" t="inlineStr">
        <is>
          <t>официальная корпоративная история Nikon</t>
        </is>
      </c>
    </row>
    <row r="174">
      <c r="A174" t="inlineStr">
        <is>
          <t>SRC-173</t>
        </is>
      </c>
      <c r="B174" t="inlineStr">
        <is>
          <t>Nikon — Debut of Nikon F</t>
        </is>
      </c>
      <c r="C174" t="inlineStr">
        <is>
          <t>https://imaging.nikon.com/imaging/information/chronicle/history-f/index.html</t>
        </is>
      </c>
      <c r="D174" t="inlineStr">
        <is>
          <t>Nikon F body layout, shutter button, film wind-up lever, SLR development, exposure-meter coupling and motor-drive system context</t>
        </is>
      </c>
      <c r="E174" t="inlineStr">
        <is>
          <t>официальная Camera Chronicle Nikon</t>
        </is>
      </c>
    </row>
    <row r="175">
      <c r="A175" t="inlineStr">
        <is>
          <t>SRC-174</t>
        </is>
      </c>
      <c r="B175" t="inlineStr">
        <is>
          <t>Justia Patents — Camera with film take-up confirming mechanism</t>
        </is>
      </c>
      <c r="C175" t="inlineStr">
        <is>
          <t>https://patents.justia.com/patent/5166715</t>
        </is>
      </c>
      <c r="D175" t="inlineStr">
        <is>
          <t>35mm camera elements: cartridge chamber, film rails, exposure window, take-up spool, pressure plate, shutter release</t>
        </is>
      </c>
      <c r="E175" t="inlineStr">
        <is>
          <t>технический патентный источник для устройства плёночного тракта</t>
        </is>
      </c>
    </row>
    <row r="176">
      <c r="A176" t="inlineStr">
        <is>
          <t>SRC-175</t>
        </is>
      </c>
      <c r="B176" t="inlineStr">
        <is>
          <t>Leica — Press Release: Leica M-A</t>
        </is>
      </c>
      <c r="C176" t="inlineStr">
        <is>
          <t>https://leica-camera.com/it-IT/Company/Press-Centre/Press-Releases/Photokina-2014/Press-Release-The-pinnacle-of-mechanical-technology-LEICA-M-A-The-precision-tool-for-lovers-of-decelerated-photography</t>
        </is>
      </c>
      <c r="D176" t="inlineStr">
        <is>
          <t>Leica M-A as purely mechanical rangefinder camera; manual setting of shutter speed and aperture by external meter or estimation</t>
        </is>
      </c>
      <c r="E176" t="inlineStr">
        <is>
          <t>официальный пресс-релиз Leica</t>
        </is>
      </c>
    </row>
    <row r="177">
      <c r="A177" t="inlineStr">
        <is>
          <t>SRC-176</t>
        </is>
      </c>
      <c r="B177" t="inlineStr">
        <is>
          <t>Nikon — FM3A Camera Chronicle</t>
        </is>
      </c>
      <c r="C177" t="inlineStr">
        <is>
          <t>https://imaging.nikon.com/imaging/information/chronicle/history-fm3a/</t>
        </is>
      </c>
      <c r="D177" t="inlineStr">
        <is>
          <t>FM3A manual camera for the 21st century; mechanical linkage between shutter dial and shutter unit; bridge between mechanical control and AE</t>
        </is>
      </c>
      <c r="E177" t="inlineStr">
        <is>
          <t>официальная Camera Chronicle Nikon</t>
        </is>
      </c>
    </row>
    <row r="178">
      <c r="A178" t="inlineStr">
        <is>
          <t>SRC-177</t>
        </is>
      </c>
      <c r="B178" t="inlineStr">
        <is>
          <t>Canon Camera Museum — AE-1</t>
        </is>
      </c>
      <c r="C178" t="inlineStr">
        <is>
          <t>https://global.canon/en/c-museum/product/film93.html</t>
        </is>
      </c>
      <c r="D178" t="inlineStr">
        <is>
          <t>Canon AE-1 introduced April 1976; very successful worldwide; modular construction and shutter-priority AE context</t>
        </is>
      </c>
      <c r="E178" t="inlineStr">
        <is>
          <t>официальный Canon Camera Museum</t>
        </is>
      </c>
    </row>
    <row r="179">
      <c r="A179" t="inlineStr">
        <is>
          <t>SRC-178</t>
        </is>
      </c>
      <c r="B179" t="inlineStr">
        <is>
          <t>Canon Camera Museum — View by period 1976–1986</t>
        </is>
      </c>
      <c r="C179" t="inlineStr">
        <is>
          <t>https://global.canon/en/c-museum/history/story06.html</t>
        </is>
      </c>
      <c r="D179" t="inlineStr">
        <is>
          <t>AE-1 as first 35mm AE SLR with shutter-priority TTL metering and CPU; acceleration of automatic/electronic technologies</t>
        </is>
      </c>
      <c r="E179" t="inlineStr">
        <is>
          <t>официальный исторический раздел Canon</t>
        </is>
      </c>
    </row>
    <row r="180">
      <c r="A180" t="inlineStr">
        <is>
          <t>SRC-179</t>
        </is>
      </c>
      <c r="B180" t="inlineStr">
        <is>
          <t>Canon Camera Museum — A-1</t>
        </is>
      </c>
      <c r="C180" t="inlineStr">
        <is>
          <t>https://global.canon/en/c-museum/product/film100.html</t>
        </is>
      </c>
      <c r="D180" t="inlineStr">
        <is>
          <t>Canon A-1 1978: sophisticated electronic camera; five AE modes including program AE</t>
        </is>
      </c>
      <c r="E180" t="inlineStr">
        <is>
          <t>официальный Canon Camera Museum</t>
        </is>
      </c>
    </row>
    <row r="181">
      <c r="A181" t="inlineStr">
        <is>
          <t>SRC-180</t>
        </is>
      </c>
      <c r="B181" t="inlineStr">
        <is>
          <t>Nikon — Debut of Nikon F3</t>
        </is>
      </c>
      <c r="C181" t="inlineStr">
        <is>
          <t>https://imaging.nikon.com/imaging/information/chronicle/history-f3/index.html</t>
        </is>
      </c>
      <c r="D181" t="inlineStr">
        <is>
          <t>Nikon F3 released in March 1980 as electronically controlled aperture-priority AE flagship SLR; Nikon EM beginner AE context</t>
        </is>
      </c>
      <c r="E181" t="inlineStr">
        <is>
          <t>официальная Camera Chronicle Nikon</t>
        </is>
      </c>
    </row>
    <row r="182">
      <c r="A182" t="inlineStr">
        <is>
          <t>SRC-181</t>
        </is>
      </c>
      <c r="B182" t="inlineStr">
        <is>
          <t>Canon Camera Museum — Sure Shot / AF35M</t>
        </is>
      </c>
      <c r="C182" t="inlineStr">
        <is>
          <t>https://global.canon/en/c-museum/product/film102.html</t>
        </is>
      </c>
      <c r="D182" t="inlineStr">
        <is>
          <t>Canon Sure Shot / Autoboy, November 1979, 35mm lens-shutter autofocus camera with program EE and built-in flash</t>
        </is>
      </c>
      <c r="E182" t="inlineStr">
        <is>
          <t>официальный Canon Camera Museum</t>
        </is>
      </c>
    </row>
    <row r="183">
      <c r="A183" t="inlineStr">
        <is>
          <t>SRC-182</t>
        </is>
      </c>
      <c r="B183" t="inlineStr">
        <is>
          <t>Canon Camera Museum — T70</t>
        </is>
      </c>
      <c r="C183" t="inlineStr">
        <is>
          <t>https://global.canon/en/c-museum/product/film112.html</t>
        </is>
      </c>
      <c r="D183" t="inlineStr">
        <is>
          <t>Canon T70 1984 with shutter-priority TTL AE, TTL multi-program AE, preset aperture AE and auto loading</t>
        </is>
      </c>
      <c r="E183" t="inlineStr">
        <is>
          <t>официальный Canon Camera Museum</t>
        </is>
      </c>
    </row>
    <row r="184">
      <c r="A184" t="inlineStr">
        <is>
          <t>SRC-183</t>
        </is>
      </c>
      <c r="B184" t="inlineStr">
        <is>
          <t>Nikon — Nikon F-501 and F-301 Camera Chronicle</t>
        </is>
      </c>
      <c r="C184" t="inlineStr">
        <is>
          <t>https://imaging.nikon.com/imaging/information/chronicle/cousins15-e/</t>
        </is>
      </c>
      <c r="D184" t="inlineStr">
        <is>
          <t>Nikon F-501/F-301: auto winding, AF, auto film loading, DX-coded film speed and CPU control</t>
        </is>
      </c>
      <c r="E184" t="inlineStr">
        <is>
          <t>официальная Camera Chronicle Nikon</t>
        </is>
      </c>
    </row>
    <row r="185">
      <c r="A185" t="inlineStr">
        <is>
          <t>SRC-184</t>
        </is>
      </c>
      <c r="B185" t="inlineStr">
        <is>
          <t>Konica Minolta — Corporate History</t>
        </is>
      </c>
      <c r="C185" t="inlineStr">
        <is>
          <t>https://www.konicaminolta.com/global-en/corporate/history-timeline03.html</t>
        </is>
      </c>
      <c r="D185" t="inlineStr">
        <is>
          <t>Minolta α-7000 / Maxxum 7000 as first SLR with professional-quality autofocus function</t>
        </is>
      </c>
      <c r="E185" t="inlineStr">
        <is>
          <t>официальная история Konica Minolta</t>
        </is>
      </c>
    </row>
    <row r="186">
      <c r="A186" t="inlineStr">
        <is>
          <t>SRC-185</t>
        </is>
      </c>
      <c r="B186" t="inlineStr">
        <is>
          <t>Canon Camera Museum — EOS 650</t>
        </is>
      </c>
      <c r="C186" t="inlineStr">
        <is>
          <t>https://global.canon/en/c-museum/product/film122.html</t>
        </is>
      </c>
      <c r="D186" t="inlineStr">
        <is>
          <t>Canon EOS 650 as first EOS camera with super microcomputer and BASIS sensor for high-precision AF</t>
        </is>
      </c>
      <c r="E186" t="inlineStr">
        <is>
          <t>официальный Canon Camera Museum</t>
        </is>
      </c>
    </row>
    <row r="187">
      <c r="A187" t="inlineStr">
        <is>
          <t>SRC-186</t>
        </is>
      </c>
      <c r="B187" t="inlineStr">
        <is>
          <t>Canon Camera Museum — EOS 30th History</t>
        </is>
      </c>
      <c r="C187" t="inlineStr">
        <is>
          <t>https://global.canon/en/c-museum/history/eos30th-1.html</t>
        </is>
      </c>
      <c r="D187" t="inlineStr">
        <is>
          <t>EOS 650 launched March 1, 1987; foundation of Canon AF SLR strategy and EOS system</t>
        </is>
      </c>
      <c r="E187" t="inlineStr">
        <is>
          <t>официальный исторический раздел Canon</t>
        </is>
      </c>
    </row>
    <row r="188">
      <c r="A188" t="inlineStr">
        <is>
          <t>SRC-187</t>
        </is>
      </c>
      <c r="B188" t="inlineStr">
        <is>
          <t>Canon U.S.A. — EOS System 35th Anniversary</t>
        </is>
      </c>
      <c r="C188" t="inlineStr">
        <is>
          <t>https://www.usa.canon.com/newsroom/2022/20220223-news</t>
        </is>
      </c>
      <c r="D188" t="inlineStr">
        <is>
          <t>EOS System debuted March 1987 with EOS 650 and EF lenses; fully electronic mount system and new generation AF SLRs</t>
        </is>
      </c>
      <c r="E188" t="inlineStr">
        <is>
          <t>официальная новость Canon USA</t>
        </is>
      </c>
    </row>
    <row r="189">
      <c r="A189" t="inlineStr">
        <is>
          <t>SRC-188</t>
        </is>
      </c>
      <c r="B189" t="inlineStr">
        <is>
          <t>Nikon — Debut of Nikon F4</t>
        </is>
      </c>
      <c r="C189" t="inlineStr">
        <is>
          <t>https://imaging.nikon.com/history/chronicle/history-f4/</t>
        </is>
      </c>
      <c r="D189" t="inlineStr">
        <is>
          <t>Nikon F4: focus tracking, TTL phase-difference AF, multiple CPUs, sophisticated software and professional AF SLR automation</t>
        </is>
      </c>
      <c r="E189" t="inlineStr">
        <is>
          <t>официальная Camera Chronicle Nikon</t>
        </is>
      </c>
    </row>
    <row r="190">
      <c r="A190" t="inlineStr">
        <is>
          <t>SRC-166</t>
        </is>
      </c>
      <c r="B190" t="inlineStr">
        <is>
          <t>Wikipedia — Film grain</t>
        </is>
      </c>
      <c r="C190" t="inlineStr">
        <is>
          <t>https://en.wikipedia.org/wiki/Film_grain</t>
        </is>
      </c>
      <c r="D190" t="inlineStr">
        <is>
          <t>PL-HIST-0187 (флагман PL-019): зерно как оптический эффект скоплений серебра, а не отдельный кристалл</t>
        </is>
      </c>
      <c r="E190" t="inlineStr">
        <is>
          <t>Общий образовательный источник (не производитель); проверено по содержанию статьи вручную</t>
        </is>
      </c>
    </row>
    <row r="191">
      <c r="A191" s="75" t="inlineStr">
        <is>
          <t>SRC-189</t>
        </is>
      </c>
      <c r="B191" s="75" t="inlineStr">
        <is>
          <t>Science Museum Group — No.3A Autographic Kodak Special camera</t>
        </is>
      </c>
      <c r="C191" s="75" t="inlineStr">
        <is>
          <t>https://collection.sciencemuseumgroup.org.uk/objects/co8083853/no-3a-autographic-kodak-special-camera</t>
        </is>
      </c>
      <c r="D191" s="75" t="inlineStr">
        <is>
          <t>Early coupled split-image rangefinder fitted below lens</t>
        </is>
      </c>
      <c r="E191" s="75" t="inlineStr">
        <is>
          <t>музейная коллекция Science Museum Group</t>
        </is>
      </c>
    </row>
    <row r="192">
      <c r="A192" s="75" t="inlineStr">
        <is>
          <t>SRC-190</t>
        </is>
      </c>
      <c r="B192" s="75" t="inlineStr">
        <is>
          <t>Leica Timeline — 1932 Leica II</t>
        </is>
      </c>
      <c r="C192" s="75" t="inlineStr">
        <is>
          <t>https://timeline.leica-camera.com/en-US/years/1932</t>
        </is>
      </c>
      <c r="D192" s="75" t="inlineStr">
        <is>
          <t>Leica II as first Leica with built-in rangefinder</t>
        </is>
      </c>
      <c r="E192" s="75" t="inlineStr">
        <is>
          <t>официальная хронология Leica</t>
        </is>
      </c>
    </row>
    <row r="193">
      <c r="A193" s="75" t="inlineStr">
        <is>
          <t>SRC-191</t>
        </is>
      </c>
      <c r="B193" s="75" t="inlineStr">
        <is>
          <t>Science Museum Group — Contax II 35mm camera</t>
        </is>
      </c>
      <c r="C193" s="75" t="inlineStr">
        <is>
          <t>https://collection.sciencemuseumgroup.org.uk/objects/co8092572/contax-ii-35mm-camera</t>
        </is>
      </c>
      <c r="D193" s="75" t="inlineStr">
        <is>
          <t>Contax II rangefinder camera</t>
        </is>
      </c>
      <c r="E193" s="75" t="inlineStr">
        <is>
          <t>музейная коллекция Science Museum Group</t>
        </is>
      </c>
    </row>
    <row r="194">
      <c r="A194" s="75" t="inlineStr">
        <is>
          <t>SRC-192</t>
        </is>
      </c>
      <c r="B194" s="75" t="inlineStr">
        <is>
          <t>Leica Timeline — 1954 Leica M3</t>
        </is>
      </c>
      <c r="C194" s="75" t="inlineStr">
        <is>
          <t>https://timeline.leica-camera.com/en-US/years/1954</t>
        </is>
      </c>
      <c r="D194" s="75" t="inlineStr">
        <is>
          <t>Leica M3 and M system rangefinder milestone</t>
        </is>
      </c>
      <c r="E194" s="75" t="inlineStr">
        <is>
          <t>официальная хронология Leica</t>
        </is>
      </c>
    </row>
    <row r="195">
      <c r="A195" s="75" t="inlineStr">
        <is>
          <t>SRC-193</t>
        </is>
      </c>
      <c r="B195" s="75" t="inlineStr">
        <is>
          <t>Leica Camera UK — The Rangefinder: Advantages Explained</t>
        </is>
      </c>
      <c r="C195" s="75" t="inlineStr">
        <is>
          <t>https://leica-camera.com/en-GB/blog/photography/the-leica-rangefinder-explained</t>
        </is>
      </c>
      <c r="D195" s="75" t="inlineStr">
        <is>
          <t>Rangefinder principle, viewfinder framing and advantages</t>
        </is>
      </c>
      <c r="E195" s="75" t="inlineStr">
        <is>
          <t>официальный образовательный материал Leica</t>
        </is>
      </c>
    </row>
    <row r="196">
      <c r="A196" s="75" t="inlineStr">
        <is>
          <t>SRC-194</t>
        </is>
      </c>
      <c r="B196" s="75" t="inlineStr">
        <is>
          <t>Canon Camera Museum — Canonet</t>
        </is>
      </c>
      <c r="C196" s="75" t="inlineStr">
        <is>
          <t>https://global.canon/en/c-museum/product/film41.html</t>
        </is>
      </c>
      <c r="D196" s="75" t="inlineStr">
        <is>
          <t>Canonet as mass-market 35mm lens-shutter rangefinder camera</t>
        </is>
      </c>
      <c r="E196" s="75" t="inlineStr">
        <is>
          <t>официальный Canon Camera Museum</t>
        </is>
      </c>
    </row>
    <row r="197">
      <c r="A197" s="75" t="inlineStr">
        <is>
          <t>SRC-195</t>
        </is>
      </c>
      <c r="B197" s="75" t="inlineStr">
        <is>
          <t>Canon Camera Museum — Canonet QL17</t>
        </is>
      </c>
      <c r="C197" s="75" t="inlineStr">
        <is>
          <t>https://global.canon/en/c-museum/product/film53.html</t>
        </is>
      </c>
      <c r="D197" s="75" t="inlineStr">
        <is>
          <t>Canonet QL17 quick loading and compact rangefinder evolution</t>
        </is>
      </c>
      <c r="E197" s="75" t="inlineStr">
        <is>
          <t>официальный Canon Camera Museum</t>
        </is>
      </c>
    </row>
    <row r="198">
      <c r="A198" s="75" t="inlineStr">
        <is>
          <t>SRC-196</t>
        </is>
      </c>
      <c r="B198" s="75" t="inlineStr">
        <is>
          <t>B&amp;H Explora — Rangefinder Camera Guide</t>
        </is>
      </c>
      <c r="C198" s="75" t="inlineStr">
        <is>
          <t>https://www.bhphotovideo.com/explora/photography/buying-guide/primer-rangefinder-cameras</t>
        </is>
      </c>
      <c r="D198" s="75" t="inlineStr">
        <is>
          <t>Rangefinder strengths and trade-offs</t>
        </is>
      </c>
      <c r="E198" s="75" t="inlineStr">
        <is>
          <t>профильный образовательный источник B&amp;H</t>
        </is>
      </c>
    </row>
    <row r="199">
      <c r="A199" s="75" t="inlineStr">
        <is>
          <t>SRC-197</t>
        </is>
      </c>
      <c r="B199" s="75" t="inlineStr">
        <is>
          <t>Mamiya — Mamiya 7</t>
        </is>
      </c>
      <c r="C199" s="75" t="inlineStr">
        <is>
          <t>https://mamiya.co.uk/products_id-7.html</t>
        </is>
      </c>
      <c r="D199" s="75" t="inlineStr">
        <is>
          <t>Mamiya 7 medium-format rangefinder camera</t>
        </is>
      </c>
      <c r="E199" s="75" t="inlineStr">
        <is>
          <t>исторический источник Mamiya</t>
        </is>
      </c>
    </row>
    <row r="200">
      <c r="A200" s="75" t="inlineStr">
        <is>
          <t>SRC-198</t>
        </is>
      </c>
      <c r="B200" s="75" t="inlineStr">
        <is>
          <t>Science Museum Group — Kine Exakta 35mm SLR camera</t>
        </is>
      </c>
      <c r="C200" s="75" t="inlineStr">
        <is>
          <t>https://collection.sciencemuseumgroup.org.uk/objects/co8084029</t>
        </is>
      </c>
      <c r="D200" s="75" t="inlineStr">
        <is>
          <t>Kine Exakta, 1936 35mm SLR for 24×36 pictures</t>
        </is>
      </c>
      <c r="E200" s="75" t="inlineStr">
        <is>
          <t>музейная коллекция Science Museum Group</t>
        </is>
      </c>
    </row>
    <row r="201">
      <c r="A201" s="75" t="inlineStr">
        <is>
          <t>SRC-199</t>
        </is>
      </c>
      <c r="B201" s="75" t="inlineStr">
        <is>
          <t>Science Museum Group — Contax S camera</t>
        </is>
      </c>
      <c r="C201" s="75" t="inlineStr">
        <is>
          <t>https://collection.sciencemuseumgroup.org.uk/objects/co8210865/contax-s-camera</t>
        </is>
      </c>
      <c r="D201" s="75" t="inlineStr">
        <is>
          <t>Contax S 1948 pentaprism SLR</t>
        </is>
      </c>
      <c r="E201" s="75" t="inlineStr">
        <is>
          <t>музейная коллекция Science Museum Group</t>
        </is>
      </c>
    </row>
    <row r="202">
      <c r="A202" s="75" t="inlineStr">
        <is>
          <t>SRC-200</t>
        </is>
      </c>
      <c r="B202" s="75" t="inlineStr">
        <is>
          <t>Nikon Camera Chronicle — Debut of Nikon F</t>
        </is>
      </c>
      <c r="C202" s="75" t="inlineStr">
        <is>
          <t>https://imaging.nikon.com/imaging/information/chronicle/history-f/index.html</t>
        </is>
      </c>
      <c r="D202" s="75" t="inlineStr">
        <is>
          <t>Nikon F and professional 35mm SLR context</t>
        </is>
      </c>
      <c r="E202" s="75" t="inlineStr">
        <is>
          <t>официальная Camera Chronicle Nikon</t>
        </is>
      </c>
    </row>
    <row r="203">
      <c r="A203" s="75" t="inlineStr">
        <is>
          <t>SRC-201</t>
        </is>
      </c>
      <c r="B203" s="75" t="inlineStr">
        <is>
          <t>Nikon — 50th anniversary of Nikon F-mount</t>
        </is>
      </c>
      <c r="C203" s="75" t="inlineStr">
        <is>
          <t>https://www.nikon.com/company/news/2009/0303_f-mount50th_01/</t>
        </is>
      </c>
      <c r="D203" s="75" t="inlineStr">
        <is>
          <t>Nikon F released June 1959 and first F-mount SLR</t>
        </is>
      </c>
      <c r="E203" s="75" t="inlineStr">
        <is>
          <t>официальная новость Nikon</t>
        </is>
      </c>
    </row>
    <row r="204">
      <c r="A204" s="75" t="inlineStr">
        <is>
          <t>SRC-202</t>
        </is>
      </c>
      <c r="B204" s="75" t="inlineStr">
        <is>
          <t>Canon Camera Museum — Canonflex</t>
        </is>
      </c>
      <c r="C204" s="75" t="inlineStr">
        <is>
          <t>https://global.canon/en/c-museum/product/film38.html</t>
        </is>
      </c>
      <c r="D204" s="75" t="inlineStr">
        <is>
          <t>Canonflex as first Canon SLR</t>
        </is>
      </c>
      <c r="E204" s="75" t="inlineStr">
        <is>
          <t>официальный Canon Camera Museum</t>
        </is>
      </c>
    </row>
    <row r="205">
      <c r="A205" s="75" t="inlineStr">
        <is>
          <t>SRC-203</t>
        </is>
      </c>
      <c r="B205" s="75" t="inlineStr">
        <is>
          <t>Canon Camera Museum — Canon 1955–1969 story</t>
        </is>
      </c>
      <c r="C205" s="75" t="inlineStr">
        <is>
          <t>https://global.canon/en/c-museum/history/story04.html</t>
        </is>
      </c>
      <c r="D205" s="75" t="inlineStr">
        <is>
          <t>Canon transition toward SLR system cameras</t>
        </is>
      </c>
      <c r="E205" s="75" t="inlineStr">
        <is>
          <t>официальный исторический раздел Canon</t>
        </is>
      </c>
    </row>
    <row r="206">
      <c r="A206" s="75" t="inlineStr">
        <is>
          <t>SRC-204</t>
        </is>
      </c>
      <c r="B206" s="75" t="inlineStr">
        <is>
          <t>Ricoh Imaging — Pentax history course</t>
        </is>
      </c>
      <c r="C206" s="75" t="inlineStr">
        <is>
          <t>https://www.ricoh-imaging.co.jp/english/pentax/pentaxhistory/course/</t>
        </is>
      </c>
      <c r="D206" s="75" t="inlineStr">
        <is>
          <t>Asahiflex / Asahi Pentax history and Japanese SLR context</t>
        </is>
      </c>
      <c r="E206" s="75" t="inlineStr">
        <is>
          <t>официальный исторический материал Pentax</t>
        </is>
      </c>
    </row>
    <row r="207">
      <c r="A207" s="75" t="inlineStr">
        <is>
          <t>SRC-205</t>
        </is>
      </c>
      <c r="B207" s="75" t="inlineStr">
        <is>
          <t>Canon Camera Museum — AE-1</t>
        </is>
      </c>
      <c r="C207" s="75" t="inlineStr">
        <is>
          <t>https://global.canon/en/c-museum/product/film93.html</t>
        </is>
      </c>
      <c r="D207" s="75" t="inlineStr">
        <is>
          <t>Canon AE-1 and electronic SLR background</t>
        </is>
      </c>
      <c r="E207" s="75" t="inlineStr">
        <is>
          <t>официальный Canon Camera Museum</t>
        </is>
      </c>
    </row>
    <row r="208">
      <c r="A208" s="75" t="inlineStr">
        <is>
          <t>SRC-206</t>
        </is>
      </c>
      <c r="B208" s="75" t="inlineStr">
        <is>
          <t>Canon Camera Museum — EOS 650</t>
        </is>
      </c>
      <c r="C208" s="75" t="inlineStr">
        <is>
          <t>https://global.canon/en/c-museum/product/film122.html</t>
        </is>
      </c>
      <c r="D208" s="75" t="inlineStr">
        <is>
          <t>Canon EOS 650 first EOS AF SLR</t>
        </is>
      </c>
      <c r="E208" s="75" t="inlineStr">
        <is>
          <t>официальный Canon Camera Museum</t>
        </is>
      </c>
    </row>
    <row r="209">
      <c r="A209" s="75" t="inlineStr">
        <is>
          <t>SRC-207</t>
        </is>
      </c>
      <c r="B209" s="75" t="inlineStr">
        <is>
          <t>Canon Camera Museum — Sure Shot / AF35M</t>
        </is>
      </c>
      <c r="C209" s="75" t="inlineStr">
        <is>
          <t>https://global.canon/en/c-museum/product/film102.html</t>
        </is>
      </c>
      <c r="D209" s="75" t="inlineStr">
        <is>
          <t>Sure Shot / AF35M 1979 35mm lens-shutter AF camera</t>
        </is>
      </c>
      <c r="E209" s="75" t="inlineStr">
        <is>
          <t>официальный Canon Camera Museum</t>
        </is>
      </c>
    </row>
    <row r="210">
      <c r="A210" s="75" t="inlineStr">
        <is>
          <t>SRC-208</t>
        </is>
      </c>
      <c r="B210" s="75" t="inlineStr">
        <is>
          <t>Science Museum Group — Kodak Retina Type 117</t>
        </is>
      </c>
      <c r="C210" s="75" t="inlineStr">
        <is>
          <t>https://collection.sciencemuseumgroup.org.uk/objects/co8205056/kodak-retina-type-117-35mm-camera</t>
        </is>
      </c>
      <c r="D210" s="75" t="inlineStr">
        <is>
          <t>Kodak Retina Type 117 compact folding 35mm camera</t>
        </is>
      </c>
      <c r="E210" s="75" t="inlineStr">
        <is>
          <t>музейная коллекция Science Museum Group</t>
        </is>
      </c>
    </row>
    <row r="211">
      <c r="A211" s="75" t="inlineStr">
        <is>
          <t>SRC-209</t>
        </is>
      </c>
      <c r="B211" s="75" t="inlineStr">
        <is>
          <t>OM Digital Solutions — Olympus Pen product history</t>
        </is>
      </c>
      <c r="C211" s="75" t="inlineStr">
        <is>
          <t>https://www.om-digitalsolutions.com/en/product-history/olympus_pen/index.html</t>
        </is>
      </c>
      <c r="D211" s="75" t="inlineStr">
        <is>
          <t>Olympus Pen 1959 half-frame 35mm camera</t>
        </is>
      </c>
      <c r="E211" s="75" t="inlineStr">
        <is>
          <t>официальная история OM Digital Solutions</t>
        </is>
      </c>
    </row>
    <row r="212">
      <c r="A212" s="75" t="inlineStr">
        <is>
          <t>SRC-210</t>
        </is>
      </c>
      <c r="B212" s="75" t="inlineStr">
        <is>
          <t>Canon Camera Museum — Canon Demi</t>
        </is>
      </c>
      <c r="C212" s="75" t="inlineStr">
        <is>
          <t>https://global.canon/en/c-museum/product/film44.html</t>
        </is>
      </c>
      <c r="D212" s="75" t="inlineStr">
        <is>
          <t>Canon Demi half-frame compact camera</t>
        </is>
      </c>
      <c r="E212" s="75" t="inlineStr">
        <is>
          <t>официальный Canon Camera Museum</t>
        </is>
      </c>
    </row>
    <row r="213">
      <c r="A213" s="75" t="inlineStr">
        <is>
          <t>SRC-211</t>
        </is>
      </c>
      <c r="B213" s="75" t="inlineStr">
        <is>
          <t>OM Digital Solutions — Olympus XA product history</t>
        </is>
      </c>
      <c r="C213" s="75" t="inlineStr">
        <is>
          <t>https://www.om-digitalsolutions.com/en/product-history/xa/index.html</t>
        </is>
      </c>
      <c r="D213" s="75" t="inlineStr">
        <is>
          <t>Olympus XA compact capsule camera</t>
        </is>
      </c>
      <c r="E213" s="75" t="inlineStr">
        <is>
          <t>официальная история OM Digital Solutions</t>
        </is>
      </c>
    </row>
    <row r="214">
      <c r="A214" s="75" t="inlineStr">
        <is>
          <t>SRC-212</t>
        </is>
      </c>
      <c r="B214" s="75" t="inlineStr">
        <is>
          <t>Olympus Milestones — 1990–2011</t>
        </is>
      </c>
      <c r="C214" s="75" t="inlineStr">
        <is>
          <t>https://www.olympus-global.com/company/milestones/history/05.html</t>
        </is>
      </c>
      <c r="D214" s="75" t="inlineStr">
        <is>
          <t>Olympus μ[mju:] compact milestone</t>
        </is>
      </c>
      <c r="E214" s="75" t="inlineStr">
        <is>
          <t>официальная история Olympus</t>
        </is>
      </c>
    </row>
    <row r="215">
      <c r="A215" s="75" t="inlineStr">
        <is>
          <t>SRC-213</t>
        </is>
      </c>
      <c r="B215" s="75" t="inlineStr">
        <is>
          <t>Fujifilm — QuickSnap History</t>
        </is>
      </c>
      <c r="C215" s="75" t="inlineStr">
        <is>
          <t>https://quicksnap.fujifilm.com/en/history/</t>
        </is>
      </c>
      <c r="D215" s="75" t="inlineStr">
        <is>
          <t>Fujifilm QuickSnap single-use camera history</t>
        </is>
      </c>
      <c r="E215" s="75" t="inlineStr">
        <is>
          <t>официальный сайт Fujifilm QuickSnap</t>
        </is>
      </c>
    </row>
    <row r="216">
      <c r="A216" s="75" t="inlineStr">
        <is>
          <t>SRC-214</t>
        </is>
      </c>
      <c r="B216" s="75" t="inlineStr">
        <is>
          <t>Konica Minolta — Corporate history timeline</t>
        </is>
      </c>
      <c r="C216" s="75" t="inlineStr">
        <is>
          <t>https://www.konicaminolta.com/global-en/corporate/history-timeline02.html</t>
        </is>
      </c>
      <c r="D216" s="75" t="inlineStr">
        <is>
          <t>Konica C35AF autofocus compact camera history</t>
        </is>
      </c>
      <c r="E216" s="75" t="inlineStr">
        <is>
          <t>официальная история Konica Minolta</t>
        </is>
      </c>
    </row>
    <row r="217">
      <c r="A217" s="75" t="inlineStr">
        <is>
          <t>SRC-215</t>
        </is>
      </c>
      <c r="B217" s="75" t="inlineStr">
        <is>
          <t>Canon Camera Museum — Sure Shot Zoom</t>
        </is>
      </c>
      <c r="C217" s="75" t="inlineStr">
        <is>
          <t>https://global.canon/en/c-museum/product/film125.html</t>
        </is>
      </c>
      <c r="D217" s="75" t="inlineStr">
        <is>
          <t>Sure Shot Zoom compact point-and-shoot</t>
        </is>
      </c>
      <c r="E217" s="75" t="inlineStr">
        <is>
          <t>официальный Canon Camera Museum</t>
        </is>
      </c>
    </row>
    <row r="218">
      <c r="A218" s="75" t="inlineStr">
        <is>
          <t>SRC-216</t>
        </is>
      </c>
      <c r="B218" s="75" t="inlineStr">
        <is>
          <t>Kodak — Photography History</t>
        </is>
      </c>
      <c r="C218" s="75" t="inlineStr">
        <is>
          <t>https://www.kodak.com/en/company/page/photography-history/</t>
        </is>
      </c>
      <c r="D218" s="75" t="inlineStr">
        <is>
          <t>Kodak Brownie and mass amateur photography history</t>
        </is>
      </c>
      <c r="E218" s="75" t="inlineStr">
        <is>
          <t>официальная история Kodak</t>
        </is>
      </c>
    </row>
    <row r="219">
      <c r="A219" s="75" t="inlineStr">
        <is>
          <t>SRC-217</t>
        </is>
      </c>
      <c r="B219" s="75" t="inlineStr">
        <is>
          <t>Brownie Camera Page — No.2 Brownie</t>
        </is>
      </c>
      <c r="C219" s="75" t="inlineStr">
        <is>
          <t>https://brownie-camera.com/53.shtml</t>
        </is>
      </c>
      <c r="D219" s="75" t="inlineStr">
        <is>
          <t>No.2 Brownie and 120 roll film context</t>
        </is>
      </c>
      <c r="E219" s="75" t="inlineStr">
        <is>
          <t>справочный источник; проверить по Kodak/музею</t>
        </is>
      </c>
    </row>
    <row r="220">
      <c r="A220" s="75" t="inlineStr">
        <is>
          <t>SRC-218</t>
        </is>
      </c>
      <c r="B220" s="75" t="inlineStr">
        <is>
          <t>ILFORD Photo — Choosing your first ILFORD film</t>
        </is>
      </c>
      <c r="C220" s="75" t="inlineStr">
        <is>
          <t>https://www.ilfordphoto.com/choosing-your-first-ilford-film/</t>
        </is>
      </c>
      <c r="D220" s="75" t="inlineStr">
        <is>
          <t>35mm vs 120 film and format choice</t>
        </is>
      </c>
      <c r="E220" s="75" t="inlineStr">
        <is>
          <t>официальный образовательный материал ILFORD</t>
        </is>
      </c>
    </row>
    <row r="221">
      <c r="A221" s="75" t="inlineStr">
        <is>
          <t>SRC-219</t>
        </is>
      </c>
      <c r="B221" s="75" t="inlineStr">
        <is>
          <t>ILFORD Photo — HP5 PLUS 120</t>
        </is>
      </c>
      <c r="C221" s="75" t="inlineStr">
        <is>
          <t>https://www.ilfordphoto.com/hp5-plus-120</t>
        </is>
      </c>
      <c r="D221" s="75" t="inlineStr">
        <is>
          <t>120 roll film as medium-format product</t>
        </is>
      </c>
      <c r="E221" s="75" t="inlineStr">
        <is>
          <t>официальный источник ILFORD</t>
        </is>
      </c>
    </row>
    <row r="222">
      <c r="A222" s="75" t="inlineStr">
        <is>
          <t>SRC-220</t>
        </is>
      </c>
      <c r="B222" s="75" t="inlineStr">
        <is>
          <t>Science Museum Group — Rolleiflex camera</t>
        </is>
      </c>
      <c r="C222" s="75" t="inlineStr">
        <is>
          <t>https://collection.sciencemuseumgroup.org.uk/objects/co8204206/rolleiflex-camera</t>
        </is>
      </c>
      <c r="D222" s="75" t="inlineStr">
        <is>
          <t>Original Rolleiflex, 1929 TLR medium-format roll film camera</t>
        </is>
      </c>
      <c r="E222" s="75" t="inlineStr">
        <is>
          <t>музейная коллекция Science Museum Group</t>
        </is>
      </c>
    </row>
    <row r="223">
      <c r="A223" s="75" t="inlineStr">
        <is>
          <t>SRC-221</t>
        </is>
      </c>
      <c r="B223" s="75" t="inlineStr">
        <is>
          <t>Hasselblad Foundation — The Hasselblad Camera</t>
        </is>
      </c>
      <c r="C223" s="75" t="inlineStr">
        <is>
          <t>https://www.hasselbladfoundation.org/en/history/the-hasselblad-camera/</t>
        </is>
      </c>
      <c r="D223" s="75" t="inlineStr">
        <is>
          <t>Victor Hasselblad and Hasselblad camera history</t>
        </is>
      </c>
      <c r="E223" s="75" t="inlineStr">
        <is>
          <t>Hasselblad Foundation</t>
        </is>
      </c>
    </row>
    <row r="224">
      <c r="A224" s="75" t="inlineStr">
        <is>
          <t>SRC-222</t>
        </is>
      </c>
      <c r="B224" s="75" t="inlineStr">
        <is>
          <t>Hasselblad — 500 Series</t>
        </is>
      </c>
      <c r="C224" s="75" t="inlineStr">
        <is>
          <t>https://www.hasselblad.com/about/history/500-series</t>
        </is>
      </c>
      <c r="D224" s="75" t="inlineStr">
        <is>
          <t>Hasselblad 500C launched in 1957</t>
        </is>
      </c>
      <c r="E224" s="75" t="inlineStr">
        <is>
          <t>официальная история Hasselblad</t>
        </is>
      </c>
    </row>
    <row r="225">
      <c r="A225" s="75" t="inlineStr">
        <is>
          <t>SRC-223</t>
        </is>
      </c>
      <c r="B225" s="75" t="inlineStr">
        <is>
          <t>Mamiya-OP — Corporate history</t>
        </is>
      </c>
      <c r="C225" s="75" t="inlineStr">
        <is>
          <t>https://www.mamiya-op.co.jp/en/company/history/</t>
        </is>
      </c>
      <c r="D225" s="75" t="inlineStr">
        <is>
          <t>Mamiya corporate camera history</t>
        </is>
      </c>
      <c r="E225" s="75" t="inlineStr">
        <is>
          <t>официальная история Mamiya-OP</t>
        </is>
      </c>
    </row>
    <row r="226">
      <c r="A226" s="75" t="inlineStr">
        <is>
          <t>SRC-224</t>
        </is>
      </c>
      <c r="B226" s="75" t="inlineStr">
        <is>
          <t>Mamiya — Masters of the Medium</t>
        </is>
      </c>
      <c r="C226" s="75" t="inlineStr">
        <is>
          <t>https://mamiya.co.uk/about/80-90.html</t>
        </is>
      </c>
      <c r="D226" s="75" t="inlineStr">
        <is>
          <t>Mamiya medium-format system context</t>
        </is>
      </c>
      <c r="E226" s="75" t="inlineStr">
        <is>
          <t>исторический источник Mamiya</t>
        </is>
      </c>
    </row>
    <row r="227">
      <c r="A227" s="75" t="inlineStr">
        <is>
          <t>SRC-225</t>
        </is>
      </c>
      <c r="B227" s="75" t="inlineStr">
        <is>
          <t>Ricoh Imaging — PENTAX 67II</t>
        </is>
      </c>
      <c r="C227" s="75" t="inlineStr">
        <is>
          <t>https://www.ricoh-imaging.co.jp/english/products/filmcamera/medium/672/index.html</t>
        </is>
      </c>
      <c r="D227" s="75" t="inlineStr">
        <is>
          <t>Pentax 67II and 6×7 medium-format SLR context</t>
        </is>
      </c>
      <c r="E227" s="75" t="inlineStr">
        <is>
          <t>официальный источник Ricoh/Pentax</t>
        </is>
      </c>
    </row>
    <row r="228">
      <c r="A228" s="75" t="inlineStr">
        <is>
          <t>SRC-226</t>
        </is>
      </c>
      <c r="B228" s="75" t="inlineStr">
        <is>
          <t>Kodak Professional — Tri-X Films</t>
        </is>
      </c>
      <c r="C228" s="75" t="inlineStr">
        <is>
          <t>https://kodakprofessional.com/photographers/film/black-white/kodak-professional-tri-x-films/515</t>
        </is>
      </c>
      <c r="D228" s="75" t="inlineStr">
        <is>
          <t>Grain, tonality and professional film format context</t>
        </is>
      </c>
      <c r="E228" s="75" t="inlineStr">
        <is>
          <t>официальный Kodak Professional</t>
        </is>
      </c>
    </row>
    <row r="229">
      <c r="A229" s="75" t="inlineStr">
        <is>
          <t>SRC-227</t>
        </is>
      </c>
      <c r="B229" s="75" t="inlineStr">
        <is>
          <t>B&amp;H — Large Format Cameras / View Cameras</t>
        </is>
      </c>
      <c r="C229" s="75" t="inlineStr">
        <is>
          <t>https://www.bhphotovideo.com/c/buy/Field-View-Cameras/ci/27</t>
        </is>
      </c>
      <c r="D229" s="75" t="inlineStr">
        <is>
          <t>Large-format and view camera category context</t>
        </is>
      </c>
      <c r="E229" s="75" t="inlineStr">
        <is>
          <t>профильный источник B&amp;H</t>
        </is>
      </c>
    </row>
    <row r="230">
      <c r="A230" s="75" t="inlineStr">
        <is>
          <t>SRC-228</t>
        </is>
      </c>
      <c r="B230" s="75" t="inlineStr">
        <is>
          <t>ILFORD Photo — FP4 PLUS Sheet Film</t>
        </is>
      </c>
      <c r="C230" s="75" t="inlineStr">
        <is>
          <t>https://www.ilfordphoto.com/fp4-plus-sheet-film</t>
        </is>
      </c>
      <c r="D230" s="75" t="inlineStr">
        <is>
          <t>FP4 PLUS sheet film and large-format availability</t>
        </is>
      </c>
      <c r="E230" s="75" t="inlineStr">
        <is>
          <t>официальный источник ILFORD</t>
        </is>
      </c>
    </row>
    <row r="231">
      <c r="A231" s="75" t="inlineStr">
        <is>
          <t>SRC-229</t>
        </is>
      </c>
      <c r="B231" s="75" t="inlineStr">
        <is>
          <t>Library of Congress — FSA/OWI negatives</t>
        </is>
      </c>
      <c r="C231" s="75" t="inlineStr">
        <is>
          <t>https://www.loc.gov/pictures/collection/fsa/nitrate.html</t>
        </is>
      </c>
      <c r="D231" s="75" t="inlineStr">
        <is>
          <t>FSA/OWI negative formats including 35mm, roll film, 3×4, 4×5, 5×7, 8×10</t>
        </is>
      </c>
      <c r="E231" s="75" t="inlineStr">
        <is>
          <t>Library of Congress</t>
        </is>
      </c>
    </row>
    <row r="232">
      <c r="A232" s="75" t="inlineStr">
        <is>
          <t>SRC-230</t>
        </is>
      </c>
      <c r="B232" s="75" t="inlineStr">
        <is>
          <t>B&amp;H — Introduction to Large Format, Part II</t>
        </is>
      </c>
      <c r="C232" s="75" t="inlineStr">
        <is>
          <t>https://www.bhphotovideo.com/find/Product_Resources/largeformat2.jsp</t>
        </is>
      </c>
      <c r="D232" s="75" t="inlineStr">
        <is>
          <t>Large-format movements: rise, fall, shift, tilt and swing</t>
        </is>
      </c>
      <c r="E232" s="75" t="inlineStr">
        <is>
          <t>профильный образовательный источник B&amp;H</t>
        </is>
      </c>
    </row>
    <row r="233">
      <c r="A233" s="75" t="inlineStr">
        <is>
          <t>SRC-231</t>
        </is>
      </c>
      <c r="B233" s="75" t="inlineStr">
        <is>
          <t>Cambridge in Colour — Tilt-shift lenses and focus control</t>
        </is>
      </c>
      <c r="C233" s="75" t="inlineStr">
        <is>
          <t>https://www.cambridgeincolour.com/tutorials/tilt-shift-lenses2.htm</t>
        </is>
      </c>
      <c r="D233" s="75" t="inlineStr">
        <is>
          <t>Scheimpflug principle and tilted plane of focus</t>
        </is>
      </c>
      <c r="E233" s="75" t="inlineStr">
        <is>
          <t>профильный образовательный источник</t>
        </is>
      </c>
    </row>
    <row r="234">
      <c r="A234" s="75" t="inlineStr">
        <is>
          <t>SRC-232</t>
        </is>
      </c>
      <c r="B234" s="75" t="inlineStr">
        <is>
          <t>Linhof — 1936 Technika</t>
        </is>
      </c>
      <c r="C234" s="75" t="inlineStr">
        <is>
          <t>https://linhof.com/en/1936-linhof-technika/</t>
        </is>
      </c>
      <c r="D234" s="75" t="inlineStr">
        <is>
          <t>Linhof Technika technical field camera milestone</t>
        </is>
      </c>
      <c r="E234" s="75" t="inlineStr">
        <is>
          <t>официальная история Linhof</t>
        </is>
      </c>
    </row>
    <row r="235">
      <c r="A235" s="75" t="inlineStr">
        <is>
          <t>SRC-233</t>
        </is>
      </c>
      <c r="B235" s="75" t="inlineStr">
        <is>
          <t>Smithsonian NMAH — Graflex Speed Graphic 4×5 Press Camera</t>
        </is>
      </c>
      <c r="C235" s="75" t="inlineStr">
        <is>
          <t>https://americanhistory.si.edu/collections/object/nmah_1145431</t>
        </is>
      </c>
      <c r="D235" s="75" t="inlineStr">
        <is>
          <t>Graflex Speed Graphic 4×5 press camera collection object</t>
        </is>
      </c>
      <c r="E235" s="75" t="inlineStr">
        <is>
          <t>Smithsonian NMAH</t>
        </is>
      </c>
    </row>
    <row r="236">
      <c r="A236" s="75" t="inlineStr">
        <is>
          <t>SRC-234</t>
        </is>
      </c>
      <c r="B236" s="75" t="inlineStr">
        <is>
          <t>Library of Congress — National Photo Company collection</t>
        </is>
      </c>
      <c r="C236" s="75" t="inlineStr">
        <is>
          <t>https://findingaids.loc.gov/repositories/31/resources/6661</t>
        </is>
      </c>
      <c r="D236" s="75" t="inlineStr">
        <is>
          <t>Large photo archives and press/documentary work</t>
        </is>
      </c>
      <c r="E236" s="75" t="inlineStr">
        <is>
          <t>Library of Congress finding aid</t>
        </is>
      </c>
    </row>
    <row r="237">
      <c r="A237" s="75" t="inlineStr">
        <is>
          <t>SRC-235</t>
        </is>
      </c>
      <c r="B237" s="75" t="inlineStr">
        <is>
          <t>National Gallery of Australia — Ansel Adams and American Landscape Photography</t>
        </is>
      </c>
      <c r="C237" s="75" t="inlineStr">
        <is>
          <t>https://nga.gov.au/exhibitions/ansel-adams-and-american-landscape-photography/</t>
        </is>
      </c>
      <c r="D237" s="75" t="inlineStr">
        <is>
          <t>Large negative / landscape and fine-art printing context</t>
        </is>
      </c>
      <c r="E237" s="75" t="inlineStr">
        <is>
          <t>музейный источник</t>
        </is>
      </c>
    </row>
    <row r="238">
      <c r="A238" s="75" t="inlineStr">
        <is>
          <t>SRC-236</t>
        </is>
      </c>
      <c r="B238" s="75" t="inlineStr">
        <is>
          <t>Library of Congress — Care, Handling, and Storage of Photographs</t>
        </is>
      </c>
      <c r="C238" s="75" t="inlineStr">
        <is>
          <t>https://www.loc.gov/preservation/care/photolea.html</t>
        </is>
      </c>
      <c r="D238" s="75" t="inlineStr">
        <is>
          <t>Care and storage of photographic materials, including negatives</t>
        </is>
      </c>
      <c r="E238" s="75" t="inlineStr">
        <is>
          <t>Library of Congress preservation guidance</t>
        </is>
      </c>
    </row>
    <row r="239">
      <c r="A239" s="75" t="inlineStr">
        <is>
          <t>SRC-237</t>
        </is>
      </c>
      <c r="B239" s="75" t="inlineStr">
        <is>
          <t>ILFORD Photo — Shooting large format film</t>
        </is>
      </c>
      <c r="C239" s="75" t="inlineStr">
        <is>
          <t>https://www.ilfordphoto.com/shooting-large-format-film/</t>
        </is>
      </c>
      <c r="D239" s="75" t="inlineStr">
        <is>
          <t>Modern large-format workflow</t>
        </is>
      </c>
      <c r="E239" s="75" t="inlineStr">
        <is>
          <t>официальный образовательный материал ILFORD</t>
        </is>
      </c>
    </row>
    <row r="240">
      <c r="A240" t="inlineStr">
        <is>
          <t>SRC-238</t>
        </is>
      </c>
      <c r="B240" t="inlineStr">
        <is>
          <t>Wikipedia — Coincidence rangefinder</t>
        </is>
      </c>
      <c r="C240" t="inlineStr">
        <is>
          <t>https://en.wikipedia.org/wiki/Coincidence_rangefinder</t>
        </is>
      </c>
      <c r="D240" t="inlineStr">
        <is>
          <t>PL-HIST-0244 (флагман PL-024): триангуляция и эффективная база дальномера</t>
        </is>
      </c>
      <c r="E240" t="inlineStr">
        <is>
          <t>Общий образовательный источник (не производитель); проверено по содержанию статьи вручную</t>
        </is>
      </c>
    </row>
    <row r="241">
      <c r="A241" t="inlineStr">
        <is>
          <t>SRC-239</t>
        </is>
      </c>
      <c r="B241" t="inlineStr">
        <is>
          <t>Wikipedia — Pentaprism</t>
        </is>
      </c>
      <c r="C241" t="inlineStr">
        <is>
          <t>https://en.wikipedia.org/wiki/Pentaprism</t>
        </is>
      </c>
      <c r="D241" t="inlineStr">
        <is>
          <t>PL-HIST-0253 (PL-025): пентапризма исправляет зеркальный переворот кадра</t>
        </is>
      </c>
      <c r="E241" t="inlineStr">
        <is>
          <t>Общий образовательный источник (не производитель); проверено по содержанию статьи вручную</t>
        </is>
      </c>
    </row>
    <row r="242">
      <c r="A242" t="inlineStr">
        <is>
          <t>SRC-240</t>
        </is>
      </c>
      <c r="B242" t="inlineStr">
        <is>
          <t>Wikipedia — 120 film</t>
        </is>
      </c>
      <c r="C242" t="inlineStr">
        <is>
          <t>https://en.wikipedia.org/wiki/120_film</t>
        </is>
      </c>
      <c r="D242" t="inlineStr">
        <is>
          <t>PL-HIST-0275 (флагман PL-027): бумажная подложка и красное окошко для дневной зарядки</t>
        </is>
      </c>
      <c r="E242" t="inlineStr">
        <is>
          <t>Общий образовательный источник (не производитель); проверено по содержанию статьи вручную</t>
        </is>
      </c>
    </row>
    <row r="243">
      <c r="A243" t="inlineStr">
        <is>
          <t>SRC-241</t>
        </is>
      </c>
      <c r="B243" t="inlineStr">
        <is>
          <t>B&amp;H eXplora — Tips for Buying Your First Film Camera</t>
        </is>
      </c>
      <c r="C243" t="inlineStr">
        <is>
          <t>https://www.bhphotovideo.com/explora/photography/tips-and-solutions/tips-for-buying-your-first-film-camera</t>
        </is>
      </c>
      <c r="D243" t="inlineStr">
        <is>
          <t>Practical criteria for choosing a first film camera: SLR, compact, rangefinder; same film stock can be used across cameras</t>
        </is>
      </c>
      <c r="E243" t="inlineStr">
        <is>
          <t>профильный образовательный источник B&amp;H</t>
        </is>
      </c>
    </row>
    <row r="244">
      <c r="A244" t="inlineStr">
        <is>
          <t>SRC-242</t>
        </is>
      </c>
      <c r="B244" t="inlineStr">
        <is>
          <t>B&amp;H eXplora — Best Film and Camera Combos: A Guide for Beginners</t>
        </is>
      </c>
      <c r="C244" t="inlineStr">
        <is>
          <t>https://www.bhphotovideo.com/explora/videos/photography/best-film-and-camera-combos-a-guide-for-beginners</t>
        </is>
      </c>
      <c r="D244" t="inlineStr">
        <is>
          <t>Beginner-oriented combinations of film cameras and film stocks, including 35mm SLR and medium-format rangefinder</t>
        </is>
      </c>
      <c r="E244" t="inlineStr">
        <is>
          <t>профильный образовательный источник B&amp;H</t>
        </is>
      </c>
    </row>
    <row r="245">
      <c r="A245" t="inlineStr">
        <is>
          <t>SRC-243</t>
        </is>
      </c>
      <c r="B245" t="inlineStr">
        <is>
          <t>B&amp;H eXplora — Buying Guide for the Film Photography Student</t>
        </is>
      </c>
      <c r="C245" t="inlineStr">
        <is>
          <t>https://www.bhphotovideo.com/explora/photography/buying-guide/buying-guide-for-the-film-photography-student</t>
        </is>
      </c>
      <c r="D245" t="inlineStr">
        <is>
          <t>Film-student buying context: popularity, availability and cost of 35mm; manual 35mm SLR advice</t>
        </is>
      </c>
      <c r="E245" t="inlineStr">
        <is>
          <t>профильный образовательный источник B&amp;H</t>
        </is>
      </c>
    </row>
    <row r="246">
      <c r="A246" t="inlineStr">
        <is>
          <t>SRC-244</t>
        </is>
      </c>
      <c r="B246" t="inlineStr">
        <is>
          <t>ILFORD Photo — Beginner's Guide</t>
        </is>
      </c>
      <c r="C246" t="inlineStr">
        <is>
          <t>https://www.ilfordphoto.com/beginners-guide/</t>
        </is>
      </c>
      <c r="D246" t="inlineStr">
        <is>
          <t>Beginner guide including first film camera, film formats, ISO and darkroom/processing basics</t>
        </is>
      </c>
      <c r="E246" t="inlineStr">
        <is>
          <t>официальный образовательный материал ILFORD</t>
        </is>
      </c>
    </row>
    <row r="247">
      <c r="A247" t="inlineStr">
        <is>
          <t>SRC-245</t>
        </is>
      </c>
      <c r="B247" t="inlineStr">
        <is>
          <t>The Metropolitan Museum of Art — Henri Cartier-Bresson, Seville</t>
        </is>
      </c>
      <c r="C247" t="inlineStr">
        <is>
          <t>https://www.metmuseum.org/art/collection/search/283312</t>
        </is>
      </c>
      <c r="D247" t="inlineStr">
        <is>
          <t>Cartier-Bresson, Leica, composition and decisive-moment philosophy; photographer's recognition of event and form</t>
        </is>
      </c>
      <c r="E247" t="inlineStr">
        <is>
          <t>музейный источник The Met</t>
        </is>
      </c>
    </row>
    <row r="248">
      <c r="A248" t="inlineStr">
        <is>
          <t>SRC-246</t>
        </is>
      </c>
      <c r="B248" t="inlineStr">
        <is>
          <t>MoMA — Henri Cartier-Bresson, Seville, Spain, 1933</t>
        </is>
      </c>
      <c r="C248" t="inlineStr">
        <is>
          <t>https://www.moma.org/collection/works/49890</t>
        </is>
      </c>
      <c r="D248" t="inlineStr">
        <is>
          <t>MoMA object text on Cartier-Bresson and the decisive moment</t>
        </is>
      </c>
      <c r="E248" t="inlineStr">
        <is>
          <t>музейный источник MoMA</t>
        </is>
      </c>
    </row>
    <row r="249">
      <c r="A249" t="inlineStr">
        <is>
          <t>SRC-247</t>
        </is>
      </c>
      <c r="B249" t="inlineStr">
        <is>
          <t>SFMOMA — Henri Cartier-Bresson: The Modern Century</t>
        </is>
      </c>
      <c r="C249" t="inlineStr">
        <is>
          <t>https://www.sfmoma.org/exhibition/henri-cartier-bresson/</t>
        </is>
      </c>
      <c r="D249" t="inlineStr">
        <is>
          <t>Cartier-Bresson as innovative artist and trailblazing photojournalist; creative potential of modern photography</t>
        </is>
      </c>
      <c r="E249" t="inlineStr">
        <is>
          <t>музейный источник SFMOMA</t>
        </is>
      </c>
    </row>
    <row r="250">
      <c r="A250" t="inlineStr">
        <is>
          <t>SRC-248</t>
        </is>
      </c>
      <c r="B250" t="inlineStr">
        <is>
          <t>The Metropolitan Museum of Art — Faking It</t>
        </is>
      </c>
      <c r="C250" t="inlineStr">
        <is>
          <t>https://www.metmuseum.org/exhibitions/listings/2012/faking-it</t>
        </is>
      </c>
      <c r="D250" t="inlineStr">
        <is>
          <t>Photographic manipulation, staging, combination printing and the photographer's ability to shape reality</t>
        </is>
      </c>
      <c r="E250" t="inlineStr">
        <is>
          <t>музейный источник The Met</t>
        </is>
      </c>
    </row>
    <row r="251">
      <c r="A251" t="inlineStr">
        <is>
          <t>SRC-249</t>
        </is>
      </c>
      <c r="B251" t="inlineStr">
        <is>
          <t>International Center of Photography — Henri Cartier-Bresson</t>
        </is>
      </c>
      <c r="C251" t="inlineStr">
        <is>
          <t>https://www.icp.org/browse/archive/constituents/henri-cartier-bresson</t>
        </is>
      </c>
      <c r="D251" t="inlineStr">
        <is>
          <t>Cartier-Bresson and the decisive moment as ordering of world and meaning by a gifted photographer</t>
        </is>
      </c>
      <c r="E251" t="inlineStr">
        <is>
          <t>музейный / архивный источник ICP</t>
        </is>
      </c>
    </row>
    <row r="252">
      <c r="A252" t="inlineStr">
        <is>
          <t>SRC-250</t>
        </is>
      </c>
      <c r="B252" t="inlineStr">
        <is>
          <t>B&amp;H eXplora — Introduction to Learning Photography</t>
        </is>
      </c>
      <c r="C252" t="inlineStr">
        <is>
          <t>https://www.bhphotovideo.com/explora/photography/tips-and-solutions/introduction-to-learning-photography</t>
        </is>
      </c>
      <c r="D252" t="inlineStr">
        <is>
          <t>Learning photography: value of understanding camera technology, controls and how camera/lens record light</t>
        </is>
      </c>
      <c r="E252" t="inlineStr">
        <is>
          <t>профильный образовательный источник B&amp;H</t>
        </is>
      </c>
    </row>
    <row r="253">
      <c r="A253" t="inlineStr">
        <is>
          <t>SRC-251</t>
        </is>
      </c>
      <c r="B253" t="inlineStr">
        <is>
          <t>Canon Science Lab — Photographs</t>
        </is>
      </c>
      <c r="C253" t="inlineStr">
        <is>
          <t>https://global.canon/en/technology/s_labo/light/003/01.html</t>
        </is>
      </c>
      <c r="D253" t="inlineStr">
        <is>
          <t>Present-day cameras work on the camera obscura principle with lens, aperture ring, shutter and film/CCD</t>
        </is>
      </c>
      <c r="E253" t="inlineStr">
        <is>
          <t>официальный образовательный материал Canon</t>
        </is>
      </c>
    </row>
    <row r="254">
      <c r="A254" t="inlineStr">
        <is>
          <t>SRC-252</t>
        </is>
      </c>
      <c r="B254" t="inlineStr">
        <is>
          <t>Cambridge in Colour — Understanding Camera Lenses</t>
        </is>
      </c>
      <c r="C254" t="inlineStr">
        <is>
          <t>https://www.cambridgeincolour.com/tutorials/camera-lenses.htm</t>
        </is>
      </c>
      <c r="D254" t="inlineStr">
        <is>
          <t>Overview of focal length, perspective, prime/zoom, aperture and image quality</t>
        </is>
      </c>
      <c r="E254" t="inlineStr">
        <is>
          <t>профильный образовательный источник</t>
        </is>
      </c>
    </row>
    <row r="255">
      <c r="A255" t="inlineStr">
        <is>
          <t>SRC-253</t>
        </is>
      </c>
      <c r="B255" t="inlineStr">
        <is>
          <t>Nikon USA — Understanding Focal Length</t>
        </is>
      </c>
      <c r="C255" t="inlineStr">
        <is>
          <t>https://www.nikonusa.com/learn-and-explore/c/tips-and-techniques/understanding-focal-length</t>
        </is>
      </c>
      <c r="D255" t="inlineStr">
        <is>
          <t>Focal length determines angle of view and magnification; explanation for photographers</t>
        </is>
      </c>
      <c r="E255" t="inlineStr">
        <is>
          <t>официальный образовательный материал Nikon</t>
        </is>
      </c>
    </row>
    <row r="256">
      <c r="A256" t="inlineStr">
        <is>
          <t>SRC-254</t>
        </is>
      </c>
      <c r="B256" t="inlineStr">
        <is>
          <t>Canon — Interchangeable Lenses</t>
        </is>
      </c>
      <c r="C256" t="inlineStr">
        <is>
          <t>https://global.canon/en/technology/canon-tech/tech/iclenses/</t>
        </is>
      </c>
      <c r="D256" t="inlineStr">
        <is>
          <t>Focal length definition and Canon optical technologies for interchangeable lenses</t>
        </is>
      </c>
      <c r="E256" t="inlineStr">
        <is>
          <t>официальный образовательный материал Canon</t>
        </is>
      </c>
    </row>
    <row r="257">
      <c r="A257" t="inlineStr">
        <is>
          <t>SRC-255</t>
        </is>
      </c>
      <c r="B257" t="inlineStr">
        <is>
          <t>B&amp;H eXplora — How Your Digital Camera Works</t>
        </is>
      </c>
      <c r="C257" t="inlineStr">
        <is>
          <t>https://www.bhphotovideo.com/explora/photography/tips-and-solutions/how-your-digital-camera-works</t>
        </is>
      </c>
      <c r="D257" t="inlineStr">
        <is>
          <t>Lens elements focus light on image plane; diaphragm blades change aperture; shutter opens to expose image plane</t>
        </is>
      </c>
      <c r="E257" t="inlineStr">
        <is>
          <t>профильный образовательный источник B&amp;H</t>
        </is>
      </c>
    </row>
    <row r="258">
      <c r="A258" t="inlineStr">
        <is>
          <t>SRC-256</t>
        </is>
      </c>
      <c r="B258" t="inlineStr">
        <is>
          <t>Nikon USA — DSLR Lenses Overview</t>
        </is>
      </c>
      <c r="C258" t="inlineStr">
        <is>
          <t>https://www.nikonusa.com/c/lenses/dslr-lenses/overview</t>
        </is>
      </c>
      <c r="D258" t="inlineStr">
        <is>
          <t>Nikon lens basics: focal length, angle of view, magnification and DSLR lens context</t>
        </is>
      </c>
      <c r="E258" t="inlineStr">
        <is>
          <t>официальный образовательный материал Nikon</t>
        </is>
      </c>
    </row>
    <row r="259">
      <c r="A259" t="inlineStr">
        <is>
          <t>SRC-257</t>
        </is>
      </c>
      <c r="B259" t="inlineStr">
        <is>
          <t>B&amp;H eXplora — How Focus Works</t>
        </is>
      </c>
      <c r="C259" t="inlineStr">
        <is>
          <t>https://www.bhphotovideo.com/explora/photography/tips-and-solutions/how-focus-works</t>
        </is>
      </c>
      <c r="D259" t="inlineStr">
        <is>
          <t>Elements/groups and focusing group movement; focus ring changes where light converges</t>
        </is>
      </c>
      <c r="E259" t="inlineStr">
        <is>
          <t>профильный образовательный источник B&amp;H</t>
        </is>
      </c>
    </row>
    <row r="260">
      <c r="A260" t="inlineStr">
        <is>
          <t>SRC-258</t>
        </is>
      </c>
      <c r="B260" t="inlineStr">
        <is>
          <t>Canon Science Lab — Lens Coatings</t>
        </is>
      </c>
      <c r="C260" t="inlineStr">
        <is>
          <t>https://global.canon/en/technology/s_labo/light/003/03.html</t>
        </is>
      </c>
      <c r="D260" t="inlineStr">
        <is>
          <t>Lens coatings and how multiple elements reduce light transmission/reflections</t>
        </is>
      </c>
      <c r="E260" t="inlineStr">
        <is>
          <t>официальный образовательный материал Canon</t>
        </is>
      </c>
    </row>
    <row r="261">
      <c r="A261" t="inlineStr">
        <is>
          <t>SRC-259</t>
        </is>
      </c>
      <c r="B261" t="inlineStr">
        <is>
          <t>Nikon — NIKKOR Lens Glossary</t>
        </is>
      </c>
      <c r="C261" t="inlineStr">
        <is>
          <t>https://imaging.nikon.com/imaging/lineup/lens/glossary/</t>
        </is>
      </c>
      <c r="D261" t="inlineStr">
        <is>
          <t>Lens terms including focus ring, diaphragm blade unit, aperture control and lens mechanisms</t>
        </is>
      </c>
      <c r="E261" t="inlineStr">
        <is>
          <t>официальный справочник Nikon</t>
        </is>
      </c>
    </row>
    <row r="262">
      <c r="A262" t="inlineStr">
        <is>
          <t>SRC-260</t>
        </is>
      </c>
      <c r="B262" t="inlineStr">
        <is>
          <t>Canon Camera Museum — EF50mm f/1.8</t>
        </is>
      </c>
      <c r="C262" t="inlineStr">
        <is>
          <t>https://global.canon/en/c-museum/product/ef259.html</t>
        </is>
      </c>
      <c r="D262" t="inlineStr">
        <is>
          <t>Example lens specifications: 6 elements in 5 groups and diaphragm blades</t>
        </is>
      </c>
      <c r="E262" t="inlineStr">
        <is>
          <t>официальный Canon Camera Museum</t>
        </is>
      </c>
    </row>
    <row r="263">
      <c r="A263" t="inlineStr">
        <is>
          <t>SRC-261</t>
        </is>
      </c>
      <c r="B263" t="inlineStr">
        <is>
          <t>ZEISS — Classic Lenses</t>
        </is>
      </c>
      <c r="C263" t="inlineStr">
        <is>
          <t>https://www.zeiss.com/photonics-and-optics/en/photography/products/lenses-for-slr-cameras/classic-lenses.html</t>
        </is>
      </c>
      <c r="D263" t="inlineStr">
        <is>
          <t>Optical elements, T* anti-reflective coating and diaphragm blades as part of lens character</t>
        </is>
      </c>
      <c r="E263" t="inlineStr">
        <is>
          <t>официальный источник ZEISS</t>
        </is>
      </c>
    </row>
    <row r="264">
      <c r="A264" t="inlineStr">
        <is>
          <t>SRC-262</t>
        </is>
      </c>
      <c r="B264" t="inlineStr">
        <is>
          <t>Nikon — What's inside a Nikon Z mount camera lens?</t>
        </is>
      </c>
      <c r="C264" t="inlineStr">
        <is>
          <t>https://www.nikon.nl/nl_NL/learn-and-explore/magazine/gear/whats-inside-a-z-mount-camera-lens</t>
        </is>
      </c>
      <c r="D264" t="inlineStr">
        <is>
          <t>Inside modern lens: autofocus motors, aperture iris, VR system, optical elements and focusing on focal plane</t>
        </is>
      </c>
      <c r="E264" t="inlineStr">
        <is>
          <t>официальный образовательный материал Nikon</t>
        </is>
      </c>
    </row>
    <row r="265">
      <c r="A265" t="inlineStr">
        <is>
          <t>SRC-263</t>
        </is>
      </c>
      <c r="B265" t="inlineStr">
        <is>
          <t>Cambridge in Colour — Using Wide Angle Lenses</t>
        </is>
      </c>
      <c r="C265" t="inlineStr">
        <is>
          <t>https://www.cambridgeincolour.com/tutorials/wide-angle-lenses.htm</t>
        </is>
      </c>
      <c r="D265" t="inlineStr">
        <is>
          <t>Short focal lengths, wide angle of view and visual effects of wide-angle lenses</t>
        </is>
      </c>
      <c r="E265" t="inlineStr">
        <is>
          <t>профильный образовательный источник</t>
        </is>
      </c>
    </row>
    <row r="266">
      <c r="A266" t="inlineStr">
        <is>
          <t>SRC-264</t>
        </is>
      </c>
      <c r="B266" t="inlineStr">
        <is>
          <t>Cambridge in Colour — Using Telephoto Lenses</t>
        </is>
      </c>
      <c r="C266" t="inlineStr">
        <is>
          <t>https://www.cambridgeincolour.com/tutorials/telephoto-lenses.htm</t>
        </is>
      </c>
      <c r="D266" t="inlineStr">
        <is>
          <t>Telephoto focal lengths, narrow angle of view and the role of subject distance in perspective</t>
        </is>
      </c>
      <c r="E266" t="inlineStr">
        <is>
          <t>профильный образовательный источник</t>
        </is>
      </c>
    </row>
    <row r="267">
      <c r="A267" t="inlineStr">
        <is>
          <t>SRC-265</t>
        </is>
      </c>
      <c r="B267" t="inlineStr">
        <is>
          <t>Nikon UK — What is focal length?</t>
        </is>
      </c>
      <c r="C267" t="inlineStr">
        <is>
          <t>https://www.nikon.co.uk/en_GB/learn-and-explore/magazine/tips-and-tricks/what-is-focal-length-in-photography-a-guide-for-beginners</t>
        </is>
      </c>
      <c r="D267" t="inlineStr">
        <is>
          <t>Focal length explanation for beginners, field of view categories and storytelling use</t>
        </is>
      </c>
      <c r="E267" t="inlineStr">
        <is>
          <t>официальный образовательный материал Nikon</t>
        </is>
      </c>
    </row>
    <row r="268">
      <c r="A268" t="inlineStr">
        <is>
          <t>SRC-266</t>
        </is>
      </c>
      <c r="B268" t="inlineStr">
        <is>
          <t>Canon UK Store — How to Read a Canon Lens Name</t>
        </is>
      </c>
      <c r="C268" t="inlineStr">
        <is>
          <t>https://www.canon.co.uk/store/buying-guides/how-to-read-canon-lens/</t>
        </is>
      </c>
      <c r="D268" t="inlineStr">
        <is>
          <t>Lens name elements: mount, focal length, aperture and specific technologies</t>
        </is>
      </c>
      <c r="E268" t="inlineStr">
        <is>
          <t>официальный образовательный материал Canon</t>
        </is>
      </c>
    </row>
    <row r="269">
      <c r="A269" t="inlineStr">
        <is>
          <t>SRC-267</t>
        </is>
      </c>
      <c r="B269" t="inlineStr">
        <is>
          <t>Wikipedia — F-number</t>
        </is>
      </c>
      <c r="C269" t="inlineStr">
        <is>
          <t>https://en.wikipedia.org/wiki/F-number</t>
        </is>
      </c>
      <c r="D269" t="inlineStr">
        <is>
          <t>PL-HIST-0323 (PL-031): число f как отношение фокусного расстояния к диаметру диафрагмы</t>
        </is>
      </c>
      <c r="E269" t="inlineStr">
        <is>
          <t>Общий образовательный источник; исправление дубля ID из v0.18</t>
        </is>
      </c>
    </row>
    <row r="270">
      <c r="A270" t="inlineStr">
        <is>
          <t>SRC-268</t>
        </is>
      </c>
      <c r="B270" t="inlineStr">
        <is>
          <t>Cambridge in Colour — Using Wide Angle Lenses</t>
        </is>
      </c>
      <c r="C270" t="inlineStr">
        <is>
          <t>https://www.cambridgeincolour.com/tutorials/wide-angle-lenses.htm</t>
        </is>
      </c>
      <c r="D270" t="inlineStr">
        <is>
          <t>PL-034: wide-angle defined by short focal length and wide angle of view; tight spaces, foreground and perspective effects</t>
        </is>
      </c>
      <c r="E270" t="inlineStr">
        <is>
          <t>профильный образовательный источник</t>
        </is>
      </c>
    </row>
    <row r="271">
      <c r="A271" t="inlineStr">
        <is>
          <t>SRC-269</t>
        </is>
      </c>
      <c r="B271" t="inlineStr">
        <is>
          <t>Nikon — What is focal length?</t>
        </is>
      </c>
      <c r="C271" t="inlineStr">
        <is>
          <t>https://www.nikon.nl/nl_NL/learn-and-explore/magazine/tips-and-tricks/what-is-focal-length-in-photography-a-guide-for-beginners</t>
        </is>
      </c>
      <c r="D271" t="inlineStr">
        <is>
          <t>PL-034–PL-037: categories ultra-wide, wide, standard, telephoto; crop factor and common uses</t>
        </is>
      </c>
      <c r="E271" t="inlineStr">
        <is>
          <t>официальный образовательный материал Nikon</t>
        </is>
      </c>
    </row>
    <row r="272">
      <c r="A272" t="inlineStr">
        <is>
          <t>SRC-270</t>
        </is>
      </c>
      <c r="B272" t="inlineStr">
        <is>
          <t>Nikon Support — Choosing the right lenses: Perspective</t>
        </is>
      </c>
      <c r="C272" t="inlineStr">
        <is>
          <t>https://www.nikonimgsupport.com/na/NSG_article?articleNo=000047395&amp;configured=1&amp;lang=en_SG</t>
        </is>
      </c>
      <c r="D272" t="inlineStr">
        <is>
          <t>PL-034/PL-037: perspective is controlled by camera position, not focal length alone</t>
        </is>
      </c>
      <c r="E272" t="inlineStr">
        <is>
          <t>официальный Nikon support</t>
        </is>
      </c>
    </row>
    <row r="273">
      <c r="A273" t="inlineStr">
        <is>
          <t>SRC-271</t>
        </is>
      </c>
      <c r="B273" t="inlineStr">
        <is>
          <t>Cambridge in Colour — Using Tilt-Shift Lenses to Control Perspective</t>
        </is>
      </c>
      <c r="C273" t="inlineStr">
        <is>
          <t>https://www.cambridgeincolour.com/tutorials/tilt-shift-lenses1.htm</t>
        </is>
      </c>
      <c r="D273" t="inlineStr">
        <is>
          <t>PL-034: wide-angle architecture, viewpoint and shift as a way to control perspective</t>
        </is>
      </c>
      <c r="E273" t="inlineStr">
        <is>
          <t>профильный образовательный источник</t>
        </is>
      </c>
    </row>
    <row r="274">
      <c r="A274" t="inlineStr">
        <is>
          <t>SRC-272</t>
        </is>
      </c>
      <c r="B274" t="inlineStr">
        <is>
          <t>Leica — The 50 mm Elmar</t>
        </is>
      </c>
      <c r="C274" t="inlineStr">
        <is>
          <t>https://leica-camera.com/en-int/blog/photography/carl-merkin-50mm-elmar</t>
        </is>
      </c>
      <c r="D274" t="inlineStr">
        <is>
          <t>PL-035: Elmar 50mm f/3.5 and Leica I historical standard lens context</t>
        </is>
      </c>
      <c r="E274" t="inlineStr">
        <is>
          <t>официальный источник Leica</t>
        </is>
      </c>
    </row>
    <row r="275">
      <c r="A275" t="inlineStr">
        <is>
          <t>SRC-273</t>
        </is>
      </c>
      <c r="B275" t="inlineStr">
        <is>
          <t>Nikon — NIKKOR The Thousand and One Nights No.49</t>
        </is>
      </c>
      <c r="C275" t="inlineStr">
        <is>
          <t>https://imaging.nikon.com/imaging/information/story/0049/index.html</t>
        </is>
      </c>
      <c r="D275" t="inlineStr">
        <is>
          <t>PL-035: 5cm/50mm as normal lens for 35mm format; Barnack and Max Berek context</t>
        </is>
      </c>
      <c r="E275" t="inlineStr">
        <is>
          <t>официальный Nikon historical/technical article</t>
        </is>
      </c>
    </row>
    <row r="276">
      <c r="A276" t="inlineStr">
        <is>
          <t>SRC-274</t>
        </is>
      </c>
      <c r="B276" t="inlineStr">
        <is>
          <t>Nikon — AF-S NIKKOR 50mm f/1.8G</t>
        </is>
      </c>
      <c r="C276" t="inlineStr">
        <is>
          <t>https://imaging.nikon.com/imaging/lineup/lens/f-mount/singlefocal/normal/af-s_50mmf_18g/index.html</t>
        </is>
      </c>
      <c r="D276" t="inlineStr">
        <is>
          <t>PL-035: 50mm normal lens specifications and angle of view</t>
        </is>
      </c>
      <c r="E276" t="inlineStr">
        <is>
          <t>официальная страница Nikon</t>
        </is>
      </c>
    </row>
    <row r="277">
      <c r="A277" t="inlineStr">
        <is>
          <t>SRC-275</t>
        </is>
      </c>
      <c r="B277" t="inlineStr">
        <is>
          <t>Nikon — AF-S NIKKOR 50mm f/1.8G News Release</t>
        </is>
      </c>
      <c r="C277" t="inlineStr">
        <is>
          <t>https://www.nikon.com/company/news/2011/0427_af-s50mmf18g_01/</t>
        </is>
      </c>
      <c r="D277" t="inlineStr">
        <is>
          <t>PL-035: fast normal 50mm prime lens with f/1.8 maximum aperture</t>
        </is>
      </c>
      <c r="E277" t="inlineStr">
        <is>
          <t>официальный пресс-релиз Nikon</t>
        </is>
      </c>
    </row>
    <row r="278">
      <c r="A278" t="inlineStr">
        <is>
          <t>SRC-276</t>
        </is>
      </c>
      <c r="B278" t="inlineStr">
        <is>
          <t>Nikon — Portrait Photography Quickstart</t>
        </is>
      </c>
      <c r="C278" t="inlineStr">
        <is>
          <t>https://www.nikon.nl/nl_NL/learn-and-explore/magazine/nikon-quickstart/improve-your-portrait-photography-with-your-nikon-quickstart-cheat-sheet</t>
        </is>
      </c>
      <c r="D278" t="inlineStr">
        <is>
          <t>PL-036: classic portrait focal lengths 85/105/135mm and large aperture separation</t>
        </is>
      </c>
      <c r="E278" t="inlineStr">
        <is>
          <t>официальный образовательный материал Nikon</t>
        </is>
      </c>
    </row>
    <row r="279">
      <c r="A279" t="inlineStr">
        <is>
          <t>SRC-277</t>
        </is>
      </c>
      <c r="B279" t="inlineStr">
        <is>
          <t>B&amp;H eXplora — Top 10 Lenses for Shooting Pro-Caliber Portraits</t>
        </is>
      </c>
      <c r="C279" t="inlineStr">
        <is>
          <t>https://www.bhphotovideo.com/explora/photography/hands-on-review/top-10-lenses-for-shooting-pro-caliber-portraits</t>
        </is>
      </c>
      <c r="D279" t="inlineStr">
        <is>
          <t>PL-036: 85–105mm portrait lens range, working distance and perspective in close-ups</t>
        </is>
      </c>
      <c r="E279" t="inlineStr">
        <is>
          <t>профильный образовательный источник</t>
        </is>
      </c>
    </row>
    <row r="280">
      <c r="A280" t="inlineStr">
        <is>
          <t>SRC-278</t>
        </is>
      </c>
      <c r="B280" t="inlineStr">
        <is>
          <t>Nikon USA — NIKKOR Z 85mm f/1.8 S Overview</t>
        </is>
      </c>
      <c r="C280" t="inlineStr">
        <is>
          <t>https://www.nikonusa.com/p/nikkor-z-85mm-f18-s/20090/overview</t>
        </is>
      </c>
      <c r="D280" t="inlineStr">
        <is>
          <t>PL-036: 85mm as portrait/headshot/fashion/wedding lens example</t>
        </is>
      </c>
      <c r="E280" t="inlineStr">
        <is>
          <t>официальная страница Nikon USA</t>
        </is>
      </c>
    </row>
    <row r="281">
      <c r="A281" t="inlineStr">
        <is>
          <t>SRC-279</t>
        </is>
      </c>
      <c r="B281" t="inlineStr">
        <is>
          <t>Nikon — NIKKOR Z 85mm f/1.8 S News</t>
        </is>
      </c>
      <c r="C281" t="inlineStr">
        <is>
          <t>https://www.nikon.com/company/news/2019/0731_lens_01/</t>
        </is>
      </c>
      <c r="D281" t="inlineStr">
        <is>
          <t>PL-036: 85mm f/1.8 S as fast mid-telephoto prime for portrait work</t>
        </is>
      </c>
      <c r="E281" t="inlineStr">
        <is>
          <t>официальный пресс-релиз Nikon</t>
        </is>
      </c>
    </row>
    <row r="282">
      <c r="A282" t="inlineStr">
        <is>
          <t>SRC-280</t>
        </is>
      </c>
      <c r="B282" t="inlineStr">
        <is>
          <t>Cambridge in Colour — Using Telephoto Lenses</t>
        </is>
      </c>
      <c r="C282" t="inlineStr">
        <is>
          <t>https://www.cambridgeincolour.com/tutorials/telephoto-lenses.htm</t>
        </is>
      </c>
      <c r="D282" t="inlineStr">
        <is>
          <t>PL-037: telephoto lens, narrow angle of view, distance and apparent compression</t>
        </is>
      </c>
      <c r="E282" t="inlineStr">
        <is>
          <t>профильный образовательный источник</t>
        </is>
      </c>
    </row>
    <row r="283">
      <c r="A283" t="inlineStr">
        <is>
          <t>SRC-281</t>
        </is>
      </c>
      <c r="B283" t="inlineStr">
        <is>
          <t>Nikon USA — Understanding Maximum Aperture</t>
        </is>
      </c>
      <c r="C283" t="inlineStr">
        <is>
          <t>https://www.nikonusa.com/learn-and-explore/c/tips-and-techniques/understanding-maximum-aperture</t>
        </is>
      </c>
      <c r="D283" t="inlineStr">
        <is>
          <t>PL-038: maximum aperture, low f-stop, more light and faster shutter speeds</t>
        </is>
      </c>
      <c r="E283" t="inlineStr">
        <is>
          <t>официальный образовательный материал Nikon USA</t>
        </is>
      </c>
    </row>
    <row r="284">
      <c r="A284" t="inlineStr">
        <is>
          <t>SRC-282</t>
        </is>
      </c>
      <c r="B284" t="inlineStr">
        <is>
          <t>Nikon — What is aperture in photography?</t>
        </is>
      </c>
      <c r="C284" t="inlineStr">
        <is>
          <t>https://www.nikon.nl/nl_NL/learn-and-explore/magazine/tips-and-tricks/what-is-aperture</t>
        </is>
      </c>
      <c r="D284" t="inlineStr">
        <is>
          <t>PL-038/PL-039: aperture as adjustable lens opening; diaphragm blades; exposure triangle</t>
        </is>
      </c>
      <c r="E284" t="inlineStr">
        <is>
          <t>официальный образовательный материал Nikon</t>
        </is>
      </c>
    </row>
    <row r="285">
      <c r="A285" t="inlineStr">
        <is>
          <t>SRC-283</t>
        </is>
      </c>
      <c r="B285" t="inlineStr">
        <is>
          <t>B&amp;H eXplora — Aperture in Photography Defined</t>
        </is>
      </c>
      <c r="C285" t="inlineStr">
        <is>
          <t>https://www.bhphotovideo.com/explora/photography/tips-and-solutions/understanding-aperture</t>
        </is>
      </c>
      <c r="D285" t="inlineStr">
        <is>
          <t>PL-038/PL-039: f-stops, light quantity, aperture diaphragm and depth of field</t>
        </is>
      </c>
      <c r="E285" t="inlineStr">
        <is>
          <t>профильный образовательный источник</t>
        </is>
      </c>
    </row>
    <row r="286">
      <c r="A286" t="inlineStr">
        <is>
          <t>SRC-284</t>
        </is>
      </c>
      <c r="B286" t="inlineStr">
        <is>
          <t>B&amp;H eXplora — Exposure 101: Intro to Aperture</t>
        </is>
      </c>
      <c r="C286" t="inlineStr">
        <is>
          <t>https://www.bhphotovideo.com/explora/photography/tips-and-solutions/exposure-101-intro-to-aperture</t>
        </is>
      </c>
      <c r="D286" t="inlineStr">
        <is>
          <t>PL-039/PL-041: aperture as diaphragm-controlled opening and creative exposure control</t>
        </is>
      </c>
      <c r="E286" t="inlineStr">
        <is>
          <t>профильный образовательный источник</t>
        </is>
      </c>
    </row>
    <row r="287">
      <c r="A287" t="inlineStr">
        <is>
          <t>SRC-285</t>
        </is>
      </c>
      <c r="B287" t="inlineStr">
        <is>
          <t>B&amp;H eXplora — How Your Digital Camera Works</t>
        </is>
      </c>
      <c r="C287" t="inlineStr">
        <is>
          <t>https://www.bhphotovideo.com/explora/photography/tips-and-solutions/how-your-digital-camera-works</t>
        </is>
      </c>
      <c r="D287" t="inlineStr">
        <is>
          <t>PL-039: aperture blades inside the lens; shutter and image plane explanation</t>
        </is>
      </c>
      <c r="E287" t="inlineStr">
        <is>
          <t>профильный образовательный источник</t>
        </is>
      </c>
    </row>
    <row r="288">
      <c r="A288" t="inlineStr">
        <is>
          <t>SRC-286</t>
        </is>
      </c>
      <c r="B288" t="inlineStr">
        <is>
          <t>Nikon — NIKKOR Lens Glossary</t>
        </is>
      </c>
      <c r="C288" t="inlineStr">
        <is>
          <t>https://imaging.nikon.com/imaging/lineup/lens/glossary/</t>
        </is>
      </c>
      <c r="D288" t="inlineStr">
        <is>
          <t>PL-039: diaphragm blade unit and aperture control mechanisms in lenses</t>
        </is>
      </c>
      <c r="E288" t="inlineStr">
        <is>
          <t>официальный справочник Nikon</t>
        </is>
      </c>
    </row>
    <row r="289">
      <c r="A289" t="inlineStr">
        <is>
          <t>SRC-287</t>
        </is>
      </c>
      <c r="B289" t="inlineStr">
        <is>
          <t>Cambridge in Colour — Camera Exposure: Aperture, ISO &amp; Shutter Speed</t>
        </is>
      </c>
      <c r="C289" t="inlineStr">
        <is>
          <t>https://www.cambridgeincolour.com/tutorials/camera-exposure.htm</t>
        </is>
      </c>
      <c r="D289" t="inlineStr">
        <is>
          <t>PL-041: exposure triangle and relationship of aperture, ISO and shutter speed</t>
        </is>
      </c>
      <c r="E289" t="inlineStr">
        <is>
          <t>профильный образовательный источник</t>
        </is>
      </c>
    </row>
    <row r="290">
      <c r="A290" t="inlineStr">
        <is>
          <t>SRC-288</t>
        </is>
      </c>
      <c r="B290" t="inlineStr">
        <is>
          <t>Nikon USA — A Basic Look at the Basics of Exposure</t>
        </is>
      </c>
      <c r="C290" t="inlineStr">
        <is>
          <t>https://www.nikonusa.com/learn-and-explore/c/tips-and-techniques/a-basic-look-at-the-basics-of-exposure</t>
        </is>
      </c>
      <c r="D290" t="inlineStr">
        <is>
          <t>PL-041: relationship between aperture, shutter speed and ISO in making exposure</t>
        </is>
      </c>
      <c r="E290" t="inlineStr">
        <is>
          <t>официальный образовательный материал Nikon USA</t>
        </is>
      </c>
    </row>
    <row r="291">
      <c r="A291" t="inlineStr">
        <is>
          <t>SRC-289</t>
        </is>
      </c>
      <c r="B291" t="inlineStr">
        <is>
          <t>Nikon — Mastering the Exposure Triangle</t>
        </is>
      </c>
      <c r="C291" t="inlineStr">
        <is>
          <t>https://www.nikon.nl/nl_NL/learn-and-explore/magazine/tips-and-tricks/understanding-the-exposure-triangle</t>
        </is>
      </c>
      <c r="D291" t="inlineStr">
        <is>
          <t>PL-041: exposure triangle and balancing aperture, shutter speed and ISO</t>
        </is>
      </c>
      <c r="E291" t="inlineStr">
        <is>
          <t>официальный образовательный материал Nikon</t>
        </is>
      </c>
    </row>
    <row r="292">
      <c r="A292" t="inlineStr">
        <is>
          <t>SRC-290</t>
        </is>
      </c>
      <c r="B292" t="inlineStr">
        <is>
          <t>Canon Canada — Canon Outside of Auto: Photography 101</t>
        </is>
      </c>
      <c r="C292" t="inlineStr">
        <is>
          <t>https://www.canon.ca/CanonOutsideOfAuto/photography101</t>
        </is>
      </c>
      <c r="D292" t="inlineStr">
        <is>
          <t>PL-041: three elements that affect exposure — ISO, shutter speed and aperture</t>
        </is>
      </c>
      <c r="E292" t="inlineStr">
        <is>
          <t>официальный образовательный материал Canon</t>
        </is>
      </c>
    </row>
    <row r="293">
      <c r="A293" t="inlineStr">
        <is>
          <t>SRC-291</t>
        </is>
      </c>
      <c r="B293" t="inlineStr">
        <is>
          <t>B&amp;H eXplora — Exposure 101: An Intro to Exposure</t>
        </is>
      </c>
      <c r="C293" t="inlineStr">
        <is>
          <t>https://www.bhphotovideo.com/explora/photography/tips-and-solutions/exposure-101-an-intro-to-exposure</t>
        </is>
      </c>
      <c r="D293" t="inlineStr">
        <is>
          <t>PL-041: beginner exposure explanation and creative effect of controls</t>
        </is>
      </c>
      <c r="E293" t="inlineStr">
        <is>
          <t>профильный образовательный источник</t>
        </is>
      </c>
    </row>
    <row r="294">
      <c r="A294" t="inlineStr">
        <is>
          <t>SRC-292</t>
        </is>
      </c>
      <c r="B294" t="inlineStr">
        <is>
          <t>Nikon USA — Understanding ISO Sensitivity</t>
        </is>
      </c>
      <c r="C294" t="inlineStr">
        <is>
          <t>https://www.nikonusa.com/learn-and-explore/c/tips-and-techniques/understanding-iso-sensitivity</t>
        </is>
      </c>
      <c r="D294" t="inlineStr">
        <is>
          <t>PL-041: ISO changes required shutter speed/aperture relationship</t>
        </is>
      </c>
      <c r="E294" t="inlineStr">
        <is>
          <t>официальный образовательный материал Nikon USA</t>
        </is>
      </c>
    </row>
    <row r="295">
      <c r="A295" t="inlineStr">
        <is>
          <t>SRC-293</t>
        </is>
      </c>
      <c r="B295" t="inlineStr">
        <is>
          <t>Wikipedia — F-number</t>
        </is>
      </c>
      <c r="C295" t="inlineStr">
        <is>
          <t>https://en.wikipedia.org/wiki/F-number</t>
        </is>
      </c>
      <c r="D295" t="inlineStr">
        <is>
          <t>PL-HIST-0397 (PL-038): геометрия ряда диафрагм, шаг ×1.4 между стопами</t>
        </is>
      </c>
      <c r="E295" t="inlineStr">
        <is>
          <t>Общий образовательный источник; проверено по содержанию статьи вручную</t>
        </is>
      </c>
    </row>
    <row r="296">
      <c r="A296" t="inlineStr">
        <is>
          <t>SRC-294</t>
        </is>
      </c>
      <c r="B296" t="inlineStr">
        <is>
          <t>RP Photonics — Entrance and Exit Pupil</t>
        </is>
      </c>
      <c r="C296" t="inlineStr">
        <is>
          <t>https://www.rp-photonics.com/entrance_and_exit_pupil.html</t>
        </is>
      </c>
      <c r="D296" t="inlineStr">
        <is>
          <t>PL-HIST-0407 (флагман PL-039): входной зрачок vs физическое отверстие диафрагмы</t>
        </is>
      </c>
      <c r="E296" t="inlineStr">
        <is>
          <t>Технический образовательный источник; проверено по содержанию статьи вручную</t>
        </is>
      </c>
    </row>
    <row r="297">
      <c r="A297" t="inlineStr">
        <is>
          <t>SRC-295</t>
        </is>
      </c>
      <c r="B297" t="inlineStr">
        <is>
          <t>Wikipedia — Circle of confusion</t>
        </is>
      </c>
      <c r="C297" t="inlineStr">
        <is>
          <t>https://en.wikipedia.org/wiki/Circle_of_confusion</t>
        </is>
      </c>
      <c r="D297" t="inlineStr">
        <is>
          <t>PL-HIST-0410 (PL-039): механизм глубины резкости через круг размытия</t>
        </is>
      </c>
      <c r="E297" t="inlineStr">
        <is>
          <t>Общий образовательный источник; проверено по содержанию статьи вручную</t>
        </is>
      </c>
    </row>
    <row r="298">
      <c r="A298" t="inlineStr">
        <is>
          <t>SRC-296</t>
        </is>
      </c>
      <c r="B298" t="inlineStr">
        <is>
          <t>Nikon USA — What is Aperture?</t>
        </is>
      </c>
      <c r="C298" t="inlineStr">
        <is>
          <t>https://www.nikonusa.com/learn-and-explore/c/tips-and-techniques/what-is-aperture</t>
        </is>
      </c>
      <c r="D298" t="inlineStr">
        <is>
          <t>PL-042: aperture/f-stop, wide vs narrow aperture, depth of field</t>
        </is>
      </c>
      <c r="E298" t="inlineStr">
        <is>
          <t>официальный образовательный материал Nikon USA</t>
        </is>
      </c>
    </row>
    <row r="299">
      <c r="A299" t="inlineStr">
        <is>
          <t>SRC-297</t>
        </is>
      </c>
      <c r="B299" t="inlineStr">
        <is>
          <t>Canon U.S.A. — What Is Aperture Photography?</t>
        </is>
      </c>
      <c r="C299" t="inlineStr">
        <is>
          <t>https://www.usa.canon.com/learning/training-articles/training-articles-list/what-is-aperture</t>
        </is>
      </c>
      <c r="D299" t="inlineStr">
        <is>
          <t>PL-042: aperture as lens opening and depth-of-field control</t>
        </is>
      </c>
      <c r="E299" t="inlineStr">
        <is>
          <t>официальный образовательный материал Canon</t>
        </is>
      </c>
    </row>
    <row r="300">
      <c r="A300" t="inlineStr">
        <is>
          <t>SRC-298</t>
        </is>
      </c>
      <c r="B300" t="inlineStr">
        <is>
          <t>B&amp;H eXplora — Exposure 101: Intro to Aperture</t>
        </is>
      </c>
      <c r="C300" t="inlineStr">
        <is>
          <t>https://www.bhphotovideo.com/explora/photography/tips-and-solutions/exposure-101-intro-to-aperture</t>
        </is>
      </c>
      <c r="D300" t="inlineStr">
        <is>
          <t>PL-042: aperture exposure control and maximum aperture / lens speed</t>
        </is>
      </c>
      <c r="E300" t="inlineStr">
        <is>
          <t>профильный образовательный источник</t>
        </is>
      </c>
    </row>
    <row r="301">
      <c r="A301" t="inlineStr">
        <is>
          <t>SRC-299</t>
        </is>
      </c>
      <c r="B301" t="inlineStr">
        <is>
          <t>Cambridge in Colour — Camera Exposure: Aperture, ISO &amp; Shutter Speed</t>
        </is>
      </c>
      <c r="C301" t="inlineStr">
        <is>
          <t>https://www.cambridgeincolour.com/tutorials/camera-exposure.htm</t>
        </is>
      </c>
      <c r="D301" t="inlineStr">
        <is>
          <t>PL-042/PL-045/PL-046: exposure triangle, f-stop sequence, equivalent exposure</t>
        </is>
      </c>
      <c r="E301" t="inlineStr">
        <is>
          <t>профильный образовательный источник</t>
        </is>
      </c>
    </row>
    <row r="302">
      <c r="A302" t="inlineStr">
        <is>
          <t>SRC-300</t>
        </is>
      </c>
      <c r="B302" t="inlineStr">
        <is>
          <t>Nikon USA — Understanding Shutter Speed</t>
        </is>
      </c>
      <c r="C302" t="inlineStr">
        <is>
          <t>https://www.nikonusa.com/learn-and-explore/c/tips-and-techniques/understanding-shutter-speed</t>
        </is>
      </c>
      <c r="D302" t="inlineStr">
        <is>
          <t>PL-043: shutter speed as exposure time and motion control</t>
        </is>
      </c>
      <c r="E302" t="inlineStr">
        <is>
          <t>официальный образовательный материал Nikon USA</t>
        </is>
      </c>
    </row>
    <row r="303">
      <c r="A303" t="inlineStr">
        <is>
          <t>SRC-301</t>
        </is>
      </c>
      <c r="B303" t="inlineStr">
        <is>
          <t>Cambridge in Colour — Using Camera Shutter Speed Creatively</t>
        </is>
      </c>
      <c r="C303" t="inlineStr">
        <is>
          <t>https://www.cambridgeincolour.com/tutorials/camera-shutter-speed.htm</t>
        </is>
      </c>
      <c r="D303" t="inlineStr">
        <is>
          <t>PL-043: creative use of shutter speed, motion blur/freezing, long exposure</t>
        </is>
      </c>
      <c r="E303" t="inlineStr">
        <is>
          <t>профильный образовательный источник</t>
        </is>
      </c>
    </row>
    <row r="304">
      <c r="A304" t="inlineStr">
        <is>
          <t>SRC-302</t>
        </is>
      </c>
      <c r="B304" t="inlineStr">
        <is>
          <t>Nikon USA — Capturing or Freezing Motion in Photos</t>
        </is>
      </c>
      <c r="C304" t="inlineStr">
        <is>
          <t>https://www.nikonusa.com/learn-and-explore/c/tips-and-techniques/capturing-or-freezing-motion-in-photos</t>
        </is>
      </c>
      <c r="D304" t="inlineStr">
        <is>
          <t>PL-043: fast shutter, slow shutter, panning and motion representation</t>
        </is>
      </c>
      <c r="E304" t="inlineStr">
        <is>
          <t>официальный образовательный материал Nikon USA</t>
        </is>
      </c>
    </row>
    <row r="305">
      <c r="A305" t="inlineStr">
        <is>
          <t>SRC-303</t>
        </is>
      </c>
      <c r="B305" t="inlineStr">
        <is>
          <t>Nikon USA — Understanding ISO Sensitivity</t>
        </is>
      </c>
      <c r="C305" t="inlineStr">
        <is>
          <t>https://www.nikonusa.com/learn-and-explore/c/tips-and-techniques/understanding-iso-sensitivity</t>
        </is>
      </c>
      <c r="D305" t="inlineStr">
        <is>
          <t>PL-044/PL-045: ISO sensitivity, required light, shutter/aperture relationship</t>
        </is>
      </c>
      <c r="E305" t="inlineStr">
        <is>
          <t>официальный образовательный материал Nikon USA</t>
        </is>
      </c>
    </row>
    <row r="306">
      <c r="A306" t="inlineStr">
        <is>
          <t>SRC-304</t>
        </is>
      </c>
      <c r="B306" t="inlineStr">
        <is>
          <t>Nikon — What is ISO in photography?</t>
        </is>
      </c>
      <c r="C306" t="inlineStr">
        <is>
          <t>https://www.nikon.nl/nl_NL/learn-and-explore/magazine/tips-and-tricks/what-is-iso</t>
        </is>
      </c>
      <c r="D306" t="inlineStr">
        <is>
          <t>PL-044: ISO as part of exposure triangle; higher/lower ISO in practice</t>
        </is>
      </c>
      <c r="E306" t="inlineStr">
        <is>
          <t>официальный образовательный материал Nikon</t>
        </is>
      </c>
    </row>
    <row r="307">
      <c r="A307" t="inlineStr">
        <is>
          <t>SRC-305</t>
        </is>
      </c>
      <c r="B307" t="inlineStr">
        <is>
          <t>Canon U.S.A. — Photography Terms for Every New Photographer</t>
        </is>
      </c>
      <c r="C307" t="inlineStr">
        <is>
          <t>https://www.usa.canon.com/learning/training-articles/training-articles-list/10-photography-terms-every-new-photographer-needs-to-know</t>
        </is>
      </c>
      <c r="D307" t="inlineStr">
        <is>
          <t>PL-044/PL-045: aperture, shutter speed and ISO terminology; analog ISO as film sensitivity</t>
        </is>
      </c>
      <c r="E307" t="inlineStr">
        <is>
          <t>официальный образовательный материал Canon</t>
        </is>
      </c>
    </row>
    <row r="308">
      <c r="A308" t="inlineStr">
        <is>
          <t>SRC-306</t>
        </is>
      </c>
      <c r="B308" t="inlineStr">
        <is>
          <t>Nikon — Mastering the Exposure Triangle</t>
        </is>
      </c>
      <c r="C308" t="inlineStr">
        <is>
          <t>https://www.nikon.nl/nl_NL/learn-and-explore/magazine/tips-and-tricks/understanding-the-exposure-triangle</t>
        </is>
      </c>
      <c r="D308" t="inlineStr">
        <is>
          <t>PL-045: exposure triangle and balancing aperture, shutter speed and ISO</t>
        </is>
      </c>
      <c r="E308" t="inlineStr">
        <is>
          <t>официальный образовательный материал Nikon</t>
        </is>
      </c>
    </row>
    <row r="309">
      <c r="A309" t="inlineStr">
        <is>
          <t>SRC-307</t>
        </is>
      </c>
      <c r="B309" t="inlineStr">
        <is>
          <t>Canon Canada — Canon Outside of Auto: Photography 101</t>
        </is>
      </c>
      <c r="C309" t="inlineStr">
        <is>
          <t>https://www.canon.ca/CanonOutsideOfAuto/photography101</t>
        </is>
      </c>
      <c r="D309" t="inlineStr">
        <is>
          <t>PL-045: three exposure elements and balancing aperture/shutter/ISO</t>
        </is>
      </c>
      <c r="E309" t="inlineStr">
        <is>
          <t>официальный образовательный материал Canon Canada</t>
        </is>
      </c>
    </row>
    <row r="310">
      <c r="A310" t="inlineStr">
        <is>
          <t>SRC-308</t>
        </is>
      </c>
      <c r="B310" t="inlineStr">
        <is>
          <t>Canon Canada — Canon Outside of Auto: Tips</t>
        </is>
      </c>
      <c r="C310" t="inlineStr">
        <is>
          <t>https://www.canon.ca/CanonOutsideOfAuto/tips?lang=en</t>
        </is>
      </c>
      <c r="D310" t="inlineStr">
        <is>
          <t>PL-045/PL-046: one-stop compensation and relationship of aperture, shutter and ISO</t>
        </is>
      </c>
      <c r="E310" t="inlineStr">
        <is>
          <t>официальный образовательный материал Canon Canada</t>
        </is>
      </c>
    </row>
    <row r="311">
      <c r="A311" t="inlineStr">
        <is>
          <t>SRC-309</t>
        </is>
      </c>
      <c r="B311" t="inlineStr">
        <is>
          <t>B&amp;H eXplora — Exposure 101: An Intro to Exposure</t>
        </is>
      </c>
      <c r="C311" t="inlineStr">
        <is>
          <t>https://www.bhphotovideo.com/explora/photography/tips-and-solutions/exposure-101-an-intro-to-exposure</t>
        </is>
      </c>
      <c r="D311" t="inlineStr">
        <is>
          <t>PL-046: stop as doubling/halving light; exposure as creative control</t>
        </is>
      </c>
      <c r="E311" t="inlineStr">
        <is>
          <t>профильный образовательный источник</t>
        </is>
      </c>
    </row>
    <row r="312">
      <c r="A312" t="inlineStr">
        <is>
          <t>SRC-310</t>
        </is>
      </c>
      <c r="B312" t="inlineStr">
        <is>
          <t>Nikon USA — When to Use Graduated Neutral Density Filters</t>
        </is>
      </c>
      <c r="C312" t="inlineStr">
        <is>
          <t>https://www.nikonusa.com/learn-and-explore/c/tips-and-techniques/when-to-use-graduated-neutral-density-filters</t>
        </is>
      </c>
      <c r="D312" t="inlineStr">
        <is>
          <t>PL-046: photographers describe light in stops; full stop as double/half light; ND filters</t>
        </is>
      </c>
      <c r="E312" t="inlineStr">
        <is>
          <t>официальный образовательный материал Nikon USA</t>
        </is>
      </c>
    </row>
    <row r="313">
      <c r="A313" t="inlineStr">
        <is>
          <t>SRC-311</t>
        </is>
      </c>
      <c r="B313" t="inlineStr">
        <is>
          <t>B&amp;H eXplora — Exposure Compensation and How Do We Use It?</t>
        </is>
      </c>
      <c r="C313" t="inlineStr">
        <is>
          <t>https://www.bhphotovideo.com/explora/photography/tips-and-solutions/exposure-compensation-and-how-do-we-use-it</t>
        </is>
      </c>
      <c r="D313" t="inlineStr">
        <is>
          <t>PL-046: exposure compensation and EV/stop scale in practical shooting</t>
        </is>
      </c>
      <c r="E313" t="inlineStr">
        <is>
          <t>профильный образовательный источник</t>
        </is>
      </c>
    </row>
    <row r="314">
      <c r="A314" t="inlineStr">
        <is>
          <t>SRC-312</t>
        </is>
      </c>
      <c r="B314" t="inlineStr">
        <is>
          <t>Wikipedia — Waterhouse stop</t>
        </is>
      </c>
      <c r="C314" t="inlineStr">
        <is>
          <t>https://en.wikipedia.org/wiki/Waterhouse_stop</t>
        </is>
      </c>
      <c r="D314" t="inlineStr">
        <is>
          <t>PL-042: history of interchangeable aperture plates before iris diaphragm</t>
        </is>
      </c>
      <c r="E314" t="inlineStr">
        <is>
          <t>проверка исторического факта, замена дубля PL-HIST-0429</t>
        </is>
      </c>
    </row>
    <row r="315">
      <c r="A315" t="inlineStr">
        <is>
          <t>SRC-313</t>
        </is>
      </c>
      <c r="B315" t="inlineStr">
        <is>
          <t>Wikipedia — Focal-plane shutter</t>
        </is>
      </c>
      <c r="C315" t="inlineStr">
        <is>
          <t>https://en.wikipedia.org/wiki/Focal-plane_shutter</t>
        </is>
      </c>
      <c r="D315" t="inlineStr">
        <is>
          <t>PL-043: focal-plane shutter curtain mechanism and flash sync speed limit</t>
        </is>
      </c>
      <c r="E315" t="inlineStr">
        <is>
          <t>проверка технического факта, замена дубля PL-HIST-0440</t>
        </is>
      </c>
    </row>
    <row r="316">
      <c r="A316" t="inlineStr">
        <is>
          <t>SRC-314</t>
        </is>
      </c>
      <c r="B316" t="inlineStr">
        <is>
          <t>PetaPixel — ISO Has Nothing to Do with Exposure</t>
        </is>
      </c>
      <c r="C316" t="inlineStr">
        <is>
          <t>https://petapixel.com/2020/03/05/iso-has-nothing-to-do-with-exposure-an-explanation-for-beginners/</t>
        </is>
      </c>
      <c r="D316" t="inlineStr">
        <is>
          <t>PL-044: ISO as post-exposure signal gain, not sensor sensitivity</t>
        </is>
      </c>
      <c r="E316" t="inlineStr">
        <is>
          <t>проверка технического факта, замена дубля PL-HIST-0451</t>
        </is>
      </c>
    </row>
    <row r="317">
      <c r="A317" t="inlineStr">
        <is>
          <t>SRC-315</t>
        </is>
      </c>
      <c r="B317" t="inlineStr">
        <is>
          <t>FastRawViewer — The Unbearable Lightness of Mystic "Exposure" Triangle</t>
        </is>
      </c>
      <c r="C317" t="inlineStr">
        <is>
          <t>https://www.fastrawviewer.com/blog/mystic-exposure-triangle</t>
        </is>
      </c>
      <c r="D317" t="inlineStr">
        <is>
          <t>PL-045: critique of exposure triangle model, ISO invariance</t>
        </is>
      </c>
      <c r="E317" t="inlineStr">
        <is>
          <t>проверка технического факта, замена дубля PL-HIST-0462</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400"/>
  <sheetViews>
    <sheetView workbookViewId="0">
      <selection activeCell="A1" sqref="A1"/>
    </sheetView>
  </sheetViews>
  <sheetFormatPr baseColWidth="10" defaultColWidth="8.6640625" defaultRowHeight="13"/>
  <cols>
    <col width="13.6640625" customWidth="1" style="72" min="1" max="1"/>
    <col width="57.83203125" customWidth="1" style="72" min="2" max="2"/>
    <col width="14.6640625" customWidth="1" style="72" min="3" max="3"/>
    <col width="28" customWidth="1" style="72" min="4" max="4"/>
    <col width="8.1640625" customWidth="1" style="72" min="5" max="5"/>
    <col width="10.6640625" customWidth="1" style="72" min="6" max="6"/>
    <col width="30.6640625" customWidth="1" style="72" min="7" max="7"/>
    <col width="40.1640625" customWidth="1" style="72" min="8" max="8"/>
  </cols>
  <sheetData>
    <row r="1" ht="37" customHeight="1" s="72">
      <c r="A1" s="73" t="inlineStr">
        <is>
          <t>Точность даты</t>
        </is>
      </c>
      <c r="B1" s="73" t="inlineStr">
        <is>
          <t>Статус ветки</t>
        </is>
      </c>
      <c r="C1" s="73" t="inlineStr">
        <is>
          <t>Урок</t>
        </is>
      </c>
      <c r="D1" s="73" t="inlineStr">
        <is>
          <t>Ветка</t>
        </is>
      </c>
      <c r="E1" s="73" t="inlineStr">
        <is>
          <t>Важность</t>
        </is>
      </c>
      <c r="F1" s="73" t="inlineStr">
        <is>
          <t>Уверенность</t>
        </is>
      </c>
      <c r="G1" s="74" t="inlineStr">
        <is>
          <t>Тип узла</t>
        </is>
      </c>
      <c r="H1" s="74" t="inlineStr">
        <is>
          <t>Подветка (детали)</t>
        </is>
      </c>
    </row>
    <row r="2" ht="21" customHeight="1" s="72">
      <c r="A2" s="4" t="inlineStr">
        <is>
          <t>точная дата</t>
        </is>
      </c>
      <c r="B2" s="4" t="inlineStr">
        <is>
          <t>Временная доминирующая линия</t>
        </is>
      </c>
      <c r="C2" s="76" t="inlineStr">
        <is>
          <t>PL-001</t>
        </is>
      </c>
      <c r="D2" s="4" t="inlineStr">
        <is>
          <t>Оптика / камера-обскура</t>
        </is>
      </c>
      <c r="E2" s="4" t="n">
        <v>1</v>
      </c>
      <c r="F2" s="4" t="n">
        <v>1</v>
      </c>
      <c r="G2" s="8" t="inlineStr">
        <is>
          <t>Фундаментальная предпосылка</t>
        </is>
      </c>
      <c r="H2" s="8" t="inlineStr">
        <is>
          <t>Оптика / терминология</t>
        </is>
      </c>
    </row>
    <row r="3" ht="21" customHeight="1" s="72">
      <c r="A3" s="4" t="inlineStr">
        <is>
          <t>год</t>
        </is>
      </c>
      <c r="B3" s="4" t="inlineStr">
        <is>
          <t>Главная линия</t>
        </is>
      </c>
      <c r="C3" s="76" t="inlineStr">
        <is>
          <t>PL-002</t>
        </is>
      </c>
      <c r="D3" s="4" t="inlineStr">
        <is>
          <t>Оптические инструменты</t>
        </is>
      </c>
      <c r="E3" s="4" t="n">
        <v>2</v>
      </c>
      <c r="F3" s="4" t="n">
        <v>2</v>
      </c>
      <c r="G3" s="8" t="inlineStr">
        <is>
          <t>Технология / процесс</t>
        </is>
      </c>
      <c r="H3" s="8" t="inlineStr">
        <is>
          <t>Оптика / камера</t>
        </is>
      </c>
    </row>
    <row r="4" ht="21" customHeight="1" s="72">
      <c r="A4" s="4" t="inlineStr">
        <is>
          <t>примерно</t>
        </is>
      </c>
      <c r="B4" s="4" t="inlineStr">
        <is>
          <t>Главная линия / временная доминирующая линия</t>
        </is>
      </c>
      <c r="C4" s="76" t="inlineStr">
        <is>
          <t>PL-003</t>
        </is>
      </c>
      <c r="D4" s="4" t="inlineStr">
        <is>
          <t>Фотохимия</t>
        </is>
      </c>
      <c r="E4" s="4" t="n">
        <v>3</v>
      </c>
      <c r="F4" s="4" t="n">
        <v>3</v>
      </c>
      <c r="G4" s="8" t="inlineStr">
        <is>
          <t>Инструмент / устройство</t>
        </is>
      </c>
      <c r="H4" s="8" t="inlineStr">
        <is>
          <t>Оптические инструменты / 3D</t>
        </is>
      </c>
    </row>
    <row r="5" ht="21" customHeight="1" s="72">
      <c r="A5" s="4" t="inlineStr">
        <is>
          <t>диапазон</t>
        </is>
      </c>
      <c r="B5" s="4" t="inlineStr">
        <is>
          <t>Исторически важная ограниченная ветка</t>
        </is>
      </c>
      <c r="C5" s="76" t="inlineStr">
        <is>
          <t>PL-004</t>
        </is>
      </c>
      <c r="D5" s="4" t="inlineStr">
        <is>
          <t>Гелиография</t>
        </is>
      </c>
      <c r="E5" s="4" t="n">
        <v>4</v>
      </c>
      <c r="F5" s="4" t="n">
        <v>4</v>
      </c>
      <c r="G5" s="8" t="inlineStr">
        <is>
          <t>Публикация / объявление</t>
        </is>
      </c>
      <c r="H5" s="8" t="inlineStr">
        <is>
          <t>Фотохимия / фиксация</t>
        </is>
      </c>
    </row>
    <row r="6" ht="42" customHeight="1" s="72">
      <c r="A6" s="4" t="inlineStr">
        <is>
          <t>спорно/уточнить</t>
        </is>
      </c>
      <c r="B6" s="4" t="inlineStr">
        <is>
          <t>Исторически важная ограниченная ветка / художественное возрождение</t>
        </is>
      </c>
      <c r="C6" s="76" t="inlineStr">
        <is>
          <t>PL-005</t>
        </is>
      </c>
      <c r="D6" s="4" t="inlineStr">
        <is>
          <t>Дагеротип</t>
        </is>
      </c>
      <c r="E6" s="4" t="n">
        <v>5</v>
      </c>
      <c r="F6" s="4" t="n">
        <v>5</v>
      </c>
      <c r="G6" s="8" t="inlineStr">
        <is>
          <t>Терминология / язык</t>
        </is>
      </c>
      <c r="H6" s="8" t="inlineStr">
        <is>
          <t>Фотохимия / первая фиксация</t>
        </is>
      </c>
    </row>
    <row r="7" ht="42" customHeight="1" s="72">
      <c r="A7" s="4" t="n"/>
      <c r="B7" s="4" t="inlineStr">
        <is>
          <t>Оптическая предпосылка</t>
        </is>
      </c>
      <c r="C7" s="76" t="inlineStr">
        <is>
          <t>PL-006</t>
        </is>
      </c>
      <c r="D7" s="4" t="inlineStr">
        <is>
          <t>Фотогенный рисунок / фотограмма</t>
        </is>
      </c>
      <c r="E7" s="4" t="n"/>
      <c r="F7" s="4" t="n"/>
      <c r="G7" s="8" t="inlineStr">
        <is>
          <t>Связь / переход</t>
        </is>
      </c>
      <c r="H7" s="8" t="inlineStr">
        <is>
          <t>Фотохимия / публикация</t>
        </is>
      </c>
    </row>
    <row r="8" ht="21" customHeight="1" s="72">
      <c r="A8" s="4" t="n"/>
      <c r="B8" s="4" t="inlineStr">
        <is>
          <t>Переходная технология</t>
        </is>
      </c>
      <c r="C8" s="76" t="inlineStr">
        <is>
          <t>PL-007</t>
        </is>
      </c>
      <c r="D8" s="4" t="inlineStr">
        <is>
          <t>Негатив-позитив</t>
        </is>
      </c>
      <c r="E8" s="4" t="n"/>
      <c r="F8" s="4" t="n"/>
      <c r="G8" s="8" t="inlineStr">
        <is>
          <t>Тиражирование / публикация</t>
        </is>
      </c>
      <c r="H8" s="8" t="inlineStr">
        <is>
          <t>Фотохимия / первая фиксация</t>
        </is>
      </c>
    </row>
    <row r="9" ht="42" customHeight="1" s="72">
      <c r="A9" s="4" t="n"/>
      <c r="B9" s="4" t="inlineStr">
        <is>
          <t>Переходная технология / художественное возрождение</t>
        </is>
      </c>
      <c r="C9" s="76" t="inlineStr">
        <is>
          <t>PL-008</t>
        </is>
      </c>
      <c r="D9" s="4" t="inlineStr">
        <is>
          <t>Фиксаж / терминология</t>
        </is>
      </c>
      <c r="E9" s="4" t="n"/>
      <c r="F9" s="4" t="n"/>
      <c r="G9" s="8" t="inlineStr">
        <is>
          <t>Распространение / коммерциализация</t>
        </is>
      </c>
      <c r="H9" s="8" t="inlineStr">
        <is>
          <t>Первая фиксация / проблема постоянства</t>
        </is>
      </c>
    </row>
    <row r="10" ht="21" customHeight="1" s="72">
      <c r="A10" s="4" t="n"/>
      <c r="B10" s="4" t="inlineStr">
        <is>
          <t>Тупиковая / не получила развития</t>
        </is>
      </c>
      <c r="C10" s="76" t="inlineStr">
        <is>
          <t>PL-009</t>
        </is>
      </c>
      <c r="D10" s="4" t="inlineStr">
        <is>
          <t>Печать / тиражирование</t>
        </is>
      </c>
      <c r="E10" s="4" t="n"/>
      <c r="F10" s="4" t="n"/>
      <c r="G10" s="8" t="inlineStr">
        <is>
          <t>Научное применение / пример</t>
        </is>
      </c>
      <c r="H10" s="8" t="inlineStr">
        <is>
          <t>Гелиография / первая сохранившаяся фотография</t>
        </is>
      </c>
    </row>
    <row r="11" ht="21" customHeight="1" s="72">
      <c r="A11" s="4" t="n"/>
      <c r="B11" s="4" t="inlineStr">
        <is>
          <t>Оптическая предпосылка</t>
        </is>
      </c>
      <c r="C11" s="76" t="inlineStr">
        <is>
          <t>PL-010</t>
        </is>
      </c>
      <c r="D11" s="4" t="inlineStr">
        <is>
          <t>Мокрый коллодий</t>
        </is>
      </c>
      <c r="E11" s="4" t="n"/>
      <c r="F11" s="4" t="n"/>
      <c r="G11" s="8" t="inlineStr">
        <is>
          <t>Применение / жанр</t>
        </is>
      </c>
      <c r="H11" s="8" t="inlineStr">
        <is>
          <t>Передача идеи / развитие процесса</t>
        </is>
      </c>
    </row>
    <row r="12" ht="21" customHeight="1" s="72">
      <c r="A12" s="4" t="n"/>
      <c r="B12" s="4" t="inlineStr">
        <is>
          <t>Главная линия / ранний связанный дальномер</t>
        </is>
      </c>
      <c r="C12" s="76" t="inlineStr">
        <is>
          <t>PL-011</t>
        </is>
      </c>
      <c r="D12" s="4" t="inlineStr">
        <is>
          <t>Уникальный позитив</t>
        </is>
      </c>
      <c r="E12" s="4" t="n"/>
      <c r="F12" s="4" t="n"/>
      <c r="G12" s="8" t="inlineStr">
        <is>
          <t>Ключевой исторический узел</t>
        </is>
      </c>
      <c r="H12" s="8" t="inlineStr">
        <is>
          <t>Дагеротип / публичное объявление</t>
        </is>
      </c>
    </row>
    <row r="13" ht="21" customHeight="1" s="72">
      <c r="A13" s="4" t="n"/>
      <c r="B13" s="4" t="inlineStr">
        <is>
          <t>Главная линия</t>
        </is>
      </c>
      <c r="C13" s="76" t="inlineStr">
        <is>
          <t>PL-012</t>
        </is>
      </c>
      <c r="D13" s="4" t="inlineStr">
        <is>
          <t>Цвет</t>
        </is>
      </c>
      <c r="E13" s="4" t="n"/>
      <c r="F13" s="4" t="n"/>
      <c r="G13" s="8" t="n"/>
      <c r="H13" s="8" t="inlineStr">
        <is>
          <t>Дагеротип / распространение</t>
        </is>
      </c>
    </row>
    <row r="14" ht="21" customHeight="1" s="72">
      <c r="A14" s="4" t="n"/>
      <c r="B14" s="4" t="inlineStr">
        <is>
          <t>Терминология / язык</t>
        </is>
      </c>
      <c r="C14" s="76" t="inlineStr">
        <is>
          <t>PL-013</t>
        </is>
      </c>
      <c r="D14" s="4" t="inlineStr">
        <is>
          <t>Проекция / распространение</t>
        </is>
      </c>
      <c r="E14" s="4" t="n"/>
      <c r="F14" s="4" t="n"/>
      <c r="G14" s="8" t="n"/>
      <c r="H14" s="8" t="inlineStr">
        <is>
          <t>Фотогенный рисунок / публикация</t>
        </is>
      </c>
    </row>
    <row r="15" ht="20" customHeight="1" s="72">
      <c r="A15" s="4" t="n"/>
      <c r="B15" s="4" t="inlineStr">
        <is>
          <t>Распространение / коммерциализация</t>
        </is>
      </c>
      <c r="C15" s="76" t="inlineStr">
        <is>
          <t>PL-014</t>
        </is>
      </c>
      <c r="D15" s="4" t="n"/>
      <c r="E15" s="4" t="n"/>
      <c r="F15" s="4" t="n"/>
      <c r="G15" s="8" t="n"/>
      <c r="H15" s="8" t="inlineStr">
        <is>
          <t>Негатив-позитив / проявление</t>
        </is>
      </c>
    </row>
    <row r="16" ht="20" customHeight="1" s="72">
      <c r="A16" s="4" t="n"/>
      <c r="B16" s="4" t="inlineStr">
        <is>
          <t>Главная линия / пользовательское удобство</t>
        </is>
      </c>
      <c r="C16" s="76" t="inlineStr">
        <is>
          <t>PL-015</t>
        </is>
      </c>
      <c r="D16" s="4" t="n"/>
      <c r="E16" s="4" t="n"/>
      <c r="F16" s="4" t="n"/>
      <c r="G16" s="8" t="n"/>
      <c r="H16" s="8" t="inlineStr">
        <is>
          <t>Научная фотография</t>
        </is>
      </c>
    </row>
    <row r="17" ht="20" customHeight="1" s="72">
      <c r="A17" s="4" t="n"/>
      <c r="B17" s="4" t="inlineStr">
        <is>
          <t>Применение / жанр</t>
        </is>
      </c>
      <c r="C17" s="76" t="inlineStr">
        <is>
          <t>PL-016</t>
        </is>
      </c>
      <c r="D17" s="4" t="n"/>
      <c r="E17" s="4" t="n"/>
      <c r="F17" s="4" t="n"/>
      <c r="G17" s="8" t="n"/>
      <c r="H17" s="8" t="inlineStr">
        <is>
          <t>Цианотипия</t>
        </is>
      </c>
    </row>
    <row r="18" ht="20" customHeight="1" s="72">
      <c r="A18" s="4" t="n"/>
      <c r="B18" s="4" t="inlineStr">
        <is>
          <t>Связь / переход</t>
        </is>
      </c>
      <c r="C18" s="76" t="inlineStr">
        <is>
          <t>PL-017</t>
        </is>
      </c>
      <c r="D18" s="4" t="n"/>
      <c r="E18" s="4" t="n"/>
      <c r="F18" s="4" t="n"/>
      <c r="G18" s="8" t="n"/>
      <c r="H18" s="8" t="inlineStr">
        <is>
          <t>Фотокнига / научная документация</t>
        </is>
      </c>
    </row>
    <row r="19" ht="20" customHeight="1" s="72">
      <c r="A19" s="4" t="n"/>
      <c r="B19" s="4" t="inlineStr">
        <is>
          <t>Главная линия / экспозиционный контроль</t>
        </is>
      </c>
      <c r="C19" s="4" t="inlineStr">
        <is>
          <t>PL-018</t>
        </is>
      </c>
      <c r="D19" s="4" t="n"/>
      <c r="E19" s="4" t="n"/>
      <c r="F19" s="4" t="n"/>
      <c r="G19" s="8" t="n"/>
      <c r="H19" s="8" t="inlineStr">
        <is>
          <t>Фотокнига / тиражирование</t>
        </is>
      </c>
    </row>
    <row r="20" ht="20" customHeight="1" s="72">
      <c r="A20" s="4" t="n"/>
      <c r="B20" s="4" t="inlineStr">
        <is>
          <t>Главная линия / профессиональная система</t>
        </is>
      </c>
      <c r="C20" s="4" t="inlineStr">
        <is>
          <t>PL-019</t>
        </is>
      </c>
      <c r="D20" s="4" t="n"/>
      <c r="E20" s="4" t="n"/>
      <c r="F20" s="4" t="n"/>
      <c r="G20" s="8" t="n"/>
      <c r="H20" s="8" t="inlineStr">
        <is>
          <t>Научная / медицинская фотография</t>
        </is>
      </c>
    </row>
    <row r="21" ht="20" customHeight="1" s="72">
      <c r="A21" s="4" t="n"/>
      <c r="B21" s="4" t="inlineStr">
        <is>
          <t>Главная линия / автоматизация SLR</t>
        </is>
      </c>
      <c r="C21" s="4" t="inlineStr">
        <is>
          <t>PL-020</t>
        </is>
      </c>
      <c r="D21" s="4" t="n"/>
      <c r="E21" s="4" t="n"/>
      <c r="F21" s="4" t="n"/>
      <c r="G21" s="8" t="n"/>
      <c r="H21" s="8" t="inlineStr">
        <is>
          <t>Мокрый коллодий / распространение</t>
        </is>
      </c>
    </row>
    <row r="22" ht="20" customHeight="1" s="72">
      <c r="A22" s="4" t="n"/>
      <c r="B22" s="4" t="inlineStr">
        <is>
          <t>Главная линия / компактность</t>
        </is>
      </c>
      <c r="C22" s="4" t="inlineStr">
        <is>
          <t>PL-021</t>
        </is>
      </c>
      <c r="D22" s="4" t="n"/>
      <c r="E22" s="4" t="n"/>
      <c r="F22" s="4" t="n"/>
      <c r="G22" s="8" t="n"/>
      <c r="H22" s="8" t="inlineStr">
        <is>
          <t>Мокрый коллодий / химия</t>
        </is>
      </c>
    </row>
    <row r="23" ht="20" customHeight="1" s="72">
      <c r="A23" s="4" t="n"/>
      <c r="B23" s="4" t="inlineStr">
        <is>
          <t>Главная линия / автофокусный компакт</t>
        </is>
      </c>
      <c r="C23" s="4" t="inlineStr">
        <is>
          <t>PL-022</t>
        </is>
      </c>
      <c r="D23" s="4" t="n"/>
      <c r="E23" s="4" t="n"/>
      <c r="F23" s="4" t="n"/>
      <c r="G23" s="8" t="n"/>
      <c r="H23" s="8" t="inlineStr">
        <is>
          <t>Мокрый коллодий / камера</t>
        </is>
      </c>
    </row>
    <row r="24" ht="20" customHeight="1" s="72">
      <c r="A24" s="4" t="n"/>
      <c r="B24" s="4" t="inlineStr">
        <is>
          <t>Главная линия / автоматический compact</t>
        </is>
      </c>
      <c r="C24" s="4" t="inlineStr">
        <is>
          <t>PL-023</t>
        </is>
      </c>
      <c r="D24" s="4" t="n"/>
      <c r="E24" s="4" t="n"/>
      <c r="F24" s="4" t="n"/>
      <c r="G24" s="8" t="n"/>
      <c r="H24" s="8" t="inlineStr">
        <is>
          <t>Уникальный позитив / мокрый коллодий</t>
        </is>
      </c>
    </row>
    <row r="25" ht="20" customHeight="1" s="72">
      <c r="A25" s="4" t="n"/>
      <c r="B25" s="4" t="inlineStr">
        <is>
          <t>Главная линия / премиальный компакт</t>
        </is>
      </c>
      <c r="C25" s="4" t="inlineStr">
        <is>
          <t>PL-024</t>
        </is>
      </c>
      <c r="D25" s="4" t="n"/>
      <c r="E25" s="4" t="n"/>
      <c r="F25" s="4" t="n"/>
      <c r="G25" s="8" t="n"/>
      <c r="H25" s="8" t="inlineStr">
        <is>
          <t>Мокрый коллодий + печать</t>
        </is>
      </c>
    </row>
    <row r="26" ht="20" customHeight="1" s="72">
      <c r="A26" s="4" t="n"/>
      <c r="B26" s="4" t="inlineStr">
        <is>
          <t>Главная линия / потребительская автоматизация</t>
        </is>
      </c>
      <c r="C26" s="4" t="inlineStr">
        <is>
          <t>PL-025</t>
        </is>
      </c>
      <c r="D26" s="4" t="n"/>
      <c r="E26" s="4" t="n"/>
      <c r="F26" s="4" t="n"/>
      <c r="G26" s="8" t="n"/>
      <c r="H26" s="8" t="inlineStr">
        <is>
          <t>Уникальный позитив / массовый портрет</t>
        </is>
      </c>
    </row>
    <row r="27" ht="20" customHeight="1" s="72">
      <c r="A27" s="4" t="n"/>
      <c r="B27" s="4" t="inlineStr">
        <is>
          <t>Главная линия / модульная система</t>
        </is>
      </c>
      <c r="C27" s="4" t="inlineStr">
        <is>
          <t>PL-026</t>
        </is>
      </c>
      <c r="D27" s="4" t="n"/>
      <c r="E27" s="4" t="n"/>
      <c r="F27" s="4" t="n"/>
      <c r="G27" s="8" t="n"/>
      <c r="H27" s="8" t="inlineStr">
        <is>
          <t>Сухие желатиновые пластины / химия</t>
        </is>
      </c>
    </row>
    <row r="28" ht="20" customHeight="1" s="72">
      <c r="A28" s="4" t="n"/>
      <c r="B28" s="4" t="inlineStr">
        <is>
          <t>Главная линия / студийный средний формат</t>
        </is>
      </c>
      <c r="C28" s="4" t="inlineStr">
        <is>
          <t>PL-027</t>
        </is>
      </c>
      <c r="D28" s="4" t="n"/>
      <c r="E28" s="4" t="n"/>
      <c r="F28" s="4" t="n"/>
      <c r="G28" s="8" t="n"/>
      <c r="H28" s="8" t="inlineStr">
        <is>
          <t>Сухие желатиновые пластины / коммерциализация</t>
        </is>
      </c>
    </row>
    <row r="29" ht="20" customHeight="1" s="72">
      <c r="A29" s="4" t="n"/>
      <c r="B29" s="4" t="inlineStr">
        <is>
          <t>Главная линия / среднеформатная SLR</t>
        </is>
      </c>
      <c r="C29" s="4" t="inlineStr">
        <is>
          <t>PL-028</t>
        </is>
      </c>
      <c r="D29" s="4" t="n"/>
      <c r="E29" s="4" t="n"/>
      <c r="F29" s="4" t="n"/>
      <c r="G29" s="8" t="n"/>
      <c r="H29" s="8" t="inlineStr">
        <is>
          <t>Сухие желатиновые пластины / повышение чувствительности</t>
        </is>
      </c>
    </row>
    <row r="30" ht="20" customHeight="1" s="72">
      <c r="A30" s="4" t="n"/>
      <c r="B30" s="4" t="inlineStr">
        <is>
          <t>Главная линия / мобильный средний формат</t>
        </is>
      </c>
      <c r="C30" s="4" t="inlineStr">
        <is>
          <t>PL-029</t>
        </is>
      </c>
      <c r="D30" s="4" t="n"/>
      <c r="E30" s="4" t="n"/>
      <c r="F30" s="4" t="n"/>
      <c r="G30" s="8" t="n"/>
      <c r="H30" s="8" t="inlineStr">
        <is>
          <t>Сухие желатиновые пластины / переход от мокрого коллодия</t>
        </is>
      </c>
    </row>
    <row r="31" ht="20" customHeight="1" s="72">
      <c r="A31" s="4" t="n"/>
      <c r="B31" s="4" t="inlineStr">
        <is>
          <t>Главная линия / печать и детализация</t>
        </is>
      </c>
      <c r="C31" s="4" t="inlineStr">
        <is>
          <t>PL-030</t>
        </is>
      </c>
      <c r="D31" s="4" t="n"/>
      <c r="E31" s="4" t="n"/>
      <c r="F31" s="4" t="n"/>
      <c r="G31" s="8" t="n"/>
      <c r="H31" s="8" t="inlineStr">
        <is>
          <t>Сухие желатиновые пластины / скорость и движение</t>
        </is>
      </c>
    </row>
    <row r="32" ht="20" customHeight="1" s="72">
      <c r="A32" s="4" t="n"/>
      <c r="B32" s="4" t="inlineStr">
        <is>
          <t>Главная линия / контроль перспективы</t>
        </is>
      </c>
      <c r="C32" s="4" t="inlineStr">
        <is>
          <t>PL-031</t>
        </is>
      </c>
      <c r="D32" s="4" t="n"/>
      <c r="E32" s="4" t="n"/>
      <c r="F32" s="4" t="n"/>
      <c r="G32" s="8" t="n"/>
      <c r="H32" s="8" t="inlineStr">
        <is>
          <t>Сухие желатиновые пластины / американская индустрия</t>
        </is>
      </c>
    </row>
    <row r="33" ht="20" customHeight="1" s="72">
      <c r="A33" s="4" t="n"/>
      <c r="B33" s="4" t="inlineStr">
        <is>
          <t>Главная линия / контроль фокуса</t>
        </is>
      </c>
      <c r="C33" s="4" t="inlineStr">
        <is>
          <t>PL-032</t>
        </is>
      </c>
      <c r="D33" s="4" t="n"/>
      <c r="E33" s="4" t="n"/>
      <c r="F33" s="4" t="n"/>
      <c r="G33" s="8" t="n"/>
      <c r="H33" s="8" t="inlineStr">
        <is>
          <t>Сухие желатиновые пластины / бизнес и масштабирование</t>
        </is>
      </c>
    </row>
    <row r="34" ht="20" customHeight="1" s="72">
      <c r="A34" s="4" t="n"/>
      <c r="B34" s="4" t="inlineStr">
        <is>
          <t>Главная линия / техническая камера</t>
        </is>
      </c>
      <c r="C34" s="4" t="inlineStr">
        <is>
          <t>PL-033</t>
        </is>
      </c>
      <c r="D34" s="4" t="n"/>
      <c r="E34" s="4" t="n"/>
      <c r="F34" s="4" t="n"/>
      <c r="G34" s="8" t="n"/>
      <c r="H34" s="8" t="inlineStr">
        <is>
          <t>Сухие желатиновые пластины / доминирующая практика</t>
        </is>
      </c>
    </row>
    <row r="35" ht="20" customHeight="1" s="72">
      <c r="A35" s="4" t="n"/>
      <c r="B35" s="4" t="inlineStr">
        <is>
          <t>Научное применение / пример</t>
        </is>
      </c>
      <c r="C35" s="4" t="inlineStr">
        <is>
          <t>PL-034</t>
        </is>
      </c>
      <c r="D35" s="4" t="n"/>
      <c r="E35" s="4" t="n"/>
      <c r="F35" s="4" t="n"/>
      <c r="G35" s="8" t="n"/>
      <c r="H35" s="8" t="inlineStr">
        <is>
          <t>Сухие желатиновые пластины / мобильность</t>
        </is>
      </c>
    </row>
    <row r="36" ht="20" customHeight="1" s="72">
      <c r="A36" s="4" t="n"/>
      <c r="B36" s="4" t="inlineStr">
        <is>
          <t>Исторически важная ограниченная ветка / художественное возрождение</t>
        </is>
      </c>
      <c r="C36" s="4" t="inlineStr">
        <is>
          <t>PL-035</t>
        </is>
      </c>
      <c r="D36" s="4" t="n"/>
      <c r="E36" s="4" t="n"/>
      <c r="F36" s="4" t="n"/>
      <c r="G36" s="8" t="n"/>
      <c r="H36" s="8" t="inlineStr">
        <is>
          <t>Сухие желатиновые пластины / мост к плёнке</t>
        </is>
      </c>
    </row>
    <row r="37" ht="20" customHeight="1" s="72">
      <c r="A37" s="4" t="n"/>
      <c r="B37" s="4" t="inlineStr">
        <is>
          <t>Главная линия / проверка перед покупкой</t>
        </is>
      </c>
      <c r="C37" s="4" t="inlineStr">
        <is>
          <t>PL-036</t>
        </is>
      </c>
      <c r="D37" s="4" t="n"/>
      <c r="E37" s="4" t="n"/>
      <c r="F37" s="4" t="n"/>
      <c r="G37" s="8" t="n"/>
      <c r="H37" s="8" t="inlineStr">
        <is>
          <t>Рулонная плёнка / бизнес-переход</t>
        </is>
      </c>
    </row>
    <row r="38" ht="20" customHeight="1" s="72">
      <c r="A38" s="4" t="n"/>
      <c r="B38" s="4" t="inlineStr">
        <is>
          <t>Главная линия / учебная камера</t>
        </is>
      </c>
      <c r="C38" s="4" t="inlineStr">
        <is>
          <t>PL-037</t>
        </is>
      </c>
      <c r="D38" s="4" t="n"/>
      <c r="E38" s="4" t="n"/>
      <c r="F38" s="4" t="n"/>
      <c r="G38" s="8" t="n"/>
      <c r="H38" s="8" t="inlineStr">
        <is>
          <t>Рулонная плёнка / держатель</t>
        </is>
      </c>
    </row>
    <row r="39" ht="14" customHeight="1" s="72">
      <c r="A39" s="8" t="n"/>
      <c r="B39" s="8" t="inlineStr">
        <is>
          <t>Главная линия / осознанный выбор</t>
        </is>
      </c>
      <c r="C39" s="8" t="inlineStr">
        <is>
          <t>PL-038</t>
        </is>
      </c>
      <c r="D39" s="8" t="n"/>
      <c r="E39" s="8" t="n"/>
      <c r="F39" s="8" t="n"/>
      <c r="G39" s="8" t="n"/>
      <c r="H39" s="8" t="inlineStr">
        <is>
          <t>Рулонная плёнка / бумажная основа</t>
        </is>
      </c>
    </row>
    <row r="40" ht="14" customHeight="1" s="72">
      <c r="A40" s="8" t="n"/>
      <c r="B40" s="8" t="inlineStr">
        <is>
          <t>Главная линия / простота входа</t>
        </is>
      </c>
      <c r="C40" s="8" t="inlineStr">
        <is>
          <t>PL-039</t>
        </is>
      </c>
      <c r="D40" s="8" t="n"/>
      <c r="E40" s="8" t="n"/>
      <c r="F40" s="8" t="n"/>
      <c r="G40" s="8" t="n"/>
      <c r="H40" s="8" t="inlineStr">
        <is>
          <t>Рулонная плёнка / целлулоидная основа</t>
        </is>
      </c>
    </row>
    <row r="41" ht="14" customHeight="1" s="72">
      <c r="A41" s="8" t="n"/>
      <c r="B41" s="8" t="inlineStr">
        <is>
          <t>Главная линия / системный выбор</t>
        </is>
      </c>
      <c r="C41" s="8" t="inlineStr">
        <is>
          <t>PL-040</t>
        </is>
      </c>
      <c r="D41" s="8" t="n"/>
      <c r="E41" s="8" t="n"/>
      <c r="F41" s="8" t="n"/>
      <c r="G41" s="8" t="n"/>
      <c r="H41" s="8" t="inlineStr">
        <is>
          <t>Рулонная плёнка / Kodak camera</t>
        </is>
      </c>
    </row>
    <row r="42" ht="14" customHeight="1" s="72">
      <c r="A42" s="8" t="n"/>
      <c r="B42" s="8" t="inlineStr">
        <is>
          <t>Главная линия / эксплуатационная проверка</t>
        </is>
      </c>
      <c r="C42" s="8" t="inlineStr">
        <is>
          <t>PL-041</t>
        </is>
      </c>
      <c r="D42" s="8" t="n"/>
      <c r="E42" s="8" t="n"/>
      <c r="F42" s="8" t="n"/>
      <c r="G42" s="8" t="n"/>
      <c r="H42" s="8" t="inlineStr">
        <is>
          <t>Рулонная плёнка / сервисная модель</t>
        </is>
      </c>
    </row>
    <row r="43" ht="14" customHeight="1" s="72">
      <c r="A43" s="8" t="n"/>
      <c r="B43" s="8" t="inlineStr">
        <is>
          <t>Главная линия / практическая экономика</t>
        </is>
      </c>
      <c r="C43" s="8" t="inlineStr">
        <is>
          <t>PL-042</t>
        </is>
      </c>
      <c r="D43" s="8" t="n"/>
      <c r="E43" s="8" t="n"/>
      <c r="F43" s="8" t="n"/>
      <c r="G43" s="8" t="n"/>
      <c r="H43" s="8" t="inlineStr">
        <is>
          <t>Рулонная плёнка / патент и бренд</t>
        </is>
      </c>
    </row>
    <row r="44" ht="14" customHeight="1" s="72">
      <c r="A44" s="8" t="n"/>
      <c r="B44" s="8" t="inlineStr">
        <is>
          <t>Главная линия / визуальное решение</t>
        </is>
      </c>
      <c r="C44" s="8" t="inlineStr">
        <is>
          <t>PL-043</t>
        </is>
      </c>
      <c r="D44" s="8" t="n"/>
      <c r="E44" s="8" t="n"/>
      <c r="F44" s="8" t="n"/>
      <c r="G44" s="8" t="n"/>
      <c r="H44" s="8" t="inlineStr">
        <is>
          <t>Рулонная плёнка / прозрачная плёнка</t>
        </is>
      </c>
    </row>
    <row r="45" ht="14" customHeight="1" s="72">
      <c r="A45" s="8" t="n"/>
      <c r="B45" s="8" t="inlineStr">
        <is>
          <t>Главная линия / визуальное мышление</t>
        </is>
      </c>
      <c r="C45" s="8" t="inlineStr">
        <is>
          <t>PL-044</t>
        </is>
      </c>
      <c r="D45" s="8" t="n"/>
      <c r="E45" s="8" t="n"/>
      <c r="F45" s="8" t="n"/>
      <c r="G45" s="8" t="n"/>
      <c r="H45" s="8" t="inlineStr">
        <is>
          <t>Рулонная плёнка / дневная перезарядка</t>
        </is>
      </c>
    </row>
    <row r="46" ht="14" customHeight="1" s="72">
      <c r="A46" s="8" t="n"/>
      <c r="B46" s="8" t="inlineStr">
        <is>
          <t>Главная линия / композиционное решение</t>
        </is>
      </c>
      <c r="C46" s="8" t="inlineStr">
        <is>
          <t>PL-045</t>
        </is>
      </c>
      <c r="D46" s="8" t="n"/>
      <c r="E46" s="8" t="n"/>
      <c r="F46" s="8" t="n"/>
      <c r="G46" s="8" t="n"/>
      <c r="H46" s="8" t="inlineStr">
        <is>
          <t>Рулонная плёнка / массовая фотография</t>
        </is>
      </c>
    </row>
    <row r="47" ht="14" customHeight="1" s="72">
      <c r="B47" t="inlineStr">
        <is>
          <t>Главная линия / момент</t>
        </is>
      </c>
      <c r="C47" t="inlineStr">
        <is>
          <t>PL-046</t>
        </is>
      </c>
      <c r="H47" s="8" t="inlineStr">
        <is>
          <t>Brownie / доступная камера</t>
        </is>
      </c>
    </row>
    <row r="48" ht="14" customHeight="1" s="72">
      <c r="B48" t="inlineStr">
        <is>
          <t>Главная линия / точка съёмки</t>
        </is>
      </c>
      <c r="C48" t="inlineStr">
        <is>
          <t>будущие PL</t>
        </is>
      </c>
      <c r="H48" s="8" t="inlineStr">
        <is>
          <t>Brownie / цена и массовый рынок</t>
        </is>
      </c>
    </row>
    <row r="49" ht="14" customHeight="1" s="72">
      <c r="B49" t="inlineStr">
        <is>
          <t>Главная линия / авторская ответственность</t>
        </is>
      </c>
      <c r="H49" s="8" t="inlineStr">
        <is>
          <t>Brownie / детская аудитория и реклама</t>
        </is>
      </c>
    </row>
    <row r="50" ht="14" customHeight="1" s="72">
      <c r="B50" t="inlineStr">
        <is>
          <t>Главная линия / авторская работа</t>
        </is>
      </c>
      <c r="H50" s="8" t="inlineStr">
        <is>
          <t>Brownie / 120 roll film</t>
        </is>
      </c>
    </row>
    <row r="51" ht="14" customHeight="1" s="72">
      <c r="B51" t="inlineStr">
        <is>
          <t>Главная линия / оптический принцип</t>
        </is>
      </c>
      <c r="H51" s="8" t="inlineStr">
        <is>
          <t>Snapshot-культура / семейный альбом</t>
        </is>
      </c>
    </row>
    <row r="52" ht="14" customHeight="1" s="72">
      <c r="B52" t="inlineStr">
        <is>
          <t>Главная линия / фокусировка</t>
        </is>
      </c>
      <c r="H52" s="8" t="inlineStr">
        <is>
          <t>Snapshot-культура / любительская практика</t>
        </is>
      </c>
    </row>
    <row r="53" ht="14" customHeight="1" s="72">
      <c r="B53" t="inlineStr">
        <is>
          <t>Главная линия / световой контроль</t>
        </is>
      </c>
      <c r="H53" s="8" t="inlineStr">
        <is>
          <t>Snapshot-культура / сервисная обработка</t>
        </is>
      </c>
    </row>
    <row r="54" ht="14" customHeight="1" s="72">
      <c r="B54" t="inlineStr">
        <is>
          <t>Главная линия / угол зрения</t>
        </is>
      </c>
      <c r="H54" s="8" t="inlineStr">
        <is>
          <t>Brownie / долгий жизненный цикл</t>
        </is>
      </c>
    </row>
    <row r="55" ht="14" customHeight="1" s="72">
      <c r="B55" t="inlineStr">
        <is>
          <t>Главная линия / тип объектива</t>
        </is>
      </c>
      <c r="H55" s="8" t="inlineStr">
        <is>
          <t>Snapshot-культура / культурный архив</t>
        </is>
      </c>
    </row>
    <row r="56" ht="14" customHeight="1" s="72">
      <c r="B56" t="inlineStr">
        <is>
          <t>Главная линия / светосила</t>
        </is>
      </c>
      <c r="H56" s="8" t="inlineStr">
        <is>
          <t>Brownie / мост к 35 мм</t>
        </is>
      </c>
    </row>
    <row r="57" ht="14" customHeight="1" s="72">
      <c r="B57" t="inlineStr">
        <is>
          <t>Главная линия / оптическая коррекция</t>
        </is>
      </c>
      <c r="H57" s="75" t="inlineStr">
        <is>
          <t>35 мм / прозрачная рулонная плёнка</t>
        </is>
      </c>
    </row>
    <row r="58" ht="14" customHeight="1" s="72">
      <c r="B58" t="inlineStr">
        <is>
          <t>Главная линия / просветление</t>
        </is>
      </c>
      <c r="H58" s="75" t="inlineStr">
        <is>
          <t>35 мм / киноистоки</t>
        </is>
      </c>
    </row>
    <row r="59" ht="14" customHeight="1" s="72">
      <c r="B59" t="inlineStr">
        <is>
          <t>Главная линия / оптическая схема</t>
        </is>
      </c>
      <c r="H59" s="75" t="inlineStr">
        <is>
          <t>35 мм / ширина и перфорация</t>
        </is>
      </c>
    </row>
    <row r="60" ht="14" customHeight="1" s="72">
      <c r="B60" t="inlineStr">
        <is>
          <t>Главная линия / механическая точность</t>
        </is>
      </c>
      <c r="H60" s="75" t="inlineStr">
        <is>
          <t>35 мм / Kinetoscope</t>
        </is>
      </c>
    </row>
    <row r="61" ht="14" customHeight="1" s="72">
      <c r="B61" t="inlineStr">
        <is>
          <t>Главная линия / фокусировочный механизм</t>
        </is>
      </c>
      <c r="H61" s="75" t="inlineStr">
        <is>
          <t>35 мм / международный стандарт</t>
        </is>
      </c>
    </row>
    <row r="62" ht="14" customHeight="1" s="72">
      <c r="B62" t="inlineStr">
        <is>
          <t>Главная линия / диафрагма</t>
        </is>
      </c>
      <c r="H62" s="75" t="inlineStr">
        <is>
          <t>35 мм / 24×36</t>
        </is>
      </c>
    </row>
    <row r="63" ht="14" customHeight="1" s="72">
      <c r="B63" t="inlineStr">
        <is>
          <t>Главная линия / управление объективом</t>
        </is>
      </c>
      <c r="H63" s="75" t="inlineStr">
        <is>
          <t>35 мм / репортажность</t>
        </is>
      </c>
    </row>
    <row r="64" ht="14" customHeight="1" s="72">
      <c r="B64" t="inlineStr">
        <is>
          <t>Главная линия / системная совместимость</t>
        </is>
      </c>
      <c r="H64" s="75" t="inlineStr">
        <is>
          <t>35 мм / коммерциализация Leica</t>
        </is>
      </c>
    </row>
    <row r="65" ht="14" customHeight="1" s="72">
      <c r="B65" t="inlineStr">
        <is>
          <t>Главная линия / ручной контроль</t>
        </is>
      </c>
      <c r="H65" s="75" t="inlineStr">
        <is>
          <t>35 мм / мост к Leica I</t>
        </is>
      </c>
    </row>
    <row r="66" ht="14" customHeight="1" s="72">
      <c r="B66" t="inlineStr">
        <is>
          <t>Главная линия / оптические материалы</t>
        </is>
      </c>
      <c r="H66" s="75" t="inlineStr">
        <is>
          <t>35 мм / 135 cartridge</t>
        </is>
      </c>
    </row>
    <row r="67" ht="14" customHeight="1" s="72">
      <c r="B67" t="inlineStr">
        <is>
          <t>Главная линия / современная механика</t>
        </is>
      </c>
      <c r="H67" s="75" t="inlineStr">
        <is>
          <t>Leica I / прототип</t>
        </is>
      </c>
    </row>
    <row r="68" ht="14" customHeight="1" s="72">
      <c r="B68" t="inlineStr">
        <is>
          <t>Главная линия / практические элементы</t>
        </is>
      </c>
      <c r="H68" s="75" t="inlineStr">
        <is>
          <t>Leica I / проверочная серия</t>
        </is>
      </c>
    </row>
    <row r="69" ht="14" customHeight="1" s="72">
      <c r="B69" t="inlineStr">
        <is>
          <t>Главная линия / широкий угол</t>
        </is>
      </c>
      <c r="H69" s="75" t="inlineStr">
        <is>
          <t>Leica I / начало производства</t>
        </is>
      </c>
    </row>
    <row r="70" ht="14" customHeight="1" s="72">
      <c r="B70" t="inlineStr">
        <is>
          <t>Главная линия / нормальный объектив</t>
        </is>
      </c>
      <c r="H70" s="75" t="inlineStr">
        <is>
          <t>Leica I / публичный дебют</t>
        </is>
      </c>
    </row>
    <row r="71" ht="14" customHeight="1" s="72">
      <c r="B71" t="inlineStr">
        <is>
          <t>Главная линия / телефото</t>
        </is>
      </c>
      <c r="H71" s="75" t="inlineStr">
        <is>
          <t>Leica I / компактная камера</t>
        </is>
      </c>
    </row>
    <row r="72" ht="14" customHeight="1" s="72">
      <c r="B72" t="inlineStr">
        <is>
          <t>Главная линия / исправление заблуждения</t>
        </is>
      </c>
      <c r="H72" s="75" t="inlineStr">
        <is>
          <t>Leica I / оптика и Elmar</t>
        </is>
      </c>
    </row>
    <row r="73" ht="14" customHeight="1" s="72">
      <c r="B73" t="inlineStr">
        <is>
          <t>Главная линия / визуальный эксперимент</t>
        </is>
      </c>
      <c r="H73" s="75" t="inlineStr">
        <is>
          <t>Leica I / массовое принятие</t>
        </is>
      </c>
    </row>
    <row r="74" ht="14" customHeight="1" s="72">
      <c r="B74" t="inlineStr">
        <is>
          <t>Главная линия / формат кадра</t>
        </is>
      </c>
      <c r="H74" s="75" t="inlineStr">
        <is>
          <t>Leica I / новая визуальная практика</t>
        </is>
      </c>
    </row>
    <row r="75" ht="14" customHeight="1" s="72">
      <c r="B75" t="inlineStr">
        <is>
          <t>Главная линия / рабочий процесс</t>
        </is>
      </c>
      <c r="H75" s="75" t="inlineStr">
        <is>
          <t>Leica I / сменные объективы</t>
        </is>
      </c>
    </row>
    <row r="76" ht="14" customHeight="1" s="72">
      <c r="B76" t="inlineStr">
        <is>
          <t>Главная линия / практическая характеристика</t>
        </is>
      </c>
      <c r="H76" s="75" t="inlineStr">
        <is>
          <t>Leica I / мост к дальномерной системе</t>
        </is>
      </c>
    </row>
    <row r="77" ht="14" customHeight="1" s="72">
      <c r="H77" s="75" t="inlineStr">
        <is>
          <t>Плёнка как материал / прозрачная основа</t>
        </is>
      </c>
    </row>
    <row r="78" ht="14" customHeight="1" s="72">
      <c r="H78" s="75" t="inlineStr">
        <is>
          <t>Плёнка как материал / нитратная основа</t>
        </is>
      </c>
    </row>
    <row r="79" ht="28" customHeight="1" s="72">
      <c r="H79" s="75" t="inlineStr">
        <is>
          <t>Плёнка как материал / промышленное производство основы</t>
        </is>
      </c>
    </row>
    <row r="80" ht="28" customHeight="1" s="72">
      <c r="H80" s="75" t="inlineStr">
        <is>
          <t>Плёнка как материал / механическая стабильность</t>
        </is>
      </c>
    </row>
    <row r="81" ht="14" customHeight="1" s="72">
      <c r="H81" s="75" t="inlineStr">
        <is>
          <t>Плёнка как материал / safety film</t>
        </is>
      </c>
    </row>
    <row r="82" ht="28" customHeight="1" s="72">
      <c r="H82" s="75" t="inlineStr">
        <is>
          <t>Плёнка как материал / ацетатная основа и хранение</t>
        </is>
      </c>
    </row>
    <row r="83" ht="14" customHeight="1" s="72">
      <c r="H83" s="75" t="inlineStr">
        <is>
          <t>Плёнка как материал / структура слоя</t>
        </is>
      </c>
    </row>
    <row r="84" ht="28" customHeight="1" s="72">
      <c r="H84" s="75" t="inlineStr">
        <is>
          <t>Плёнка как материал / серебряные соли и желатин</t>
        </is>
      </c>
    </row>
    <row r="85" ht="28" customHeight="1" s="72">
      <c r="H85" s="75" t="inlineStr">
        <is>
          <t>Плёнка как материал / скрытое изображение и обработка</t>
        </is>
      </c>
    </row>
    <row r="86" ht="28" customHeight="1" s="72">
      <c r="H86" s="75" t="inlineStr">
        <is>
          <t>Плёнка как материал / чувствительность и зерно</t>
        </is>
      </c>
    </row>
    <row r="87" ht="28" customHeight="1" s="72">
      <c r="H87" s="75" t="inlineStr">
        <is>
          <t>Плёнка как материал / защитные и служебные слои</t>
        </is>
      </c>
    </row>
    <row r="88">
      <c r="H88" s="75" t="inlineStr">
        <is>
          <t>Эмульсия / желатино-бромидный слой</t>
        </is>
      </c>
    </row>
    <row r="89">
      <c r="H89" s="75" t="inlineStr">
        <is>
          <t>Эмульсия / определение</t>
        </is>
      </c>
    </row>
    <row r="90">
      <c r="H90" s="75" t="inlineStr">
        <is>
          <t>Эмульсия / слои фотографического объекта</t>
        </is>
      </c>
    </row>
    <row r="91">
      <c r="H91" s="75" t="inlineStr">
        <is>
          <t>Эмульсия / скрытое изображение</t>
        </is>
      </c>
    </row>
    <row r="92">
      <c r="H92" s="75" t="inlineStr">
        <is>
          <t>Эмульсия / проявление</t>
        </is>
      </c>
    </row>
    <row r="93">
      <c r="H93" s="75" t="inlineStr">
        <is>
          <t>Эмульсия / фиксация</t>
        </is>
      </c>
    </row>
    <row r="94">
      <c r="H94" s="75" t="inlineStr">
        <is>
          <t>Эмульсия / повышение чувствительности</t>
        </is>
      </c>
    </row>
    <row r="95">
      <c r="H95" s="75" t="inlineStr">
        <is>
          <t>Эмульсия / фабричное нанесение</t>
        </is>
      </c>
    </row>
    <row r="96">
      <c r="H96" s="75" t="inlineStr">
        <is>
          <t>Эмульсия / фотобумага и developing-out print</t>
        </is>
      </c>
    </row>
    <row r="97">
      <c r="H97" s="75" t="inlineStr">
        <is>
          <t>Эмульсия / панхроматическая чувствительность</t>
        </is>
      </c>
    </row>
    <row r="98">
      <c r="H98" s="75" t="inlineStr">
        <is>
          <t>Эмульсия / чувствительность и зерно</t>
        </is>
      </c>
    </row>
    <row r="99">
      <c r="H99" s="75" t="inlineStr">
        <is>
          <t>Негатив-позитив / тональная инверсия</t>
        </is>
      </c>
    </row>
    <row r="100">
      <c r="H100" s="75" t="inlineStr">
        <is>
          <t>Негатив-позитив / бумажный негатив</t>
        </is>
      </c>
    </row>
    <row r="101">
      <c r="H101" s="75" t="inlineStr">
        <is>
          <t>Негатив-позитив / терминология</t>
        </is>
      </c>
    </row>
    <row r="102">
      <c r="H102" s="75" t="inlineStr">
        <is>
          <t>Негатив-позитив / калотип</t>
        </is>
      </c>
    </row>
    <row r="103">
      <c r="H103" s="75" t="inlineStr">
        <is>
          <t>Негатив-позитив / множественные отпечатки</t>
        </is>
      </c>
    </row>
    <row r="104">
      <c r="H104" s="75" t="inlineStr">
        <is>
          <t>Негатив-позитив / позитивная печать</t>
        </is>
      </c>
    </row>
    <row r="105">
      <c r="H105" s="75" t="inlineStr">
        <is>
          <t>Негатив-позитив / стеклянный негатив</t>
        </is>
      </c>
    </row>
    <row r="106">
      <c r="H106" s="75" t="inlineStr">
        <is>
          <t>Негатив-позитив / массовый портрет</t>
        </is>
      </c>
    </row>
    <row r="107">
      <c r="H107" s="75" t="inlineStr">
        <is>
          <t>Негатив-позитив / плёночный негатив</t>
        </is>
      </c>
    </row>
    <row r="108">
      <c r="H108" s="75" t="inlineStr">
        <is>
          <t>Негатив-позитив / позитив на бумаге</t>
        </is>
      </c>
    </row>
    <row r="109">
      <c r="H109" s="75" t="inlineStr">
        <is>
          <t>Негатив-позитив / позитивная прозрачность</t>
        </is>
      </c>
    </row>
    <row r="110">
      <c r="H110" s="75" t="inlineStr">
        <is>
          <t>Позитив / прямой позитив</t>
        </is>
      </c>
    </row>
    <row r="111">
      <c r="H111" s="75" t="inlineStr">
        <is>
          <t>Позитив / соляная печать</t>
        </is>
      </c>
    </row>
    <row r="112">
      <c r="H112" s="75" t="inlineStr">
        <is>
          <t>Позитив / фотокнига и публикация</t>
        </is>
      </c>
    </row>
    <row r="113">
      <c r="H113" s="75" t="inlineStr">
        <is>
          <t>Позитив / альбуминовая печать</t>
        </is>
      </c>
    </row>
    <row r="114">
      <c r="H114" s="75" t="inlineStr">
        <is>
          <t>Позитив / printing-out paper</t>
        </is>
      </c>
    </row>
    <row r="115">
      <c r="H115" s="75" t="inlineStr">
        <is>
          <t>Позитив / developing-out paper</t>
        </is>
      </c>
    </row>
    <row r="116">
      <c r="H116" s="75" t="inlineStr">
        <is>
          <t>Позитив / сервисная печать</t>
        </is>
      </c>
    </row>
    <row r="117">
      <c r="H117" s="75" t="inlineStr">
        <is>
          <t>Позитив / цветная прозрачность</t>
        </is>
      </c>
    </row>
    <row r="118">
      <c r="H118" s="75" t="inlineStr">
        <is>
          <t>Позитив / instant print</t>
        </is>
      </c>
    </row>
    <row r="119">
      <c r="H119" s="75" t="inlineStr">
        <is>
          <t>Позитив / chromogenic print</t>
        </is>
      </c>
    </row>
    <row r="120">
      <c r="H120" t="inlineStr">
        <is>
          <t>Чёрно-белая плёнка / серебряно-желатиновая основа</t>
        </is>
      </c>
    </row>
    <row r="121">
      <c r="H121" t="inlineStr">
        <is>
          <t>Чёрно-белая плёнка / спектральная чувствительность</t>
        </is>
      </c>
    </row>
    <row r="122">
      <c r="H122" t="inlineStr">
        <is>
          <t>Чёрно-белая плёнка / панхроматическая чувствительность</t>
        </is>
      </c>
    </row>
    <row r="123">
      <c r="H123" t="inlineStr">
        <is>
          <t>Чёрно-белая плёнка / структура материала</t>
        </is>
      </c>
    </row>
    <row r="124">
      <c r="H124" t="inlineStr">
        <is>
          <t>Чёрно-белая плёнка / проявление</t>
        </is>
      </c>
    </row>
    <row r="125">
      <c r="H125" t="inlineStr">
        <is>
          <t>Чёрно-белая плёнка / фиксация</t>
        </is>
      </c>
    </row>
    <row r="126">
      <c r="H126" t="inlineStr">
        <is>
          <t>Чёрно-белая плёнка / домашняя проявка</t>
        </is>
      </c>
    </row>
    <row r="127">
      <c r="H127" t="inlineStr">
        <is>
          <t>Чёрно-белая плёнка / характер проявления</t>
        </is>
      </c>
    </row>
    <row r="128">
      <c r="H128" t="inlineStr">
        <is>
          <t>Чёрно-белая плёнка / классическое зерно</t>
        </is>
      </c>
    </row>
    <row r="129">
      <c r="H129" t="inlineStr">
        <is>
          <t>Чёрно-белая плёнка / мелкозернистая технология</t>
        </is>
      </c>
    </row>
    <row r="130">
      <c r="H130" t="inlineStr">
        <is>
          <t>Чёрно-белая плёнка / chromogenic B&amp;W</t>
        </is>
      </c>
    </row>
    <row r="131">
      <c r="H131" t="inlineStr">
        <is>
          <t>Цветная негативная плёнка / Kodacolor</t>
        </is>
      </c>
    </row>
    <row r="132">
      <c r="H132" t="inlineStr">
        <is>
          <t>Цветная негативная плёнка / негатив-позитив</t>
        </is>
      </c>
    </row>
    <row r="133">
      <c r="H133" t="inlineStr">
        <is>
          <t>Цветная негативная плёнка / слои красителей</t>
        </is>
      </c>
    </row>
    <row r="134">
      <c r="H134" t="inlineStr">
        <is>
          <t>Цветная негативная плёнка / color couplers</t>
        </is>
      </c>
    </row>
    <row r="135">
      <c r="H135" t="inlineStr">
        <is>
          <t>Цветная негативная плёнка / оранжевая маска</t>
        </is>
      </c>
    </row>
    <row r="136">
      <c r="H136" t="inlineStr">
        <is>
          <t>Цветная негативная плёнка / печать позитивов</t>
        </is>
      </c>
    </row>
    <row r="137">
      <c r="H137" t="inlineStr">
        <is>
          <t>Цветная негативная плёнка / C-41</t>
        </is>
      </c>
    </row>
    <row r="138">
      <c r="H138" t="inlineStr">
        <is>
          <t>Цветная негативная плёнка / лабораторный стандарт</t>
        </is>
      </c>
    </row>
    <row r="139">
      <c r="H139" t="inlineStr">
        <is>
          <t>Цветная негативная плёнка / экспозиционная гибкость</t>
        </is>
      </c>
    </row>
    <row r="140">
      <c r="H140" t="inlineStr">
        <is>
          <t>Цветная негативная плёнка / современный профессиональный материал</t>
        </is>
      </c>
    </row>
    <row r="141">
      <c r="H141" t="inlineStr">
        <is>
          <t>Слайдовая плёнка / ранний цветной позитив</t>
        </is>
      </c>
    </row>
    <row r="142">
      <c r="H142" t="inlineStr">
        <is>
          <t>Слайдовая плёнка / reversal и проекция</t>
        </is>
      </c>
    </row>
    <row r="143">
      <c r="H143" t="inlineStr">
        <is>
          <t>Слайдовая плёнка / Kodachrome</t>
        </is>
      </c>
    </row>
    <row r="144">
      <c r="H144" t="inlineStr">
        <is>
          <t>Слайдовая плёнка / Ektachrome</t>
        </is>
      </c>
    </row>
    <row r="145">
      <c r="H145" t="inlineStr">
        <is>
          <t>Слайдовая плёнка / E-6</t>
        </is>
      </c>
    </row>
    <row r="146">
      <c r="H146" t="inlineStr">
        <is>
          <t>Слайдовая плёнка / точность экспозиции</t>
        </is>
      </c>
    </row>
    <row r="147">
      <c r="H147" t="inlineStr">
        <is>
          <t>Слайдовая плёнка / хранение и архив</t>
        </is>
      </c>
    </row>
    <row r="148">
      <c r="H148" t="inlineStr">
        <is>
          <t>ISO плёнки / светочувствительность</t>
        </is>
      </c>
    </row>
    <row r="149">
      <c r="H149" t="inlineStr">
        <is>
          <t>ISO плёнки / ASA-DIN-ISO</t>
        </is>
      </c>
    </row>
    <row r="150">
      <c r="H150" t="inlineStr">
        <is>
          <t>ISO плёнки / чёрно-белый негатив</t>
        </is>
      </c>
    </row>
    <row r="151">
      <c r="H151" t="inlineStr">
        <is>
          <t>ISO плёнки / цветной негатив</t>
        </is>
      </c>
    </row>
    <row r="152">
      <c r="H152" t="inlineStr">
        <is>
          <t>ISO плёнки / слайдовая плёнка</t>
        </is>
      </c>
    </row>
    <row r="153">
      <c r="H153" t="inlineStr">
        <is>
          <t>ISO плёнки / box speed и EI</t>
        </is>
      </c>
    </row>
    <row r="154">
      <c r="H154" t="inlineStr">
        <is>
          <t>ISO плёнки / связь с экспозицией</t>
        </is>
      </c>
    </row>
    <row r="155">
      <c r="H155" t="inlineStr">
        <is>
          <t>ISO плёнки / коробочный ISO</t>
        </is>
      </c>
    </row>
    <row r="156">
      <c r="H156" t="inlineStr">
        <is>
          <t>ISO плёнки / универсальный ISO 400</t>
        </is>
      </c>
    </row>
    <row r="157">
      <c r="H157" t="inlineStr">
        <is>
          <t>ISO плёнки / высокая чувствительность</t>
        </is>
      </c>
    </row>
    <row r="158">
      <c r="H158" t="inlineStr">
        <is>
          <t>ISO плёнки / push-pull</t>
        </is>
      </c>
    </row>
    <row r="159">
      <c r="H159" t="inlineStr">
        <is>
          <t>Зерно / материальная основа</t>
        </is>
      </c>
    </row>
    <row r="160">
      <c r="H160" t="inlineStr">
        <is>
          <t>Зерно / компромисс ISO и фактуры</t>
        </is>
      </c>
    </row>
    <row r="161">
      <c r="H161" t="inlineStr">
        <is>
          <t>Зерно / медленная плёнка</t>
        </is>
      </c>
    </row>
    <row r="162">
      <c r="H162" t="inlineStr">
        <is>
          <t>Зерно / средняя чувствительность</t>
        </is>
      </c>
    </row>
    <row r="163">
      <c r="H163" t="inlineStr">
        <is>
          <t>Зерно / классический ISO 400</t>
        </is>
      </c>
    </row>
    <row r="164">
      <c r="H164" t="inlineStr">
        <is>
          <t>Зерно / структура кристаллов</t>
        </is>
      </c>
    </row>
    <row r="165">
      <c r="H165" t="inlineStr">
        <is>
          <t>Зерно / T-GRAIN</t>
        </is>
      </c>
    </row>
    <row r="166">
      <c r="H166" t="inlineStr">
        <is>
          <t>Зерно / мелкозернистая плёнка</t>
        </is>
      </c>
    </row>
    <row r="167">
      <c r="H167" t="inlineStr">
        <is>
          <t>Зерно / высокая чувствительность</t>
        </is>
      </c>
    </row>
    <row r="168">
      <c r="H168" t="inlineStr">
        <is>
          <t>Зерно / цветная плёнка</t>
        </is>
      </c>
    </row>
    <row r="169">
      <c r="H169" t="inlineStr">
        <is>
          <t>Зерно / проявка и сканирование</t>
        </is>
      </c>
    </row>
    <row r="170">
      <c r="H170" t="inlineStr">
        <is>
          <t>Экспозиционная широта / характеристическая кривая</t>
        </is>
      </c>
    </row>
    <row r="171">
      <c r="H171" t="inlineStr">
        <is>
          <t>Экспозиционная широта / toe-straight-shoulder</t>
        </is>
      </c>
    </row>
    <row r="172">
      <c r="H172" t="inlineStr">
        <is>
          <t>Экспозиционная широта / недодержка и тени</t>
        </is>
      </c>
    </row>
    <row r="173">
      <c r="H173" t="inlineStr">
        <is>
          <t>Экспозиционная широта / передержка и света</t>
        </is>
      </c>
    </row>
    <row r="174">
      <c r="H174" t="inlineStr">
        <is>
          <t>Экспозиционная широта / слайдовая плёнка</t>
        </is>
      </c>
    </row>
    <row r="175">
      <c r="H175" t="inlineStr">
        <is>
          <t>Экспозиционная широта / цветной негатив</t>
        </is>
      </c>
    </row>
    <row r="176">
      <c r="H176" t="inlineStr">
        <is>
          <t>Экспозиционная широта / чёрно-белый негатив</t>
        </is>
      </c>
    </row>
    <row r="177">
      <c r="H177" t="inlineStr">
        <is>
          <t>Экспозиционная широта / средняя чувствительность</t>
        </is>
      </c>
    </row>
    <row r="178">
      <c r="H178" t="inlineStr">
        <is>
          <t>Экспозиционная широта / push-pull</t>
        </is>
      </c>
    </row>
    <row r="179">
      <c r="H179" t="inlineStr">
        <is>
          <t>Экспозиционная широта / серая карта</t>
        </is>
      </c>
    </row>
    <row r="180">
      <c r="H180" t="inlineStr">
        <is>
          <t>Экспозиционная широта / практический выбор</t>
        </is>
      </c>
    </row>
    <row r="181">
      <c r="H181" t="inlineStr">
        <is>
          <t>Плёночная камера / общая архитектура</t>
        </is>
      </c>
    </row>
    <row r="182">
      <c r="H182" t="inlineStr">
        <is>
          <t>Плёночная камера / корпус</t>
        </is>
      </c>
    </row>
    <row r="183">
      <c r="H183" t="inlineStr">
        <is>
          <t>Плёночная камера / плёночный тракт</t>
        </is>
      </c>
    </row>
    <row r="184">
      <c r="H184" t="inlineStr">
        <is>
          <t>Плёночная камера / байонет и объектив</t>
        </is>
      </c>
    </row>
    <row r="185">
      <c r="H185" t="inlineStr">
        <is>
          <t>Плёночная камера / диафрагма</t>
        </is>
      </c>
    </row>
    <row r="186">
      <c r="H186" t="inlineStr">
        <is>
          <t>Плёночная камера / затвор</t>
        </is>
      </c>
    </row>
    <row r="187">
      <c r="H187" t="inlineStr">
        <is>
          <t>Плёночная камера / спуск</t>
        </is>
      </c>
    </row>
    <row r="188">
      <c r="H188" t="inlineStr">
        <is>
          <t>Плёночная камера / видоискатель</t>
        </is>
      </c>
    </row>
    <row r="189">
      <c r="H189" t="inlineStr">
        <is>
          <t>Плёночная камера / протяжка плёнки</t>
        </is>
      </c>
    </row>
    <row r="190">
      <c r="H190" t="inlineStr">
        <is>
          <t>Плёночная камера / счётчик и перемотка</t>
        </is>
      </c>
    </row>
    <row r="191">
      <c r="H191" t="inlineStr">
        <is>
          <t>Плёночная камера / экспонометр</t>
        </is>
      </c>
    </row>
    <row r="192">
      <c r="H192" t="inlineStr">
        <is>
          <t>Механическая камера / общий принцип</t>
        </is>
      </c>
    </row>
    <row r="193">
      <c r="H193" t="inlineStr">
        <is>
          <t>Механическая камера / автономность</t>
        </is>
      </c>
    </row>
    <row r="194">
      <c r="H194" t="inlineStr">
        <is>
          <t>Механическая камера / затвор</t>
        </is>
      </c>
    </row>
    <row r="195">
      <c r="H195" t="inlineStr">
        <is>
          <t>Механическая камера / диск выдержек</t>
        </is>
      </c>
    </row>
    <row r="196">
      <c r="H196" t="inlineStr">
        <is>
          <t>Механическая камера / ручная диафрагма</t>
        </is>
      </c>
    </row>
    <row r="197">
      <c r="H197" t="inlineStr">
        <is>
          <t>Механическая камера / ручная фокусировка</t>
        </is>
      </c>
    </row>
    <row r="198">
      <c r="H198" t="inlineStr">
        <is>
          <t>Механическая камера / дальномер</t>
        </is>
      </c>
    </row>
    <row r="199">
      <c r="H199" t="inlineStr">
        <is>
          <t>Механическая камера / зеркальная схема</t>
        </is>
      </c>
    </row>
    <row r="200">
      <c r="H200" t="inlineStr">
        <is>
          <t>Механическая камера / взвод и протяжка</t>
        </is>
      </c>
    </row>
    <row r="201">
      <c r="H201" t="inlineStr">
        <is>
          <t>Механическая камера / контроль рулона</t>
        </is>
      </c>
    </row>
    <row r="202">
      <c r="H202" t="inlineStr">
        <is>
          <t>Механическая камера / экспонометр без автоматики</t>
        </is>
      </c>
    </row>
    <row r="203">
      <c r="H203" t="inlineStr">
        <is>
          <t>Камера с автоматикой / AE и CPU</t>
        </is>
      </c>
    </row>
    <row r="204">
      <c r="H204" t="inlineStr">
        <is>
          <t>Камера с автоматикой / модульная конструкция</t>
        </is>
      </c>
    </row>
    <row r="205">
      <c r="H205" t="inlineStr">
        <is>
          <t>Камера с автоматикой / режимы AE</t>
        </is>
      </c>
    </row>
    <row r="206">
      <c r="H206" t="inlineStr">
        <is>
          <t>Камера с автоматикой / приоритет диафрагмы</t>
        </is>
      </c>
    </row>
    <row r="207">
      <c r="H207" t="inlineStr">
        <is>
          <t>Камера с автоматикой / автофокусный компакт</t>
        </is>
      </c>
    </row>
    <row r="208">
      <c r="H208" t="inlineStr">
        <is>
          <t>Камера с автоматикой / автозагрузка плёнки</t>
        </is>
      </c>
    </row>
    <row r="209">
      <c r="H209" t="inlineStr">
        <is>
          <t>Камера с автоматикой / DX и мотор</t>
        </is>
      </c>
    </row>
    <row r="210">
      <c r="H210" t="inlineStr">
        <is>
          <t>Камера с автоматикой / автофокус SLR</t>
        </is>
      </c>
    </row>
    <row r="211">
      <c r="H211" t="inlineStr">
        <is>
          <t>Камера с автоматикой / электронный байонет</t>
        </is>
      </c>
    </row>
    <row r="212">
      <c r="H212" t="inlineStr">
        <is>
          <t>Камера с автоматикой / профессиональная AF SLR</t>
        </is>
      </c>
    </row>
    <row r="213">
      <c r="H213" t="inlineStr">
        <is>
          <t>Камера с автоматикой / вывод и мост</t>
        </is>
      </c>
    </row>
    <row r="214">
      <c r="H214" t="inlineStr">
        <is>
          <t>Дальномерная камера / принцип фокусировки</t>
        </is>
      </c>
    </row>
    <row r="215">
      <c r="H215" t="inlineStr">
        <is>
          <t>Дальномерная камера / ранний связанный дальномер</t>
        </is>
      </c>
    </row>
    <row r="216">
      <c r="H216" t="inlineStr">
        <is>
          <t>Дальномерная камера / Leica II</t>
        </is>
      </c>
    </row>
    <row r="217">
      <c r="H217" t="inlineStr">
        <is>
          <t>Дальномерная камера / Contax line</t>
        </is>
      </c>
    </row>
    <row r="218">
      <c r="H218" t="inlineStr">
        <is>
          <t>Дальномерная камера / Leica M</t>
        </is>
      </c>
    </row>
    <row r="219">
      <c r="H219" t="inlineStr">
        <is>
          <t>Дальномерная камера / параллакс</t>
        </is>
      </c>
    </row>
    <row r="220">
      <c r="H220" t="inlineStr">
        <is>
          <t>Дальномерная камера / массовый compact rangefinder</t>
        </is>
      </c>
    </row>
    <row r="221">
      <c r="H221" t="inlineStr">
        <is>
          <t>Дальномерная камера / quick loading</t>
        </is>
      </c>
    </row>
    <row r="222">
      <c r="H222" t="inlineStr">
        <is>
          <t>Дальномерная камера / опыт съёмки</t>
        </is>
      </c>
    </row>
    <row r="223">
      <c r="H223" t="inlineStr">
        <is>
          <t>Дальномерная камера / среднеформатный дальномер</t>
        </is>
      </c>
    </row>
    <row r="224">
      <c r="H224" t="inlineStr">
        <is>
          <t>Дальномерная камера / компромиссы</t>
        </is>
      </c>
    </row>
    <row r="225">
      <c r="H225" t="inlineStr">
        <is>
          <t>Зеркальная камера / принцип SLR</t>
        </is>
      </c>
    </row>
    <row r="226">
      <c r="H226" t="inlineStr">
        <is>
          <t>Зеркальная камера / 35-мм SLR</t>
        </is>
      </c>
    </row>
    <row r="227">
      <c r="H227" t="inlineStr">
        <is>
          <t>Зеркальная камера / пентапризма</t>
        </is>
      </c>
    </row>
    <row r="228">
      <c r="H228" t="inlineStr">
        <is>
          <t>Зеркальная камера / японская SLR-линия</t>
        </is>
      </c>
    </row>
    <row r="229">
      <c r="H229" t="inlineStr">
        <is>
          <t>Зеркальная камера / классический силуэт SLR</t>
        </is>
      </c>
    </row>
    <row r="230">
      <c r="H230" t="inlineStr">
        <is>
          <t>Зеркальная камера / профессиональная система</t>
        </is>
      </c>
    </row>
    <row r="231">
      <c r="H231" t="inlineStr">
        <is>
          <t>Зеркальная камера / переход производителей к SLR</t>
        </is>
      </c>
    </row>
    <row r="232">
      <c r="H232" t="inlineStr">
        <is>
          <t>Зеркальная камера / TTL-замер</t>
        </is>
      </c>
    </row>
    <row r="233">
      <c r="H233" t="inlineStr">
        <is>
          <t>Зеркальная камера / профессиональная экосистема</t>
        </is>
      </c>
    </row>
    <row r="234">
      <c r="H234" t="inlineStr">
        <is>
          <t>Зеркальная камера / автофокус SLR</t>
        </is>
      </c>
    </row>
    <row r="235">
      <c r="H235" t="inlineStr">
        <is>
          <t>Зеркальная камера / преимущества и компромиссы</t>
        </is>
      </c>
    </row>
    <row r="236">
      <c r="H236" t="inlineStr">
        <is>
          <t>Компактная камера / простота</t>
        </is>
      </c>
    </row>
    <row r="237">
      <c r="H237" t="inlineStr">
        <is>
          <t>Компактная камера / 135 cassette</t>
        </is>
      </c>
    </row>
    <row r="238">
      <c r="H238" t="inlineStr">
        <is>
          <t>Компактная камера / half-frame</t>
        </is>
      </c>
    </row>
    <row r="239">
      <c r="H239" t="inlineStr">
        <is>
          <t>Компактная камера / массовый rangefinder</t>
        </is>
      </c>
    </row>
    <row r="240">
      <c r="H240" t="inlineStr">
        <is>
          <t>Компактная камера / pocket-size half-frame</t>
        </is>
      </c>
    </row>
    <row r="241">
      <c r="H241" t="inlineStr">
        <is>
          <t>Компактная камера / автофокус</t>
        </is>
      </c>
    </row>
    <row r="242">
      <c r="H242" t="inlineStr">
        <is>
          <t>Компактная камера / point-and-shoot</t>
        </is>
      </c>
    </row>
    <row r="243">
      <c r="H243" t="inlineStr">
        <is>
          <t>Компактная камера / премиальный компакт</t>
        </is>
      </c>
    </row>
    <row r="244">
      <c r="H244" t="inlineStr">
        <is>
          <t>Компактная камера / одноразовая камера</t>
        </is>
      </c>
    </row>
    <row r="245">
      <c r="H245" t="inlineStr">
        <is>
          <t>Компактная камера / zoom compact</t>
        </is>
      </c>
    </row>
    <row r="246">
      <c r="H246" t="inlineStr">
        <is>
          <t>Компактная камера / повседневность</t>
        </is>
      </c>
    </row>
    <row r="247">
      <c r="H247" t="inlineStr">
        <is>
          <t>Средний формат / 120 roll film</t>
        </is>
      </c>
    </row>
    <row r="248">
      <c r="H248" t="inlineStr">
        <is>
          <t>Средний формат / терминология</t>
        </is>
      </c>
    </row>
    <row r="249">
      <c r="H249" t="inlineStr">
        <is>
          <t>Средний формат / TLR</t>
        </is>
      </c>
    </row>
    <row r="250">
      <c r="H250" t="inlineStr">
        <is>
          <t>Средний формат / модульная SLR</t>
        </is>
      </c>
    </row>
    <row r="251">
      <c r="H251" t="inlineStr">
        <is>
          <t>Средний формат / Hasselblad 500C</t>
        </is>
      </c>
    </row>
    <row r="252">
      <c r="H252" t="inlineStr">
        <is>
          <t>Средний формат / студийная практика</t>
        </is>
      </c>
    </row>
    <row r="253">
      <c r="H253" t="inlineStr">
        <is>
          <t>Средний формат / 6×7 SLR</t>
        </is>
      </c>
    </row>
    <row r="254">
      <c r="H254" t="inlineStr">
        <is>
          <t>Средний формат / SLR от глаза</t>
        </is>
      </c>
    </row>
    <row r="255">
      <c r="H255" t="inlineStr">
        <is>
          <t>Средний формат / мобильный 6×7</t>
        </is>
      </c>
    </row>
    <row r="256">
      <c r="H256" t="inlineStr">
        <is>
          <t>Средний формат / качество изображения</t>
        </is>
      </c>
    </row>
    <row r="257">
      <c r="H257" t="inlineStr">
        <is>
          <t>Средний формат / выбор формата</t>
        </is>
      </c>
    </row>
    <row r="258">
      <c r="H258" t="inlineStr">
        <is>
          <t>Большой формат / sheet film</t>
        </is>
      </c>
    </row>
    <row r="259">
      <c r="H259" t="inlineStr">
        <is>
          <t>Большой формат / контактная печать</t>
        </is>
      </c>
    </row>
    <row r="260">
      <c r="H260" t="inlineStr">
        <is>
          <t>Большой формат / устройство камеры</t>
        </is>
      </c>
    </row>
    <row r="261">
      <c r="H261" t="inlineStr">
        <is>
          <t>Большой формат / shift и perspective control</t>
        </is>
      </c>
    </row>
    <row r="262">
      <c r="H262" t="inlineStr">
        <is>
          <t>Большой формат / tilt и плоскость фокуса</t>
        </is>
      </c>
    </row>
    <row r="263">
      <c r="H263" t="inlineStr">
        <is>
          <t>Большой формат / техническая камера</t>
        </is>
      </c>
    </row>
    <row r="264">
      <c r="H264" t="inlineStr">
        <is>
          <t>Большой формат / press camera</t>
        </is>
      </c>
    </row>
    <row r="265">
      <c r="H265" t="inlineStr">
        <is>
          <t>Большой формат / документальный архив</t>
        </is>
      </c>
    </row>
    <row r="266">
      <c r="H266" t="inlineStr">
        <is>
          <t>Большой формат / архивное хранение</t>
        </is>
      </c>
    </row>
    <row r="267">
      <c r="H267" t="inlineStr">
        <is>
          <t>Большой формат / современная практика</t>
        </is>
      </c>
    </row>
    <row r="268">
      <c r="H268" t="inlineStr">
        <is>
          <t>Большой формат / медленный рабочий процесс</t>
        </is>
      </c>
    </row>
    <row r="269">
      <c r="H269" t="inlineStr">
        <is>
          <t>Выбор первой камеры / критерии</t>
        </is>
      </c>
    </row>
    <row r="270">
      <c r="H270" t="inlineStr">
        <is>
          <t>Выбор первой камеры / формат плёнки</t>
        </is>
      </c>
    </row>
    <row r="271">
      <c r="H271" t="inlineStr">
        <is>
          <t>Выбор первой камеры / проверка состояния</t>
        </is>
      </c>
    </row>
    <row r="272">
      <c r="H272" t="inlineStr">
        <is>
          <t>Выбор первой камеры / 35mm SLR</t>
        </is>
      </c>
    </row>
    <row r="273">
      <c r="H273" t="inlineStr">
        <is>
          <t>Выбор первой камеры / дальномер</t>
        </is>
      </c>
    </row>
    <row r="274">
      <c r="H274" t="inlineStr">
        <is>
          <t>Выбор первой камеры / компакт</t>
        </is>
      </c>
    </row>
    <row r="275">
      <c r="H275" t="inlineStr">
        <is>
          <t>Выбор первой камеры / формат и цена ошибки</t>
        </is>
      </c>
    </row>
    <row r="276">
      <c r="H276" t="inlineStr">
        <is>
          <t>Выбор первой камеры / система и объектив</t>
        </is>
      </c>
    </row>
    <row r="277">
      <c r="H277" t="inlineStr">
        <is>
          <t>Выбор первой камеры / батарейки и экспонометр</t>
        </is>
      </c>
    </row>
    <row r="278">
      <c r="H278" t="inlineStr">
        <is>
          <t>Выбор первой камеры / цена владения</t>
        </is>
      </c>
    </row>
    <row r="279">
      <c r="H279" t="inlineStr">
        <is>
          <t>Выбор первой камеры / матрица решения</t>
        </is>
      </c>
    </row>
    <row r="280">
      <c r="H280" t="inlineStr">
        <is>
          <t>Автор и камера / инструмент</t>
        </is>
      </c>
    </row>
    <row r="281">
      <c r="H281" t="inlineStr">
        <is>
          <t>Автор и камера / место-рамка-момент</t>
        </is>
      </c>
    </row>
    <row r="282">
      <c r="H282" t="inlineStr">
        <is>
          <t>Автор и камера / видеть свет</t>
        </is>
      </c>
    </row>
    <row r="283">
      <c r="H283" t="inlineStr">
        <is>
          <t>Автор и камера / композиция</t>
        </is>
      </c>
    </row>
    <row r="284">
      <c r="H284" t="inlineStr">
        <is>
          <t>Автор и камера / решающий момент</t>
        </is>
      </c>
    </row>
    <row r="285">
      <c r="H285" t="inlineStr">
        <is>
          <t>Автор и камера / дистанция</t>
        </is>
      </c>
    </row>
    <row r="286">
      <c r="H286" t="inlineStr">
        <is>
          <t>Автор и камера / объектив как язык</t>
        </is>
      </c>
    </row>
    <row r="287">
      <c r="H287" t="inlineStr">
        <is>
          <t>Автор и камера / отношение к человеку</t>
        </is>
      </c>
    </row>
    <row r="288">
      <c r="H288" t="inlineStr">
        <is>
          <t>Автор и камера / отбор и печать</t>
        </is>
      </c>
    </row>
    <row r="289">
      <c r="H289" t="inlineStr">
        <is>
          <t>Автор и камера / техника усиливает решение</t>
        </is>
      </c>
    </row>
    <row r="290">
      <c r="H290" t="inlineStr">
        <is>
          <t>Автор и камера / мост к объективам</t>
        </is>
      </c>
    </row>
    <row r="291">
      <c r="H291" t="inlineStr">
        <is>
          <t>Объектив / базовое определение</t>
        </is>
      </c>
    </row>
    <row r="292">
      <c r="H292" t="inlineStr">
        <is>
          <t>Объектив / линза против отверстия</t>
        </is>
      </c>
    </row>
    <row r="293">
      <c r="H293" t="inlineStr">
        <is>
          <t>Объектив / фокальная плоскость</t>
        </is>
      </c>
    </row>
    <row r="294">
      <c r="H294" t="inlineStr">
        <is>
          <t>Объектив / фокусировка</t>
        </is>
      </c>
    </row>
    <row r="295">
      <c r="H295" t="inlineStr">
        <is>
          <t>Объектив / диафрагма</t>
        </is>
      </c>
    </row>
    <row r="296">
      <c r="H296" t="inlineStr">
        <is>
          <t>Объектив / фокусное расстояние</t>
        </is>
      </c>
    </row>
    <row r="297">
      <c r="H297" t="inlineStr">
        <is>
          <t>Объектив / фикс и зум</t>
        </is>
      </c>
    </row>
    <row r="298">
      <c r="H298" t="inlineStr">
        <is>
          <t>Объектив / светосила</t>
        </is>
      </c>
    </row>
    <row r="299">
      <c r="H299" t="inlineStr">
        <is>
          <t>Объектив / аберрации</t>
        </is>
      </c>
    </row>
    <row r="300">
      <c r="H300" t="inlineStr">
        <is>
          <t>Объектив / просветление</t>
        </is>
      </c>
    </row>
    <row r="301">
      <c r="H301" t="inlineStr">
        <is>
          <t>Объектив / характер изображения</t>
        </is>
      </c>
    </row>
    <row r="302">
      <c r="H302" t="inlineStr">
        <is>
          <t>Объектив / анатомия</t>
        </is>
      </c>
    </row>
    <row r="303">
      <c r="H303" t="inlineStr">
        <is>
          <t>Объектив / элементы и группы</t>
        </is>
      </c>
    </row>
    <row r="304">
      <c r="H304" t="inlineStr">
        <is>
          <t>Объектив / корпус и центрировка</t>
        </is>
      </c>
    </row>
    <row r="305">
      <c r="H305" t="inlineStr">
        <is>
          <t>Объектив / фокусировочный механизм</t>
        </is>
      </c>
    </row>
    <row r="306">
      <c r="H306" t="inlineStr">
        <is>
          <t>Объектив / лепестки диафрагмы</t>
        </is>
      </c>
    </row>
    <row r="307">
      <c r="H307" t="inlineStr">
        <is>
          <t>Объектив / управление диафрагмой</t>
        </is>
      </c>
    </row>
    <row r="308">
      <c r="H308" t="inlineStr">
        <is>
          <t>Объектив / байонет</t>
        </is>
      </c>
    </row>
    <row r="309">
      <c r="H309" t="inlineStr">
        <is>
          <t>Объектив / шкалы фокуса</t>
        </is>
      </c>
    </row>
    <row r="310">
      <c r="H310" t="inlineStr">
        <is>
          <t>Объектив / стекло и покрытия</t>
        </is>
      </c>
    </row>
    <row r="311">
      <c r="H311" t="inlineStr">
        <is>
          <t>Объектив / моторы и стабилизация</t>
        </is>
      </c>
    </row>
    <row r="312">
      <c r="H312" t="inlineStr">
        <is>
          <t>Объектив / фильтр и бленда</t>
        </is>
      </c>
    </row>
    <row r="313">
      <c r="H313" t="inlineStr">
        <is>
          <t>Объектив / осмотр перед покупкой</t>
        </is>
      </c>
    </row>
    <row r="314">
      <c r="H314" t="inlineStr">
        <is>
          <t>Фокусное расстояние / определение</t>
        </is>
      </c>
    </row>
    <row r="315">
      <c r="H315" t="inlineStr">
        <is>
          <t>Фокусное расстояние / широкий угол</t>
        </is>
      </c>
    </row>
    <row r="316">
      <c r="H316" t="inlineStr">
        <is>
          <t>Фокусное расстояние / нормальный объектив</t>
        </is>
      </c>
    </row>
    <row r="317">
      <c r="H317" t="inlineStr">
        <is>
          <t>Фокусное расстояние / телефото</t>
        </is>
      </c>
    </row>
    <row r="318">
      <c r="H318" t="inlineStr">
        <is>
          <t>Фокусное расстояние / перспектива и дистанция</t>
        </is>
      </c>
    </row>
    <row r="319">
      <c r="H319" t="inlineStr">
        <is>
          <t>Фокусное расстояние / одинаковый масштаб</t>
        </is>
      </c>
    </row>
    <row r="320">
      <c r="H320" t="inlineStr">
        <is>
          <t>Фокусное расстояние / формат кадра</t>
        </is>
      </c>
    </row>
    <row r="321">
      <c r="H321" t="inlineStr">
        <is>
          <t>Фокусное расстояние / фикс и зум</t>
        </is>
      </c>
    </row>
    <row r="322">
      <c r="H322" t="inlineStr">
        <is>
          <t>Фокусное расстояние / минимальная дистанция</t>
        </is>
      </c>
    </row>
    <row r="323">
      <c r="H323" t="inlineStr">
        <is>
          <t>Фокусное расстояние / мост к типам объективов</t>
        </is>
      </c>
    </row>
    <row r="324">
      <c r="H324" t="inlineStr">
        <is>
          <t>Фокусное расстояние / маркировка объектива</t>
        </is>
      </c>
    </row>
    <row r="325">
      <c r="H325" t="inlineStr">
        <is>
          <t>Широкоугольный объектив / базовое определение</t>
        </is>
      </c>
    </row>
    <row r="326">
      <c r="H326" t="inlineStr">
        <is>
          <t>Широкоугольный объектив / формат кадра</t>
        </is>
      </c>
    </row>
    <row r="327">
      <c r="H327" t="inlineStr">
        <is>
          <t>Широкоугольный объектив / дистанция и перспектива</t>
        </is>
      </c>
    </row>
    <row r="328">
      <c r="H328" t="inlineStr">
        <is>
          <t>Нормальный объектив / базовое определение</t>
        </is>
      </c>
    </row>
    <row r="329">
      <c r="H329" t="inlineStr">
        <is>
          <t>Нормальный объектив / Leica и Elmar</t>
        </is>
      </c>
    </row>
    <row r="330">
      <c r="H330" t="inlineStr">
        <is>
          <t>Нормальный объектив / угол зрения</t>
        </is>
      </c>
    </row>
    <row r="331">
      <c r="H331" t="inlineStr">
        <is>
          <t>Портретный объектив / базовое определение</t>
        </is>
      </c>
    </row>
    <row r="332">
      <c r="H332" t="inlineStr">
        <is>
          <t>Портретный объектив / дистанция</t>
        </is>
      </c>
    </row>
    <row r="333">
      <c r="H333" t="inlineStr">
        <is>
          <t>Портретный объектив / 85 мм</t>
        </is>
      </c>
    </row>
    <row r="334">
      <c r="H334" t="inlineStr">
        <is>
          <t>Телеобъектив / базовое определение</t>
        </is>
      </c>
    </row>
    <row r="335">
      <c r="H335" t="inlineStr">
        <is>
          <t>Телеобъектив / компрессия пространства</t>
        </is>
      </c>
    </row>
    <row r="336">
      <c r="H336" t="inlineStr">
        <is>
          <t>Телеобъектив / выдержка и шевелёнка</t>
        </is>
      </c>
    </row>
    <row r="337">
      <c r="H337" t="inlineStr">
        <is>
          <t>Светосила / базовое определение</t>
        </is>
      </c>
    </row>
    <row r="338">
      <c r="H338" t="inlineStr">
        <is>
          <t>Светосила / число f</t>
        </is>
      </c>
    </row>
    <row r="339">
      <c r="H339" t="inlineStr">
        <is>
          <t>Светосила / малая глубина резкости</t>
        </is>
      </c>
    </row>
    <row r="340">
      <c r="H340" t="inlineStr">
        <is>
          <t>Диафрагма / базовое определение</t>
        </is>
      </c>
    </row>
    <row r="341">
      <c r="H341" t="inlineStr">
        <is>
          <t>Диафрагма / лепестки</t>
        </is>
      </c>
    </row>
    <row r="342">
      <c r="H342" t="inlineStr">
        <is>
          <t>Диафрагма / экспозиция</t>
        </is>
      </c>
    </row>
    <row r="343">
      <c r="H343" t="inlineStr">
        <is>
          <t>Экспозиция / базовое определение</t>
        </is>
      </c>
    </row>
    <row r="344">
      <c r="H344" t="inlineStr">
        <is>
          <t>Экспозиция / треугольник</t>
        </is>
      </c>
    </row>
    <row r="345">
      <c r="H345" t="inlineStr">
        <is>
          <t>Экспозиция / авторский выбор</t>
        </is>
      </c>
    </row>
    <row r="346">
      <c r="H346" t="inlineStr">
        <is>
          <t>Диафрагма / окно света</t>
        </is>
      </c>
    </row>
    <row r="347">
      <c r="H347" t="inlineStr">
        <is>
          <t>Диафрагма / число f</t>
        </is>
      </c>
    </row>
    <row r="348">
      <c r="H348" t="inlineStr">
        <is>
          <t>Диафрагма / съёмка в слабом свете</t>
        </is>
      </c>
    </row>
    <row r="349">
      <c r="H349" t="inlineStr">
        <is>
          <t>Диафрагма / компенсация экспозиции</t>
        </is>
      </c>
    </row>
    <row r="350">
      <c r="H350" t="inlineStr">
        <is>
          <t>Диафрагма / глубина резкости</t>
        </is>
      </c>
    </row>
    <row r="351">
      <c r="H351" t="inlineStr">
        <is>
          <t>Диафрагма / приоритет диафрагмы</t>
        </is>
      </c>
    </row>
    <row r="352">
      <c r="H352" t="inlineStr">
        <is>
          <t>Диафрагма / максимальная диафрагма</t>
        </is>
      </c>
    </row>
    <row r="353">
      <c r="H353" t="inlineStr">
        <is>
          <t>Диафрагма / светосильный объектив</t>
        </is>
      </c>
    </row>
    <row r="354">
      <c r="H354" t="inlineStr">
        <is>
          <t>Диафрагма / рабочее значение</t>
        </is>
      </c>
    </row>
    <row r="355">
      <c r="H355" t="inlineStr">
        <is>
          <t>Диафрагма / полные стопы</t>
        </is>
      </c>
    </row>
    <row r="356">
      <c r="H356" t="inlineStr">
        <is>
          <t>Диафрагма / итог и мост</t>
        </is>
      </c>
    </row>
    <row r="357">
      <c r="H357" t="inlineStr">
        <is>
          <t>Выдержка / базовое определение</t>
        </is>
      </c>
    </row>
    <row r="358">
      <c r="H358" t="inlineStr">
        <is>
          <t>Выдержка / заморозка движения</t>
        </is>
      </c>
    </row>
    <row r="359">
      <c r="H359" t="inlineStr">
        <is>
          <t>Выдержка / длинная выдержка</t>
        </is>
      </c>
    </row>
    <row r="360">
      <c r="H360" t="inlineStr">
        <is>
          <t>Выдержка / шкала времени</t>
        </is>
      </c>
    </row>
    <row r="361">
      <c r="H361" t="inlineStr">
        <is>
          <t>Выдержка / шевелёнка</t>
        </is>
      </c>
    </row>
    <row r="362">
      <c r="H362" t="inlineStr">
        <is>
          <t>Выдержка / штатив</t>
        </is>
      </c>
    </row>
    <row r="363">
      <c r="H363" t="inlineStr">
        <is>
          <t>Выдержка / ND и время</t>
        </is>
      </c>
    </row>
    <row r="364">
      <c r="H364" t="inlineStr">
        <is>
          <t>Выдержка / приоритет выдержки</t>
        </is>
      </c>
    </row>
    <row r="365">
      <c r="H365" t="inlineStr">
        <is>
          <t>Выдержка / проводка</t>
        </is>
      </c>
    </row>
    <row r="366">
      <c r="H366" t="inlineStr">
        <is>
          <t>Выдержка / компенсация стопами</t>
        </is>
      </c>
    </row>
    <row r="367">
      <c r="H367" t="inlineStr">
        <is>
          <t>Выдержка / итог и мост</t>
        </is>
      </c>
    </row>
    <row r="368">
      <c r="H368" t="inlineStr">
        <is>
          <t>ISO / базовое определение</t>
        </is>
      </c>
    </row>
    <row r="369">
      <c r="H369" t="inlineStr">
        <is>
          <t>ISO / плёночная чувствительность</t>
        </is>
      </c>
    </row>
    <row r="370">
      <c r="H370" t="inlineStr">
        <is>
          <t>ISO / цифровое ISO</t>
        </is>
      </c>
    </row>
    <row r="371">
      <c r="H371" t="inlineStr">
        <is>
          <t>ISO / низкая чувствительность</t>
        </is>
      </c>
    </row>
    <row r="372">
      <c r="H372" t="inlineStr">
        <is>
          <t>ISO / высокая чувствительность</t>
        </is>
      </c>
    </row>
    <row r="373">
      <c r="H373" t="inlineStr">
        <is>
          <t>ISO / связь с выдержкой</t>
        </is>
      </c>
    </row>
    <row r="374">
      <c r="H374" t="inlineStr">
        <is>
          <t>ISO / связь с диафрагмой</t>
        </is>
      </c>
    </row>
    <row r="375">
      <c r="H375" t="inlineStr">
        <is>
          <t>ISO / Auto ISO</t>
        </is>
      </c>
    </row>
    <row r="376">
      <c r="H376" t="inlineStr">
        <is>
          <t>ISO / ручной выбор</t>
        </is>
      </c>
    </row>
    <row r="377">
      <c r="H377" t="inlineStr">
        <is>
          <t>ISO / место в треугольнике</t>
        </is>
      </c>
    </row>
    <row r="378">
      <c r="H378" t="inlineStr">
        <is>
          <t>ISO / итог и мост</t>
        </is>
      </c>
    </row>
    <row r="379">
      <c r="H379" t="inlineStr">
        <is>
          <t>Экспозиционный треугольник / базовая модель</t>
        </is>
      </c>
    </row>
    <row r="380">
      <c r="H380" t="inlineStr">
        <is>
          <t>Экспозиционный треугольник / визуальные эффекты</t>
        </is>
      </c>
    </row>
    <row r="381">
      <c r="H381" t="inlineStr">
        <is>
          <t>Экспозиционный треугольник / баланс</t>
        </is>
      </c>
    </row>
    <row r="382">
      <c r="H382" t="inlineStr">
        <is>
          <t>Экспозиционный треугольник / эквивалентные варианты</t>
        </is>
      </c>
    </row>
    <row r="383">
      <c r="H383" t="inlineStr">
        <is>
          <t>Экспозиционный треугольник / портретный сценарий</t>
        </is>
      </c>
    </row>
    <row r="384">
      <c r="H384" t="inlineStr">
        <is>
          <t>Экспозиционный треугольник / сценарий движения</t>
        </is>
      </c>
    </row>
    <row r="385">
      <c r="H385" t="inlineStr">
        <is>
          <t>Экспозиционный треугольник / слабый свет</t>
        </is>
      </c>
    </row>
    <row r="386">
      <c r="H386" t="inlineStr">
        <is>
          <t>Экспозиционный треугольник / полуавтоматические режимы</t>
        </is>
      </c>
    </row>
    <row r="387">
      <c r="H387" t="inlineStr">
        <is>
          <t>Экспозиционный треугольник / ручной режим</t>
        </is>
      </c>
    </row>
    <row r="388">
      <c r="H388" t="inlineStr">
        <is>
          <t>Экспозиционный треугольник / авторский выбор</t>
        </is>
      </c>
    </row>
    <row r="389">
      <c r="H389" t="inlineStr">
        <is>
          <t>Экспозиционный треугольник / итог и мост</t>
        </is>
      </c>
    </row>
    <row r="390">
      <c r="H390" t="inlineStr">
        <is>
          <t>Стопы света / базовое определение</t>
        </is>
      </c>
    </row>
    <row r="391">
      <c r="H391" t="inlineStr">
        <is>
          <t>Стопы света / плюс-минус стоп</t>
        </is>
      </c>
    </row>
    <row r="392">
      <c r="H392" t="inlineStr">
        <is>
          <t>Стопы света / диафрагма</t>
        </is>
      </c>
    </row>
    <row r="393">
      <c r="H393" t="inlineStr">
        <is>
          <t>Стопы света / выдержка</t>
        </is>
      </c>
    </row>
    <row r="394">
      <c r="H394" t="inlineStr">
        <is>
          <t>Стопы света / ISO</t>
        </is>
      </c>
    </row>
    <row r="395">
      <c r="H395" t="inlineStr">
        <is>
          <t>Стопы света / дробные шаги</t>
        </is>
      </c>
    </row>
    <row r="396">
      <c r="H396" t="inlineStr">
        <is>
          <t>Стопы света / эквивалентные изменения</t>
        </is>
      </c>
    </row>
    <row r="397">
      <c r="H397" t="inlineStr">
        <is>
          <t>Стопы света / ND-фильтр</t>
        </is>
      </c>
    </row>
    <row r="398">
      <c r="H398" t="inlineStr">
        <is>
          <t>Стопы света / экспокоррекция</t>
        </is>
      </c>
    </row>
    <row r="399">
      <c r="H399" t="inlineStr">
        <is>
          <t>Стопы света / практика</t>
        </is>
      </c>
    </row>
    <row r="400">
      <c r="H400" t="inlineStr">
        <is>
          <t>Стопы света / итог и мост</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10" defaultColWidth="8.6640625" defaultRowHeight="13"/>
  <cols>
    <col width="40.6640625" customWidth="1" style="72" min="1" max="1"/>
    <col width="165" customWidth="1" style="72" min="2" max="2"/>
  </cols>
  <sheetData>
    <row r="1" ht="40" customHeight="1" s="72">
      <c r="A1" s="32" t="inlineStr">
        <is>
          <t>PHOTO LAB — History Map Master v0.20</t>
        </is>
      </c>
      <c r="B1" s="20" t="n"/>
    </row>
    <row r="2" ht="21" customHeight="1" s="72">
      <c r="A2" s="82" t="inlineStr">
        <is>
          <t>Назначение</t>
        </is>
      </c>
      <c r="B2" s="80" t="inlineStr">
        <is>
          <t>Исследовательская база для будущей интерактивной карты развития фотографии: география + время + ветки технологий + привязка к урокам.</t>
        </is>
      </c>
    </row>
    <row r="3" ht="21" customHeight="1" s="72">
      <c r="A3" s="82" t="inlineStr">
        <is>
          <t>Охват v0.17</t>
        </is>
      </c>
      <c r="B3" s="80" t="inlineStr">
        <is>
          <t>От оптических предпосылок камеры-обскуры до Leica I, полный Модуль 2 о плёнке, Модуль 3 до PL-030, Модуль 4 до PL-039; Модуль 5 заполнен PL-041–PL-046. PL-040 пока оставлен отдельным будущим заполнением.</t>
        </is>
      </c>
    </row>
    <row r="4" ht="21" customHeight="1" s="72">
      <c r="A4" s="82" t="inlineStr">
        <is>
          <t>Принцип</t>
        </is>
      </c>
      <c r="B4" s="80" t="inlineStr">
        <is>
          <t>Каждый факт должен отвечать на 5 вопросов: что произошло, где, кто связан, почему важно, чем подтверждено.</t>
        </is>
      </c>
    </row>
    <row r="5" ht="21" customHeight="1" s="72">
      <c r="A5" s="82" t="inlineStr">
        <is>
          <t>Как пользоваться</t>
        </is>
      </c>
      <c r="B5" s="80" t="inlineStr">
        <is>
          <t>Фильтровать лист 01_Master_Facts по уроку, ветке развития, статусу ветки, типу узла, стране или уровню уверенности.</t>
        </is>
      </c>
    </row>
    <row r="6" ht="21" customHeight="1" s="72">
      <c r="A6" s="82" t="inlineStr">
        <is>
          <t>Важно</t>
        </is>
      </c>
      <c r="B6" s="80" t="inlineStr">
        <is>
          <t>Поля «Проверить позже» и «Уверенность 1–5» оставлены специально: спорные даты и слабые источники не должны попадать в финальную карту без доработки.</t>
        </is>
      </c>
    </row>
    <row r="7" ht="21" customHeight="1" s="72">
      <c r="A7" s="82" t="inlineStr">
        <is>
          <t>Правило веток</t>
        </is>
      </c>
      <c r="B7" s="80" t="inlineStr">
        <is>
          <t>Колонка H «Ветка развития» должна содержать только крупные ветки из листа 02_Branches. PL-024–PL-028 остаются внутри ветки «Оптические инструменты», кроме отдельных узлов печати/фотохимии для большого формата.</t>
        </is>
      </c>
    </row>
    <row r="8" ht="21" customHeight="1" s="72">
      <c r="A8" s="82" t="inlineStr">
        <is>
          <t>Правило подветок</t>
        </is>
      </c>
      <c r="B8" s="80" t="inlineStr">
        <is>
          <t>Детализация хранится в колонке Y «Подветка (детали)»: дальномер, SLR, compact, средний формат, большой формат, view camera, подвижки и т.д. Это позволяет карте фильтровать крупно и подробно одновременно.</t>
        </is>
      </c>
    </row>
    <row r="9" ht="17" customHeight="1" s="72">
      <c r="A9" s="75" t="inlineStr">
        <is>
          <t>Правило типа узла</t>
        </is>
      </c>
      <c r="B9" s="75" t="inlineStr">
        <is>
          <t>Тип узла = назначение факта на карте: технология, предпосылка, инструмент, публикация, терминология, применение, распространение, связь/переход и т.п.</t>
        </is>
      </c>
    </row>
    <row r="10" ht="31" customHeight="1" s="72">
      <c r="A10" s="75" t="inlineStr">
        <is>
          <t>Единственный источник истины по урокам</t>
        </is>
      </c>
      <c r="B10" s="75" t="inlineStr">
        <is>
          <t>Для фильтра «по уроку» использовать только колонку «Привязка к уроку» в 01_Master_Facts. Диапазоны в 03_Lessons_Map — нарративные, не строгие множества, и могут пересекаться между уроками.</t>
        </is>
      </c>
    </row>
    <row r="11" ht="31" customHeight="1" s="72">
      <c r="A11" s="75" t="inlineStr">
        <is>
          <t>Что изменено в v0.2.1</t>
        </is>
      </c>
      <c r="B11" s="75" t="inlineStr">
        <is>
          <t>Исправлены формулы Dashboard с безопасными ссылками на листы, убрана остаточная строка «Цианотипия», нормализованы выпадающие списки, добавлена колонка «Тип узла», подготовлена строка PL-006.</t>
        </is>
      </c>
    </row>
    <row r="12" ht="31" customHeight="1" s="72">
      <c r="A12" s="75" t="inlineStr">
        <is>
          <t>Что изменено в v0.3</t>
        </is>
      </c>
      <c r="B12" s="75" t="inlineStr">
        <is>
          <t>Заполнен PL-006: добавлены PL-HIST-0049…0058 по сухим желатиновым пластинам, добавлены источники SRC-027…SRC-034, обновлены 02_Branches, 03_Lessons_Map, 06_Lists и Dashboard.</t>
        </is>
      </c>
    </row>
    <row r="13" ht="17" customHeight="1" s="72">
      <c r="A13" s="75" t="inlineStr">
        <is>
          <t>Что изменено в v0.3.1</t>
        </is>
      </c>
      <c r="B13" s="75" t="inlineStr">
        <is>
          <t>Добавлена колонка «Флагман урока (да/нет)» в 01_Master_Facts: по одному флагманскому узлу на каждый из PL-001–PL-006.</t>
        </is>
      </c>
    </row>
    <row r="14" ht="17" customHeight="1" s="72">
      <c r="A14" s="75" t="inlineStr">
        <is>
          <t>Что изменено в v0.4</t>
        </is>
      </c>
      <c r="B14" s="75" t="inlineStr">
        <is>
          <t>Заполнен PL-007: добавлены PL-HIST-0059…0068 по рулонной плёнке, Eastman-Walker roll holder, Kodak camera 1888, сервисной модели Kodak, прозрачной плёнке 1889, дневной перезарядке и Brownie как мосту к массовой фотографии.</t>
        </is>
      </c>
    </row>
    <row r="15" ht="17" customHeight="1" s="72">
      <c r="A15" s="75" t="inlineStr">
        <is>
          <t>Что изменено в v0.5</t>
        </is>
      </c>
      <c r="B15" s="75" t="inlineStr">
        <is>
          <t>Заполнен PL-008: добавлены PL-HIST-0069…0078 по Brownie, доступной массовой камере, рекламе, 120 roll film, snapshot-культуре, семейному альбому, сервисной обработке, культурному архиву бытовых снимков и мосту к 35 мм / Leica.</t>
        </is>
      </c>
    </row>
    <row r="16" ht="17" customHeight="1" s="72">
      <c r="A16" s="75" t="inlineStr">
        <is>
          <t>Что изменено в v0.6</t>
        </is>
      </c>
      <c r="B16" s="75" t="inlineStr">
        <is>
          <t>Заполнен PL-009: добавлены PL-HIST-0079…0088 по 35 мм, киноплёнке, Edison/Dickson, Kinetoscope, стандартизации 35 мм, Ur-Leica, кадру 24×36, ранней репортажности, Leica как коммерческому мосту и 135 cartridge.</t>
        </is>
      </c>
    </row>
    <row r="17" ht="28" customHeight="1" s="72">
      <c r="A17" s="75" t="inlineStr">
        <is>
          <t>Что изменено в v0.7</t>
        </is>
      </c>
      <c r="B17" s="75" t="inlineStr">
        <is>
          <t>Заполнен PL-010: добавлены PL-HIST-0089…0098 по Leica I, Ur-Leica, Leica 0-Series, серийному запуску 1924/1925, публичному дебюту в Лейпциге, оптике Max Berek / Elmar, массовому распространению, новой мобильной визуальной практике, Leica I(C) и мосту к Leica II.</t>
        </is>
      </c>
    </row>
    <row r="18" ht="28" customHeight="1" s="72">
      <c r="A18" s="75" t="inlineStr">
        <is>
          <t>Что изменено в v0.8</t>
        </is>
      </c>
      <c r="B18" s="75" t="inlineStr">
        <is>
          <t>Заполнен PL-011: добавлены PL-HIST-0099…0109 по фотоплёнке как светочувствительному материалу: прозрачная основа, нитрат, acetate safety film, структура base+emulsion, серебряные соли, скрытое изображение, чувствительность/зерно и служебные слои. Добавлены источники SRC-069…SRC-075 и флагманский узел PL-HIST-0099.</t>
        </is>
      </c>
    </row>
    <row r="19" ht="28" customHeight="1" s="72">
      <c r="A19" s="75" t="inlineStr">
        <is>
          <t>Что изменено в v0.9</t>
        </is>
      </c>
      <c r="B19" s="75" t="inlineStr">
        <is>
          <t>Заполнен PL-012: добавлены PL-HIST-0110…0120 по эмульсии, желатину, галогенидам серебра, скрытому изображению, проявлению, фиксации, фабричному нанесению, DOP-фотобумаге, панхроматической чувствительности, ISO/зерну. Добавлены источники SRC-076…SRC-083 и флагманский узел PL-HIST-0110.</t>
        </is>
      </c>
    </row>
    <row r="20" ht="28" customHeight="1" s="72">
      <c r="A20" s="75" t="inlineStr">
        <is>
          <t>Что изменено в v0.10</t>
        </is>
      </c>
      <c r="B20" s="75" t="inlineStr">
        <is>
          <t>Заполнен PL-013: добавлены PL-HIST-0121…0131 по негативу и позитиву — фотогенный рисунок, бумажный негатив, терминология Гершеля, калотип, The Pencil of Nature, альбуминовая печать, стеклянный негатив, carte-de-visite, плёночный негатив, желатино-серебряная печать и Kodachrome как позитивная прозрачность. Добавлены источники SRC-084…SRC-093 и флагманский узел PL-HIST-0124.</t>
        </is>
      </c>
    </row>
    <row r="21" ht="14" customHeight="1" s="72">
      <c r="A21" s="75" t="inlineStr">
        <is>
          <t>Что изменено в v0.11</t>
        </is>
      </c>
      <c r="B21" s="75" t="inlineStr">
        <is>
          <t>Заполнен PL-014: добавлены PL-HIST-0132…0142 по позитиву — прямой позитив Байяра, соляная печать, The Pencil of Nature, альбуминовая печать, POP/DOP-фотобумага, сервисная печать Kodak, Autochrome, Kodachrome, Polaroid instant print и chromogenic print. Добавлены источники SRC-096…SRC-104 и флагманский узел PL-HIST-0133.</t>
        </is>
      </c>
    </row>
    <row r="22">
      <c r="A22" s="75" t="inlineStr">
        <is>
          <t>Что изменено в v0.12</t>
        </is>
      </c>
      <c r="B22" s="75" t="inlineStr">
        <is>
          <t>Заполнен PL-015: добавлены PL-HIST-0143…0153 по чёрно-белой плёнке — серебряно-желатиновая основа, орто/панхроматическая чувствительность, структура материала, проявление, фиксация, домашняя обработка, характер проявителя, Tri-X, T-Max и chromogenic B&amp;W / XP2. Добавлены источники SRC-109…SRC-119 и флагманский узел PL-HIST-0143.</t>
        </is>
      </c>
    </row>
    <row r="23">
      <c r="A23" s="75" t="inlineStr">
        <is>
          <t>Правило флагманских узлов</t>
        </is>
      </c>
      <c r="B23" s="75" t="inlineStr">
        <is>
          <t>Колонка «Флагман урока (да/нет)» = ровно один узел на урок, который представляет тему в компактном/обзорном режиме карты (Journey Mode). Значение проставляется вручную автором, не вычисляется автоматически.</t>
        </is>
      </c>
    </row>
    <row r="24">
      <c r="A24" s="75" t="inlineStr">
        <is>
          <t>Что изменено в v0.13</t>
        </is>
      </c>
      <c r="B24" s="75" t="inlineStr">
        <is>
          <t>Заполнен PL-016: добавлены PL-HIST-0154…0164 по цветной негативной плёнке — Kodacolor 1942, цветная система негатив→позитив, слои CMY, color couplers, оранжевая маска, chromogenic print, C-41, Flexicolor, экспозиционная гибкость, современная Portra и архивное хранение цветных негативов. Добавлены источники SRC-120…SRC-130 и флагманский узел PL-HIST-0154.</t>
        </is>
      </c>
    </row>
    <row r="25">
      <c r="A25" s="75" t="inlineStr">
        <is>
          <t>Что изменено в v0.14</t>
        </is>
      </c>
      <c r="B25" s="75" t="inlineStr">
        <is>
          <t>Заполнен PL-017: добавлены PL-HIST-0165…0175 по слайдовой плёнке — Autochrome как ранняя цветная прозрачность, 16-мм reversal, Kodachrome 1935, 35-мм слайды, принцип direct positive, Ektachrome 1946, E-6, точность экспозиции, современный Ektachrome E100 и архивное хранение прозрачностей. Добавлены источники SRC-131…SRC-142 и флагманский узел PL-HIST-0167.</t>
        </is>
      </c>
    </row>
    <row r="26">
      <c r="A26" s="75" t="inlineStr">
        <is>
          <t>Что изменено в v0.15</t>
        </is>
      </c>
      <c r="B26" s="75" t="inlineStr">
        <is>
          <t>Заполнены PL-018, PL-019 и PL-020: добавлены PL-HIST-0176…0208 по ISO плёнки, box speed/EI, push/pull, зерну, серебряным кристаллам, T-GRAIN/Core-Shell, влиянию проявки/сканирования, характеристической кривой, toe/shoulder, широте негатива и слайда. Добавлены источники SRC-143…SRC-165 и флагманские узлы PL-HIST-0176, PL-HIST-0187, PL-HIST-0198.</t>
        </is>
      </c>
    </row>
    <row r="27">
      <c r="A27" s="75" t="inlineStr">
        <is>
          <t>Что изменено в v0.16</t>
        </is>
      </c>
      <c r="B27" s="75" t="inlineStr">
        <is>
          <t>Заполнены PL-021, PL-022 и PL-023: добавлены PL-HIST-0209…0241 по устройству плёночной камеры, корпусу, плёночному тракту, затвору, объективу, видоискателю, протяжке, механическому управлению, экспонометру, AE, программным режимам, автофокусу, DX-коду, моторной протяжке и электронным AF SLR. Добавлены источники SRC-167…SRC-188 и флагманские узлы PL-HIST-0209, PL-HIST-0220, PL-HIST-0231.</t>
        </is>
      </c>
    </row>
    <row r="28">
      <c r="A28" s="75" t="inlineStr">
        <is>
          <t>Что изменено в v0.17</t>
        </is>
      </c>
      <c r="B28" s="75" t="inlineStr">
        <is>
          <t>Заполнены PL-024–PL-028: добавлены PL-HIST-0242…0296 по дальномерным, зеркальным и компактным плёночным камерам, среднему и большому формату. Добавлены источники SRC-189…SRC-237 и флагманские узлы PL-HIST-0244, PL-HIST-0258, PL-HIST-0266, PL-HIST-0275, PL-HIST-0286.</t>
        </is>
      </c>
    </row>
    <row r="29">
      <c r="A29" s="75" t="inlineStr">
        <is>
          <t>Следующий шаг</t>
        </is>
      </c>
      <c r="B29" s="75" t="inlineStr">
        <is>
          <t>PL-029: Как выбрать первую плёночную камеру — собрать практическую карту выбора: формат, тип камеры, ремонтопригодность, объектив, экспонометр, батарейки, цена владения и первые ошибки новичка.</t>
        </is>
      </c>
    </row>
    <row r="30">
      <c r="A30" t="inlineStr">
        <is>
          <t>Что изменено в v0.18</t>
        </is>
      </c>
      <c r="B30" t="inlineStr">
        <is>
          <t>Заполнены PL-029–PL-033: добавлены PL-HIST-0297…0351 по выбору первой плёночной камеры, роли автора, базовому определению объектива, устройству объектива и фокусному расстоянию. Добавлены источники SRC-241…SRC-266 и флагманские узлы PL-HIST-0297, PL-HIST-0308, PL-HIST-0319, PL-HIST-0330, PL-HIST-0342.</t>
        </is>
      </c>
    </row>
    <row r="31">
      <c r="A31" t="inlineStr">
        <is>
          <t>Следующий шаг</t>
        </is>
      </c>
      <c r="B31" t="inlineStr">
        <is>
          <t>PL-034: Широкоугольный объектив — собрать узлы по короткому фокусному расстоянию, широкому углу зрения, перспективе, переднему плану, архитектуре, улице и типичным ошибкам новичка.</t>
        </is>
      </c>
    </row>
    <row r="32">
      <c r="A32" t="inlineStr">
        <is>
          <t>Что изменено в v0.19</t>
        </is>
      </c>
      <c r="B32" t="inlineStr">
        <is>
          <t>Заполнены PL-034–PL-039 и PL-041: добавлены PL-HIST-0352…0428 по широкоугольному, нормальному 50 мм, портретному и телеобъективу, светосиле, диафрагме и базовой экспозиции. Добавлены источники SRC-267…SRC-292 и флагманские узлы PL-HIST-0352, PL-HIST-0363, PL-HIST-0374, PL-HIST-0385, PL-HIST-0396, PL-HIST-0407, PL-HIST-0418.</t>
        </is>
      </c>
    </row>
    <row r="33">
      <c r="A33" t="inlineStr">
        <is>
          <t>Следующий шаг</t>
        </is>
      </c>
      <c r="B33" t="inlineStr">
        <is>
          <t>PL-040: Почему объективы рисуют по-разному — отдельное заполнение перед продолжением PL-042–PL-050.</t>
        </is>
      </c>
    </row>
    <row r="35">
      <c r="A35" t="inlineStr">
        <is>
          <t>Что изменено в v0.20</t>
        </is>
      </c>
      <c r="B35" t="inlineStr">
        <is>
          <t>Заполнены PL-042–PL-046: добавлены PL-HIST-0429…0483 по диафрагме как окну света, выдержке как времени, ISO как чувствительности, экспозиционному треугольнику и стопам света. Добавлены источники SRC-296…SRC-311 и флагманские узлы PL-HIST-0429, PL-HIST-0440, PL-HIST-0451, PL-HIST-0462, PL-HIST-0473.</t>
        </is>
      </c>
    </row>
    <row r="36">
      <c r="A36" t="inlineStr">
        <is>
          <t>Следующий шаг</t>
        </is>
      </c>
      <c r="B36" t="inlineStr">
        <is>
          <t>PL-047: Недодержка — разобрать нехватку света, потерю деталей в тенях, отличие плёнки и цифры, экспокоррекцию и практику намеренной/случайной недодержки. PL-040 остаётся отдельным долгом в Модуле 4.</t>
        </is>
      </c>
    </row>
  </sheetData>
  <mergeCells count="1">
    <mergeCell ref="A1:B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2026-09-09T00:41:41Z</dcterms:created>
  <dcterms:modified xmlns:dcterms="http://purl.org/dc/terms/" xmlns:xsi="http://www.w3.org/2001/XMLSchema-instance" xsi:type="dcterms:W3CDTF">2026-09-09T00:41:50Z</dcterms:modified>
</cp:coreProperties>
</file>