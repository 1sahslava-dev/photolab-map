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/>
  <mc:AlternateContent xmlns:mc="http://schemas.openxmlformats.org/markup-compatibility/2006">
    <mc:Choice Requires="x15">
      <x15ac:absPath xmlns:x15ac="http://schemas.microsoft.com/office/spreadsheetml/2010/11/ac" url="/Users/vyacfro/Downloads/Iner Map/"/>
    </mc:Choice>
  </mc:AlternateContent>
  <xr:revisionPtr revIDLastSave="0" documentId="13_ncr:1_{C9C51468-53D7-684C-A965-820BBE5E5A31}" xr6:coauthVersionLast="47" xr6:coauthVersionMax="47" xr10:uidLastSave="{00000000-0000-0000-0000-000000000000}"/>
  <bookViews>
    <workbookView xWindow="0" yWindow="500" windowWidth="36000" windowHeight="23380" activeTab="3" xr2:uid="{00000000-000D-0000-FFFF-FFFF00000000}"/>
  </bookViews>
  <sheets>
    <sheet name="05_Dashboard" sheetId="1" r:id="rId1"/>
    <sheet name="01_Master_Facts" sheetId="2" r:id="rId2"/>
    <sheet name="02_Branches" sheetId="3" r:id="rId3"/>
    <sheet name="03_Lessons_Map" sheetId="4" r:id="rId4"/>
    <sheet name="04_Sources" sheetId="5" r:id="rId5"/>
    <sheet name="06_Lists" sheetId="6" r:id="rId6"/>
    <sheet name="00_README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6" i="1" l="1"/>
  <c r="B35" i="1"/>
  <c r="B34" i="1"/>
  <c r="B33" i="1"/>
  <c r="B32" i="1"/>
  <c r="B31" i="1"/>
  <c r="B30" i="1"/>
  <c r="B29" i="1"/>
  <c r="B28" i="1"/>
  <c r="B27" i="1"/>
  <c r="B26" i="1"/>
  <c r="B22" i="1"/>
  <c r="B21" i="1"/>
  <c r="E20" i="1"/>
  <c r="B20" i="1"/>
  <c r="E19" i="1"/>
  <c r="B19" i="1"/>
  <c r="E18" i="1"/>
  <c r="B18" i="1"/>
  <c r="E17" i="1"/>
  <c r="B17" i="1"/>
  <c r="E16" i="1"/>
  <c r="B16" i="1"/>
  <c r="E15" i="1"/>
  <c r="B15" i="1"/>
  <c r="E14" i="1"/>
  <c r="B14" i="1"/>
  <c r="E13" i="1"/>
  <c r="B13" i="1"/>
  <c r="E12" i="1"/>
  <c r="B12" i="1"/>
  <c r="E11" i="1"/>
  <c r="B11" i="1"/>
  <c r="E10" i="1"/>
  <c r="B10" i="1"/>
  <c r="B6" i="1"/>
  <c r="B5" i="1"/>
  <c r="B4" i="1"/>
  <c r="B3" i="1"/>
</calcChain>
</file>

<file path=xl/sharedStrings.xml><?xml version="1.0" encoding="utf-8"?>
<sst xmlns="http://schemas.openxmlformats.org/spreadsheetml/2006/main" count="2414" uniqueCount="1425">
  <si>
    <t>PHOTO LAB — Master Timeline v0.5</t>
  </si>
  <si>
    <t>KPI</t>
  </si>
  <si>
    <t>Значение</t>
  </si>
  <si>
    <t>Комментарий</t>
  </si>
  <si>
    <t>Всего исторических узлов</t>
  </si>
  <si>
    <t>Количество строк в 01_Master_Facts</t>
  </si>
  <si>
    <t>Узлов с важностью 5</t>
  </si>
  <si>
    <t>Критические для карты и уроков</t>
  </si>
  <si>
    <t>Узлов для PL-001–PL-008</t>
  </si>
  <si>
    <t>Без будущих PL и межурочных узлов</t>
  </si>
  <si>
    <t>Строк с пометкой «проверить позже»</t>
  </si>
  <si>
    <t>Живая формула: считает непустые ячейки в «Проверить позже»</t>
  </si>
  <si>
    <t>Ветка развития</t>
  </si>
  <si>
    <t>Количество узлов</t>
  </si>
  <si>
    <t>Урок</t>
  </si>
  <si>
    <t>Оптика / камера-обскура</t>
  </si>
  <si>
    <t>PL-001</t>
  </si>
  <si>
    <t>Оптические инструменты</t>
  </si>
  <si>
    <t>PL-002</t>
  </si>
  <si>
    <t>Фотохимия</t>
  </si>
  <si>
    <t>PL-003</t>
  </si>
  <si>
    <t>Гелиография</t>
  </si>
  <si>
    <t>PL-004</t>
  </si>
  <si>
    <t>Дагеротип</t>
  </si>
  <si>
    <t>PL-005</t>
  </si>
  <si>
    <t>Фотогенный рисунок / фотограмма</t>
  </si>
  <si>
    <t>PL-006</t>
  </si>
  <si>
    <t>Негатив-позитив</t>
  </si>
  <si>
    <t>PL-007</t>
  </si>
  <si>
    <t>Фиксаж / терминология</t>
  </si>
  <si>
    <t>PL-008</t>
  </si>
  <si>
    <t>Печать / тиражирование</t>
  </si>
  <si>
    <t>будущие PL</t>
  </si>
  <si>
    <t>Мокрый коллодий</t>
  </si>
  <si>
    <t>межурочный узел</t>
  </si>
  <si>
    <t>Уникальный позитив</t>
  </si>
  <si>
    <t>проверить</t>
  </si>
  <si>
    <t>Цвет</t>
  </si>
  <si>
    <t>Проекция / распространение</t>
  </si>
  <si>
    <t>Тип узла</t>
  </si>
  <si>
    <t>Фундаментальная предпосылка</t>
  </si>
  <si>
    <t>Технология / процесс</t>
  </si>
  <si>
    <t>Инструмент / устройство</t>
  </si>
  <si>
    <t>Публикация / объявление</t>
  </si>
  <si>
    <t>Терминология / язык</t>
  </si>
  <si>
    <t>Связь / переход</t>
  </si>
  <si>
    <t>Тиражирование / публикация</t>
  </si>
  <si>
    <t>Распространение / коммерциализация</t>
  </si>
  <si>
    <t>Научное применение / пример</t>
  </si>
  <si>
    <t>Применение / жанр</t>
  </si>
  <si>
    <t>Ключевой исторический узел</t>
  </si>
  <si>
    <t>ID</t>
  </si>
  <si>
    <t>Период / дата</t>
  </si>
  <si>
    <t>Точность даты</t>
  </si>
  <si>
    <t>Страна</t>
  </si>
  <si>
    <t>Город / регион</t>
  </si>
  <si>
    <t>Персона / группа</t>
  </si>
  <si>
    <t>Событие</t>
  </si>
  <si>
    <t>Что изменилось</t>
  </si>
  <si>
    <t>Предыдущая связь</t>
  </si>
  <si>
    <t>Следующая связь</t>
  </si>
  <si>
    <t>Статус ветки</t>
  </si>
  <si>
    <t>Важность 1–5</t>
  </si>
  <si>
    <t>Привязка к уроку</t>
  </si>
  <si>
    <t>Источник ID</t>
  </si>
  <si>
    <t>Название источника</t>
  </si>
  <si>
    <t>URL источника</t>
  </si>
  <si>
    <t>Уверенность 1–5</t>
  </si>
  <si>
    <t>Комментарий для лекции</t>
  </si>
  <si>
    <t>Визуальная идея для карты</t>
  </si>
  <si>
    <t>Теги</t>
  </si>
  <si>
    <t>Проверить позже</t>
  </si>
  <si>
    <t>Координаты (lat, lon)</t>
  </si>
  <si>
    <t>Подветка (детали)</t>
  </si>
  <si>
    <t>Флагман урока (да/нет)</t>
  </si>
  <si>
    <t>PL-HIST-0001</t>
  </si>
  <si>
    <t>ок. 1011–1021</t>
  </si>
  <si>
    <t>диапазон</t>
  </si>
  <si>
    <t>Египет / исламский научный мир</t>
  </si>
  <si>
    <t>Каир / Басра (контекст учёного)</t>
  </si>
  <si>
    <t>Ибн аль-Хайсам (Альхазен)</t>
  </si>
  <si>
    <t>В «Книге оптики» системно исследует свет, зрение и опыт тёмной комнаты с малым отверстием.</t>
  </si>
  <si>
    <t>Камера-обскура / pinhole image</t>
  </si>
  <si>
    <t>Фотографии ещё нет, но появляется научная база: свет распространяется прямыми линиями и может строить изображение.</t>
  </si>
  <si>
    <t>Античная оптика и астрономические наблюдения</t>
  </si>
  <si>
    <t>Европейская оптика, камера-обскура как инструмент наблюдения</t>
  </si>
  <si>
    <t>Оптическая предпосылка</t>
  </si>
  <si>
    <t>SRC-001</t>
  </si>
  <si>
    <t>AramcoWorld — Ibn al-Haytham: Testing is Believing</t>
  </si>
  <si>
    <t>https://www.aramcoworld.com/en/articles/2023/ibn-al-haytham-testing-is-believing</t>
  </si>
  <si>
    <t>Важно сказать аккуратно: он не изобрёл фотографию, а дал фундамент для понимания изображения светом.</t>
  </si>
  <si>
    <t>Стартовая точка карты: луч света входит в тёмную комнату и строит перевёрнутое изображение.</t>
  </si>
  <si>
    <t>#оптика #камера-обскура #ИбнАльХайсам #PL001</t>
  </si>
  <si>
    <t>Уточнить формулировку места: не привязывать к современной стране слишком жёстко.</t>
  </si>
  <si>
    <t>30.0444, 31.2357</t>
  </si>
  <si>
    <t>да</t>
  </si>
  <si>
    <t>PL-HIST-0002</t>
  </si>
  <si>
    <t>1545</t>
  </si>
  <si>
    <t>год</t>
  </si>
  <si>
    <t>Нидерланды / Священная Римская империя</t>
  </si>
  <si>
    <t>Лёвен / Фрисландия (контекст публикации)</t>
  </si>
  <si>
    <t>Гемма Фризиус</t>
  </si>
  <si>
    <t>Публикует один из ранних известных рисунков камеры-обскуры, использованной для наблюдения солнечного затмения.</t>
  </si>
  <si>
    <t>Камера-обскура как астрономический инструмент</t>
  </si>
  <si>
    <t>Принцип тёмной комнаты становится не только философским описанием, но и изображаемым инструментом наблюдения.</t>
  </si>
  <si>
    <t>Ибн аль-Хайсам и средневековая оптика</t>
  </si>
  <si>
    <t>Линза и художественное применение камеры-обскуры</t>
  </si>
  <si>
    <t>SRC-003</t>
  </si>
  <si>
    <t>Max Planck Institute — Camera Obscura PDF</t>
  </si>
  <si>
    <t>https://www.mpiwg-berlin.mpg.de/sites/default/files/Preprints/P307.pdf</t>
  </si>
  <si>
    <t>Можно использовать как промежуточный узел: камера-обскура служит не фотографии, а безопасному наблюдению солнца.</t>
  </si>
  <si>
    <t>Иконка солнечного затмения + тёмная комната.</t>
  </si>
  <si>
    <t>#оптика #астрономия #камера-обскура</t>
  </si>
  <si>
    <t>Нужен первичный источник/точная ссылка на публикацию Frisius.</t>
  </si>
  <si>
    <t>50.8798, 4.7005</t>
  </si>
  <si>
    <t>PL-HIST-0003</t>
  </si>
  <si>
    <t>1550</t>
  </si>
  <si>
    <t>Италия</t>
  </si>
  <si>
    <t>Павия / Италия</t>
  </si>
  <si>
    <t>Джероламо Кардано</t>
  </si>
  <si>
    <t>Описывает использование стеклянной линзы в камере-обскуре для улучшения изображения.</t>
  </si>
  <si>
    <t>Линза в камере-обскуре</t>
  </si>
  <si>
    <t>Камера-обскура становится ближе к будущей камере: не просто отверстие, а оптическое формирование более яркого и резкого изображения.</t>
  </si>
  <si>
    <t>Пинхол / тёмная комната</t>
  </si>
  <si>
    <t>Della Porta и популяризация камеры-обскуры</t>
  </si>
  <si>
    <t>SRC-002</t>
  </si>
  <si>
    <t>IMSS / Museo Galileo — Camera Obscura</t>
  </si>
  <si>
    <t>https://redi.imss.fi.it/inventions/index.php/Camera_Obscura</t>
  </si>
  <si>
    <t>Для новичка: отверстие даёт картинку, линза делает её ярче и удобнее.</t>
  </si>
  <si>
    <t>На линии добавить маленькую линзу перед тёмной комнатой.</t>
  </si>
  <si>
    <t>#оптика #линза #камера</t>
  </si>
  <si>
    <t>45.1847, 9.1582</t>
  </si>
  <si>
    <t>PL-HIST-0004</t>
  </si>
  <si>
    <t>1558</t>
  </si>
  <si>
    <t>Неаполь</t>
  </si>
  <si>
    <t>Джамбаттиста делла Порта</t>
  </si>
  <si>
    <t>В «Magia Naturalis» описывает камеру-обскуру как зрелищный и практический инструмент наблюдения/рисования.</t>
  </si>
  <si>
    <t>Камера-обскура как инструмент художника</t>
  </si>
  <si>
    <t>Камера-обскура входит в европейскую культуру изображения: становится помощником перспективы и точного рисунка.</t>
  </si>
  <si>
    <t>Кардано и линза</t>
  </si>
  <si>
    <t>Kepler, портативные камеры-обскуры</t>
  </si>
  <si>
    <t>Здесь можно показать мост от науки к искусству: камера ещё не фотографирует, но уже помогает изображать реальность.</t>
  </si>
  <si>
    <t>Иконка художника, который обводит проекцию.</t>
  </si>
  <si>
    <t>#оптика #искусство #DellaPorta</t>
  </si>
  <si>
    <t>40.8518, 14.2681</t>
  </si>
  <si>
    <t>PL-HIST-0005</t>
  </si>
  <si>
    <t>1604</t>
  </si>
  <si>
    <t>Германия</t>
  </si>
  <si>
    <t>Прага / Линц (контекст Kepler)</t>
  </si>
  <si>
    <t>Иоганн Кеплер</t>
  </si>
  <si>
    <t>Использует/закрепляет термин «camera obscura» и анализирует формирование оптического изображения.</t>
  </si>
  <si>
    <t>Camera obscura</t>
  </si>
  <si>
    <t>Понятие получает устойчивое научное имя и входит в язык оптики.</t>
  </si>
  <si>
    <t>Renaissance descriptions of camera obscura</t>
  </si>
  <si>
    <t>Kepler's Dioptrice and portable camera obscura</t>
  </si>
  <si>
    <t>На карте можно показать, что слова тоже важны: когда явление получает имя, его проще передавать и развивать.</t>
  </si>
  <si>
    <t>Плашка-термин: CAMERA OBSCURA.</t>
  </si>
  <si>
    <t>#оптика #Kepler #термин</t>
  </si>
  <si>
    <t>50.0755, 14.4378</t>
  </si>
  <si>
    <t>Оптика / терминология</t>
  </si>
  <si>
    <t>PL-HIST-0006</t>
  </si>
  <si>
    <t>1611</t>
  </si>
  <si>
    <t>Линц / Прага</t>
  </si>
  <si>
    <t>В «Dioptrice» развивает понимание линз, проекции и улучшения изображения в оптических системах.</t>
  </si>
  <si>
    <t>Линзовая камера-обскура</t>
  </si>
  <si>
    <t>Будущая камера всё больше зависит от оптики: линзы дают контроль над изображением.</t>
  </si>
  <si>
    <t>Термин camera obscura</t>
  </si>
  <si>
    <t>Портативные камеры-обскуры и объективы</t>
  </si>
  <si>
    <t>Не перегружать урок формулами; объяснить как «переход от дырочки к оптической системе».</t>
  </si>
  <si>
    <t>Схема: отверстие → линза → более яркая проекция.</t>
  </si>
  <si>
    <t>#оптика #линзы #Kepler</t>
  </si>
  <si>
    <t>Подтвердить конкретные формулировки по первичному тексту Dioptrice.</t>
  </si>
  <si>
    <t>48.3069, 14.2858</t>
  </si>
  <si>
    <t>Оптика / камера</t>
  </si>
  <si>
    <t>PL-HIST-0007</t>
  </si>
  <si>
    <t>ок. 1620</t>
  </si>
  <si>
    <t>примерно</t>
  </si>
  <si>
    <t>Австрия / Германия</t>
  </si>
  <si>
    <t>Верхняя Австрия</t>
  </si>
  <si>
    <t>Использует переносную камеру-обскуру в виде палатки для наблюдения и зарисовок ландшафта.</t>
  </si>
  <si>
    <t>Портативная camera obscura</t>
  </si>
  <si>
    <t>Камера-обскура становится мобильной: это важный шаг к переносной камере.</t>
  </si>
  <si>
    <t>Zahn and portable camera designs</t>
  </si>
  <si>
    <t>Хороший визуальный эпизод для рилса: учёный в тёмной палатке ловит изображение мира.</t>
  </si>
  <si>
    <t>Карта: линия от комнаты к переносной палатке.</t>
  </si>
  <si>
    <t>#камера-обскура #портативность #Kepler</t>
  </si>
  <si>
    <t>Проверить год и источники письма Henry Wotton.</t>
  </si>
  <si>
    <t>PL-HIST-0008</t>
  </si>
  <si>
    <t>1685</t>
  </si>
  <si>
    <t>Вюрцбург</t>
  </si>
  <si>
    <t>Иоганн Цан</t>
  </si>
  <si>
    <t>Публикует схемы переносных камер-обскур и оптических устройств в «Oculus Artificialis».</t>
  </si>
  <si>
    <t>Портативная / зеркальная camera obscura</t>
  </si>
  <si>
    <t>Идея камеры становится почти предметной: устройство уже похоже на будущий фотоаппарат, но без химической фиксации.</t>
  </si>
  <si>
    <t>Портативные камеры-обскуры XVII века</t>
  </si>
  <si>
    <t>Фотохимия XVIII века</t>
  </si>
  <si>
    <t>SRC-004</t>
  </si>
  <si>
    <t>Public Domain Review — Johann Zahn's Oculus Artificialis</t>
  </si>
  <si>
    <t>https://publicdomainreview.org/collection/images-from-johann-zahn-s-oculus-artificialis-1685</t>
  </si>
  <si>
    <t>Можно показать как «корпус камеры появился раньше фотографии».</t>
  </si>
  <si>
    <t>Иконка деревянной камеры с зеркалом.</t>
  </si>
  <si>
    <t>#камера #Zahn #оптика</t>
  </si>
  <si>
    <t>49.7913, 9.9534</t>
  </si>
  <si>
    <t>PL-HIST-0009</t>
  </si>
  <si>
    <t>1727</t>
  </si>
  <si>
    <t>Альтдорф / Галле</t>
  </si>
  <si>
    <t>Иоганн Генрих Шульце</t>
  </si>
  <si>
    <t>Публикует научное исследование: соли серебра темнеют под действием света, а не тепла.</t>
  </si>
  <si>
    <t>Серебряные соли</t>
  </si>
  <si>
    <t>Появляется химическая половина фотографии: материал может реагировать на свет.</t>
  </si>
  <si>
    <t>Алхимические наблюдения потемнения серебра</t>
  </si>
  <si>
    <t>Scheele, Wedgwood, Niépce</t>
  </si>
  <si>
    <t>Химическая предпосылка</t>
  </si>
  <si>
    <t>SRC-005</t>
  </si>
  <si>
    <t>Swiss Camera Museum — Johann Heinrich Schulze</t>
  </si>
  <si>
    <t>https://www.cameramuseum.ch/en/discover/permanent-exhibition/the-origins-of-photography/the-precursors-johann-heinrich-schulze/</t>
  </si>
  <si>
    <t>Это ключевой мост: камера уже строила изображение, но теперь появился материал, который свет может менять.</t>
  </si>
  <si>
    <t>Серебряная колба/бутылка, на которой свет оставляет след.</t>
  </si>
  <si>
    <t>#фотохимия #серебро #Schulze #PL002</t>
  </si>
  <si>
    <t>49.3833, 11.3833</t>
  </si>
  <si>
    <t>PL-HIST-0010</t>
  </si>
  <si>
    <t>1777</t>
  </si>
  <si>
    <t>Швеция</t>
  </si>
  <si>
    <t>Кёпинг / Стокгольм (контекст)</t>
  </si>
  <si>
    <t>Карл Вильгельм Шееле</t>
  </si>
  <si>
    <t>Изучает свойства хлорида серебра: потемнение на свету и роль аммиака для растворения/стабилизации соединений серебра.</t>
  </si>
  <si>
    <t>Silver chloride / ammonia</t>
  </si>
  <si>
    <t>Фиксация становится главным нерешённым вопросом: как сделать след света устойчивым.</t>
  </si>
  <si>
    <t>Schulze and silver salts</t>
  </si>
  <si>
    <t>Wedgwood and Davy, then Niépce</t>
  </si>
  <si>
    <t>SRC-006</t>
  </si>
  <si>
    <t>Science History Institute — Silver and Sunlight</t>
  </si>
  <si>
    <t>https://www.sciencehistory.org/stories/magazine/silver-and-sunlight/</t>
  </si>
  <si>
    <t>Новичку объяснить: мало получить изображение — нужно остановить дальнейшее потемнение.</t>
  </si>
  <si>
    <t>Иконка: след света + знак «зафиксировать».</t>
  </si>
  <si>
    <t>#фотохимия #фиксаж #серебро</t>
  </si>
  <si>
    <t>Уточнить связь Scheele с практическим фиксированием: не преувеличивать.</t>
  </si>
  <si>
    <t>59.5117, 15.9992</t>
  </si>
  <si>
    <t>Фотохимия / фиксация</t>
  </si>
  <si>
    <t>PL-HIST-0011</t>
  </si>
  <si>
    <t>ок. 1800</t>
  </si>
  <si>
    <t>Великобритания</t>
  </si>
  <si>
    <t>Этрурия / Стаффордшир</t>
  </si>
  <si>
    <t>Томас Веджвуд</t>
  </si>
  <si>
    <t>Проводит опыты с бумагой/кожей, обработанными нитратом серебра, пытаясь получать изображения светом.</t>
  </si>
  <si>
    <t>Серебряный нитрат на бумаге/коже</t>
  </si>
  <si>
    <t>Появляется идея фотографического изображения, но проблема сохранения ещё не решена.</t>
  </si>
  <si>
    <t>Schulze and Scheele</t>
  </si>
  <si>
    <t>Davy publication, Niépce's experiments</t>
  </si>
  <si>
    <t>Тупиковая / не получила развития</t>
  </si>
  <si>
    <t>SRC-007</t>
  </si>
  <si>
    <t>Swiss Camera Museum — Thomas Wedgwood</t>
  </si>
  <si>
    <t>https://www.cameramuseum.ch/en/discover/permanent-exhibition/the-origins-of-photography/the-precursors-thomas-wedgwood/</t>
  </si>
  <si>
    <t>Хорошо показать как честную неудачу: попытка почти фотографическая, но изображение исчезает.</t>
  </si>
  <si>
    <t>Пунктирная линия: «почти получилось, но не закрепилось».</t>
  </si>
  <si>
    <t>#Wedgwood #фотохимия #неудача</t>
  </si>
  <si>
    <t>53.0027, -2.1794</t>
  </si>
  <si>
    <t>Фотохимия / первая фиксация</t>
  </si>
  <si>
    <t>PL-HIST-0012</t>
  </si>
  <si>
    <t>1802</t>
  </si>
  <si>
    <t>Лондон / Бристоль</t>
  </si>
  <si>
    <t>Хамфри Дэви и Томас Веджвуд</t>
  </si>
  <si>
    <t>Дэви публикует отчёт о методе копирования изображений светом на нитрате серебра.</t>
  </si>
  <si>
    <t>Photogenic copying on silver nitrate</t>
  </si>
  <si>
    <t>Первые эксперименты становятся опубликованным знанием, но без полноценного фиксирования изображения.</t>
  </si>
  <si>
    <t>Wedgwood experiments</t>
  </si>
  <si>
    <t>Niépce and Talbot later address permanence</t>
  </si>
  <si>
    <t>SRC-008</t>
  </si>
  <si>
    <t>Bodleian — Talbot Catalogue: Photogenic Drawing</t>
  </si>
  <si>
    <t>https://talbot.bodleian.ox.ac.uk/2017/02/17/an-account-of-the-processes-employed-in-photogenic-drawing/</t>
  </si>
  <si>
    <t>В лекции: до Ньепса уже были люди, которые понимали направление, но не решили задачу постоянства.</t>
  </si>
  <si>
    <t>Иконка публикации/лист бумаги, который постепенно темнеет.</t>
  </si>
  <si>
    <t>#Davy #Wedgwood #публикация</t>
  </si>
  <si>
    <t>Добавить первичный PDF/текст Journal of the Royal Institution при углублении.</t>
  </si>
  <si>
    <t>51.5074, -0.1278</t>
  </si>
  <si>
    <t>Фотохимия / публикация</t>
  </si>
  <si>
    <t>PL-HIST-0013</t>
  </si>
  <si>
    <t>1806–1807</t>
  </si>
  <si>
    <t>Лондон</t>
  </si>
  <si>
    <t>Уильям Хайд Волластон</t>
  </si>
  <si>
    <t>Патентует и называет camera lucida — оптический прибор для точного рисования.</t>
  </si>
  <si>
    <t>Camera lucida</t>
  </si>
  <si>
    <t>Показывает, что до фотографии общество уже искало способы механизировать точность изображения.</t>
  </si>
  <si>
    <t>Camera obscura drawing tools</t>
  </si>
  <si>
    <t>Photography will replace drawing aids for some purposes</t>
  </si>
  <si>
    <t>SRC-009</t>
  </si>
  <si>
    <t>Smithsonian NMAH — Camera Lucida</t>
  </si>
  <si>
    <t>https://americanhistory.si.edu/collections/object/nmah_1184286</t>
  </si>
  <si>
    <t>Это не фотография, но очень полезный узел: люди хотели точного изображения до химической фотографии.</t>
  </si>
  <si>
    <t>Иконка призмы и руки художника.</t>
  </si>
  <si>
    <t>#оптика #camera-lucida #рисование</t>
  </si>
  <si>
    <t>PL-HIST-0014</t>
  </si>
  <si>
    <t>1816</t>
  </si>
  <si>
    <t>Франция</t>
  </si>
  <si>
    <t>Сен-Лу-де-Варенн / Ле-Гра</t>
  </si>
  <si>
    <t>Нисефор Ньепс</t>
  </si>
  <si>
    <t>Получает исчезающие негативные изображения в камере-обскуре на бумаге с солями серебра.</t>
  </si>
  <si>
    <t>Silver chloride paper negative</t>
  </si>
  <si>
    <t>Ньепс впервые подходит к реальной камере-фотографии, но изображение ещё не устойчиво.</t>
  </si>
  <si>
    <t>Wedgwood/Davy experiments</t>
  </si>
  <si>
    <t>Niépce switches to bitumen heliography</t>
  </si>
  <si>
    <t>Переходная технология</t>
  </si>
  <si>
    <t>SRC-011</t>
  </si>
  <si>
    <t>Maison Nicéphore Niépce — First experiments</t>
  </si>
  <si>
    <t>https://bicentennial-of-photography.org/niepce-and-the-invention-of-photography-niepce-s-first-experiments/</t>
  </si>
  <si>
    <t>Важно: это не первый сохранившийся снимок, а первая стадия Ньепса — изображение было, но исчезало.</t>
  </si>
  <si>
    <t>Светлая линия появляется на бумаге и затем исчезает.</t>
  </si>
  <si>
    <t>#Niépce #1816 #PL002 #негатив</t>
  </si>
  <si>
    <t>46.7828, 4.8892</t>
  </si>
  <si>
    <t>Первая фиксация / проблема постоянства</t>
  </si>
  <si>
    <t>PL-HIST-0015</t>
  </si>
  <si>
    <t>1822–1825</t>
  </si>
  <si>
    <t>Развивает гелиографию: использует светочувствительный битум для создания устойчивых изображений/копий гравюр.</t>
  </si>
  <si>
    <t>Bitumen of Judea on metal/stone</t>
  </si>
  <si>
    <t>Путь меняется: вместо серебряных солей Ньепс ищет материал, который свет делает не темнее, а твёрже/нерастворимее.</t>
  </si>
  <si>
    <t>1816 silver-salt negatives</t>
  </si>
  <si>
    <t>View from the Window at Le Gras</t>
  </si>
  <si>
    <t>SRC-010</t>
  </si>
  <si>
    <t>Harry Ransom Center — The Niépce Heliograph</t>
  </si>
  <si>
    <t>https://www.hrc.utexas.edu/niepce-heliograph/</t>
  </si>
  <si>
    <t>Для лекции: Ньепс думал не только о камере, но и о механическом копировании изображений.</t>
  </si>
  <si>
    <t>Узел «гелиография»: солнце превращает покрытие в устойчивый след.</t>
  </si>
  <si>
    <t>#гелиография #Niépce #битум</t>
  </si>
  <si>
    <t>Проверить дату 1822 для несохранившейся heliograph copy.</t>
  </si>
  <si>
    <t>PL-HIST-0016</t>
  </si>
  <si>
    <t>1826 / 1827</t>
  </si>
  <si>
    <t>спорно/уточнить</t>
  </si>
  <si>
    <t>Ле-Гра, Сен-Лу-де-Варенн</t>
  </si>
  <si>
    <t>Создаёт «Вид из окна в Ле-Гра» — самое раннее сохранившееся изображение, полученное с помощью камеры-обскуры.</t>
  </si>
  <si>
    <t>Heliograph on pewter plate</t>
  </si>
  <si>
    <t>Изображение впервые не просто возникло, а сохранилось до наших дней.</t>
  </si>
  <si>
    <t>Heliographic experiments</t>
  </si>
  <si>
    <t>Partnership with Daguerre</t>
  </si>
  <si>
    <t>Главная линия</t>
  </si>
  <si>
    <t>Дата встречается как 1826 или 1827; в таблице оставляем спорной/уточняемой.</t>
  </si>
  <si>
    <t>Главный узел PL-002: окно, свет, металлическая пластина.</t>
  </si>
  <si>
    <t>#Niépce #перваяфотография #гелиография #PL002</t>
  </si>
  <si>
    <t>Уточнить редакционную дату: Harvard даёт 1826, HRC — 1827.</t>
  </si>
  <si>
    <t>Гелиография / первая сохранившаяся фотография</t>
  </si>
  <si>
    <t>PL-HIST-0017</t>
  </si>
  <si>
    <t>1829</t>
  </si>
  <si>
    <t>Париж / Сен-Лу-де-Варенн</t>
  </si>
  <si>
    <t>Нисефор Ньепс и Луи Дагер</t>
  </si>
  <si>
    <t>Ньепс и Дагер вступают в формальное партнёрство для развития фотографического процесса.</t>
  </si>
  <si>
    <t>Heliography → daguerreotype lineage</t>
  </si>
  <si>
    <t>Линия Ньепса соединяется с практическими улучшениями Дагера.</t>
  </si>
  <si>
    <t>Niépce heliography</t>
  </si>
  <si>
    <t>Daguerreotype announcement</t>
  </si>
  <si>
    <t>Это не просто смена фамилии: здесь начинается связка Ньепс → Дагер.</t>
  </si>
  <si>
    <t>Линия на карте: Ле-Гра → Париж.</t>
  </si>
  <si>
    <t>#Niépce #Daguerre #Франция #PL003</t>
  </si>
  <si>
    <t>48.8566, 2.3522</t>
  </si>
  <si>
    <t>Передача идеи / развитие процесса</t>
  </si>
  <si>
    <t>PL-HIST-0018</t>
  </si>
  <si>
    <t>1833</t>
  </si>
  <si>
    <t>Сен-Лу-де-Варенн</t>
  </si>
  <si>
    <t>Нисефор Ньепс / Луи Дагер</t>
  </si>
  <si>
    <t>После смерти Ньепса Дагер продолжает работы и в итоге доводит процесс до публичного объявления.</t>
  </si>
  <si>
    <t>Daguerreotype lineage</t>
  </si>
  <si>
    <t>Фотография становится историей не одного человека, а продолжения незавершённой разработки.</t>
  </si>
  <si>
    <t>Partnership 1829</t>
  </si>
  <si>
    <t>1839 public announcement</t>
  </si>
  <si>
    <t>Для сериала: Ньепс не увидел публичного триумфа фотографии.</t>
  </si>
  <si>
    <t>Линия прерывается у Ньепса и продолжается к Дагеру.</t>
  </si>
  <si>
    <t>#Niépce #Daguerre #история</t>
  </si>
  <si>
    <t>PL-HIST-0019</t>
  </si>
  <si>
    <t>1834</t>
  </si>
  <si>
    <t>Лэкок-Эбби</t>
  </si>
  <si>
    <t>Уильям Генри Фокс Тальбот</t>
  </si>
  <si>
    <t>Создаёт фотогенные рисунки: предметы кладутся на светочувствительную бумагу и оставляют силуэт.</t>
  </si>
  <si>
    <t>Photogenic drawing</t>
  </si>
  <si>
    <t>Параллельно французской линии появляется британская ветка: изображение через негативный след на бумаге.</t>
  </si>
  <si>
    <t>Wedgwood/Davy and silver salts</t>
  </si>
  <si>
    <t>Calotype and negative-positive process</t>
  </si>
  <si>
    <t>SRC-023</t>
  </si>
  <si>
    <t>National Gallery of Canada — The Calotype Process</t>
  </si>
  <si>
    <t>https://www.gallery.ca/photo-blog/the-calotype-process</t>
  </si>
  <si>
    <t>Важно показать как параллельную работу, а не как продолжение Дагера.</t>
  </si>
  <si>
    <t>Отдельная линия Великобритания: лист растения на бумаге.</t>
  </si>
  <si>
    <t>#Talbot #photogenic-drawing #PL004</t>
  </si>
  <si>
    <t>51.4136, -2.118</t>
  </si>
  <si>
    <t>PL-HIST-0020</t>
  </si>
  <si>
    <t>1835</t>
  </si>
  <si>
    <t>Делает ранние маленькие камерные негативы, включая вид окна в Лэкок-Эбби.</t>
  </si>
  <si>
    <t>Paper negative in camera</t>
  </si>
  <si>
    <t>Тальбот переносит идею фотогенного рисунка в камеру: бумага становится негативом будущей копии.</t>
  </si>
  <si>
    <t>Photogenic drawings</t>
  </si>
  <si>
    <t>1839 publication and 1841 calotype</t>
  </si>
  <si>
    <t>SRC-016</t>
  </si>
  <si>
    <t>The Met — William Henry Fox Talbot</t>
  </si>
  <si>
    <t>https://www.metmuseum.org/essays/william-henry-fox-talbot-1800-1877-and-the-invention-of-photography</t>
  </si>
  <si>
    <t>Можно объяснить: у Тальбота фотография думает не как «одна пластинка», а как система копирования.</t>
  </si>
  <si>
    <t>Окно Лэкок-Эбби как британская пара к окну Ньепса.</t>
  </si>
  <si>
    <t>#Talbot #окно #негатив #PL004</t>
  </si>
  <si>
    <t>Проверить источник для конкретной даты и объекта Oriel Window.</t>
  </si>
  <si>
    <t>PL-HIST-0021</t>
  </si>
  <si>
    <t>1837</t>
  </si>
  <si>
    <t>Париж</t>
  </si>
  <si>
    <t>Луи Дагер</t>
  </si>
  <si>
    <t>Дагер получает более практичный прямой позитив на серебряной пластине и сокращает экспозицию по сравнению с Ньепсом.</t>
  </si>
  <si>
    <t>Silver-plated copper plate / direct positive</t>
  </si>
  <si>
    <t>Фотография становится резче, быстрее и технически убедительнее, но остаётся уникальным изображением.</t>
  </si>
  <si>
    <t>Niépce-Daguerre partnership</t>
  </si>
  <si>
    <t>1839 Académie announcement</t>
  </si>
  <si>
    <t>Исторически важная ограниченная ветка</t>
  </si>
  <si>
    <t>SRC-013</t>
  </si>
  <si>
    <t>The Met — Daguerre and the Invention of Photography</t>
  </si>
  <si>
    <t>https://www.metmuseum.org/essays/daguerre-1787-1851-and-the-invention-of-photography</t>
  </si>
  <si>
    <t>В таблице фиксируем как техническую подготовку к публичному объявлению, но дату/детали уточнить.</t>
  </si>
  <si>
    <t>Металлическая пластина + резкое изображение.</t>
  </si>
  <si>
    <t>#Daguerre #дагеротип #PL003</t>
  </si>
  <si>
    <t>Уточнить первичный источник и дату 1837.</t>
  </si>
  <si>
    <t>PL-HIST-0022</t>
  </si>
  <si>
    <t>7 января 1839</t>
  </si>
  <si>
    <t>точная дата</t>
  </si>
  <si>
    <t>Франсуа Араго / Луи Дагер</t>
  </si>
  <si>
    <t>Французская Академия наук видит результаты процесса Дагера; фотография выходит в публичное научное поле.</t>
  </si>
  <si>
    <t>Daguerreotype</t>
  </si>
  <si>
    <t>Фотография перестаёт быть частной лабораторной тайной и становится событием культуры и науки.</t>
  </si>
  <si>
    <t>Daguerre's experiments</t>
  </si>
  <si>
    <t>19 August 1839 public disclosure</t>
  </si>
  <si>
    <t>Временная доминирующая линия</t>
  </si>
  <si>
    <t>Это сильная сцена: не просто изобретение, а момент публичного признания.</t>
  </si>
  <si>
    <t>Париж, Академия наук, световая демонстрация.</t>
  </si>
  <si>
    <t>#Daguerre #Arago #Париж #PL003</t>
  </si>
  <si>
    <t>Дагеротип / публичное объявление</t>
  </si>
  <si>
    <t>PL-HIST-0023</t>
  </si>
  <si>
    <t>19 августа 1839</t>
  </si>
  <si>
    <t>Луи Дагер / французское государство</t>
  </si>
  <si>
    <t>Процесс дагеротипии официально раскрывается публично; Франция фактически дарит процесс миру.</t>
  </si>
  <si>
    <t>Дагеротип быстро распространяется по Европе и Америке как первый публично объявленный фотографический процесс.</t>
  </si>
  <si>
    <t>Academy announcement</t>
  </si>
  <si>
    <t>Daguerreotypomania and portrait studios</t>
  </si>
  <si>
    <t>SRC-012</t>
  </si>
  <si>
    <t>Harvard Library — History of Photography Timeline</t>
  </si>
  <si>
    <t>https://photographpreservationprogram.hsites.harvard.edu/harvards-history-photography-timeline-text-only</t>
  </si>
  <si>
    <t>В уроке: 1839 — год, когда фотография стала общественным событием.</t>
  </si>
  <si>
    <t>Большая точка на Париже и расходящиеся линии по миру.</t>
  </si>
  <si>
    <t>#1839 #Daguerre #Франция #распространение</t>
  </si>
  <si>
    <t>Дагеротип / распространение</t>
  </si>
  <si>
    <t>PL-HIST-0024</t>
  </si>
  <si>
    <t>1839</t>
  </si>
  <si>
    <t>Публикует «Some Account of the Art of Photogenic Drawing», представляя свой процесс.</t>
  </si>
  <si>
    <t>Британская линия заявляет о себе почти одновременно с французской, показывая параллельность изобретения фотографии.</t>
  </si>
  <si>
    <t>1834–1835 experiments</t>
  </si>
  <si>
    <t>Calotype patent 1841</t>
  </si>
  <si>
    <t>Идеально для объяснения: Франция дала резкость и публичный эффект, Британия — логику копии.</t>
  </si>
  <si>
    <t>Две линии на карте: Париж и Лондон одновременно загораются в 1839.</t>
  </si>
  <si>
    <t>#Talbot #1839 #PL004</t>
  </si>
  <si>
    <t>Фотогенный рисунок / публикация</t>
  </si>
  <si>
    <t>PL-HIST-0025</t>
  </si>
  <si>
    <t>Лондон / Slough</t>
  </si>
  <si>
    <t>Джон Фредерик Уильям Гершель</t>
  </si>
  <si>
    <t>Предлагает использовать hyposulphite of soda как фиксирующее средство для серебряных фотографий.</t>
  </si>
  <si>
    <t>Hypo / sodium thiosulfate fixer</t>
  </si>
  <si>
    <t>Фотография становится практически долговечной: изображение можно остановить от дальнейшего действия света.</t>
  </si>
  <si>
    <t>Silver-salt image instability</t>
  </si>
  <si>
    <t>Stable calotypes and later silver processes</t>
  </si>
  <si>
    <t>Сильный смысл: фотография — это не только камера, но и умение остановить свет.</t>
  </si>
  <si>
    <t>Иконка замка/стоп-символа на изображении.</t>
  </si>
  <si>
    <t>#Herschel #фиксаж #hypo</t>
  </si>
  <si>
    <t>PL-HIST-0026</t>
  </si>
  <si>
    <t>Вводит/закрепляет термины «photography», «negative» и «positive» в ранней фотографической культуре.</t>
  </si>
  <si>
    <t>Photographic terminology</t>
  </si>
  <si>
    <t>Язык фотографии формируется: появляются термины, без которых невозможно объяснить негативно-позитивный процесс.</t>
  </si>
  <si>
    <t>Talbot's paper negatives and photogenic drawings</t>
  </si>
  <si>
    <t>Calotype and photographic vocabulary</t>
  </si>
  <si>
    <t>SRC-017</t>
  </si>
  <si>
    <t>Getty — Sir John F. W. Herschel</t>
  </si>
  <si>
    <t>https://www.getty.edu/art/collection/person/103KHK</t>
  </si>
  <si>
    <t>Можно сделать мини-вставку: терминология — это тоже технология понимания.</t>
  </si>
  <si>
    <t>Карточка слов: PHOTOGRAPHY / NEGATIVE / POSITIVE.</t>
  </si>
  <si>
    <t>#Herschel #термины #negative #positive</t>
  </si>
  <si>
    <t>Уточнить первичные даты употребления терминов в письмах/докладах.</t>
  </si>
  <si>
    <t>PL-HIST-0027</t>
  </si>
  <si>
    <t>1839–1840</t>
  </si>
  <si>
    <t>Ипполит Байяр</t>
  </si>
  <si>
    <t>Разрабатывает прямой позитивный процесс на бумаге, но оказывается в тени Дагера и Тальбота.</t>
  </si>
  <si>
    <t>Direct positive paper process</t>
  </si>
  <si>
    <t>Показывает, что история фотографии была многоголосой: не все ветки получили признание и масштаб.</t>
  </si>
  <si>
    <t>French early photographic experiments</t>
  </si>
  <si>
    <t>Bayard's staged self-portrait and later history</t>
  </si>
  <si>
    <t>Можно использовать как сюжет о несправедливости истории и «забытых изобретателях».</t>
  </si>
  <si>
    <t>Пунктирная ветка от Парижа, уходящая в сторону.</t>
  </si>
  <si>
    <t>#Bayard #direct-positive #забытые</t>
  </si>
  <si>
    <t>Найти лучший источник именно по процессу Байяра, не только биографию Getty.</t>
  </si>
  <si>
    <t>PL-HIST-0028</t>
  </si>
  <si>
    <t>1838</t>
  </si>
  <si>
    <t>Чарльз Уитстон</t>
  </si>
  <si>
    <t>Представляет стереоскоп и демонстрирует принцип бинокулярного зрения.</t>
  </si>
  <si>
    <t>Stereoscope</t>
  </si>
  <si>
    <t>Пока ещё не фотографическая технология, но позже стереофотография станет массовой формой визуального опыта.</t>
  </si>
  <si>
    <t>Optics of vision</t>
  </si>
  <si>
    <t>Photographic stereographs in the 1850s</t>
  </si>
  <si>
    <t>SRC-024</t>
  </si>
  <si>
    <t>Royal Society / Google Arts &amp; Culture — Stereoscopy</t>
  </si>
  <si>
    <t>https://artsandculture.google.com/story/stereoscopy-the-birth-of-3d-technology-the-royal-society/pwWRTNS-hqDN5g</t>
  </si>
  <si>
    <t>Этот узел лучше оставить для будущего раздела о 3D/стереофотографии.</t>
  </si>
  <si>
    <t>Иконка двух глаз / двух изображений.</t>
  </si>
  <si>
    <t>#стереоскоп #Wheatstone #3D</t>
  </si>
  <si>
    <t>Оптические инструменты / 3D</t>
  </si>
  <si>
    <t>PL-HIST-0029</t>
  </si>
  <si>
    <t>1840</t>
  </si>
  <si>
    <t>Обнаруживает латентное изображение и проявление галловой кислотой: секунды экспозиции дают скрытый след, который можно проявить.</t>
  </si>
  <si>
    <t>Latent image development</t>
  </si>
  <si>
    <t>Это резко ускоряет бумажную фотографию: теперь не нужно ждать видимого потемнения во время экспозиции.</t>
  </si>
  <si>
    <t>Photogenic drawing and camera negatives</t>
  </si>
  <si>
    <t>Для новичка: фотография научилась работать со скрытым изображением.</t>
  </si>
  <si>
    <t>Схема: невидимый след → проявитель → появляется картинка.</t>
  </si>
  <si>
    <t>#latent-image #Talbot #PL004</t>
  </si>
  <si>
    <t>Негатив-позитив / проявление</t>
  </si>
  <si>
    <t>PL-HIST-0030</t>
  </si>
  <si>
    <t>США</t>
  </si>
  <si>
    <t>Нью-Йорк</t>
  </si>
  <si>
    <t>Джон Уильям Дрейпер</t>
  </si>
  <si>
    <t>Делает ранние научные дагеротипы, включая одну из первых фотографий Луны.</t>
  </si>
  <si>
    <t>Daguerreotype for astronomy</t>
  </si>
  <si>
    <t>Фотография быстро выходит за пределы портрета и становится научным инструментом.</t>
  </si>
  <si>
    <t>Daguerreotype public disclosure</t>
  </si>
  <si>
    <t>Astronomical and scientific photography</t>
  </si>
  <si>
    <t>Будущий узел для урока о научной фотографии.</t>
  </si>
  <si>
    <t>Линия Париж → Нью-Йорк + Луна.</t>
  </si>
  <si>
    <t>#Draper #астрономия #научнаяфотография</t>
  </si>
  <si>
    <t>Добавить более авторитетный музейный источник по Draper. | Ветка нормализована к 13 значениям v0.2 — узел межжанровый, решение неоднозначное (см. Подветка).</t>
  </si>
  <si>
    <t>40.7128, -74.006</t>
  </si>
  <si>
    <t>Научная фотография</t>
  </si>
  <si>
    <t>PL-HIST-0031</t>
  </si>
  <si>
    <t>1841</t>
  </si>
  <si>
    <t>Лондон / Лэкок-Эбби</t>
  </si>
  <si>
    <t>Патентует калотип: усовершенствованный негативно-позитивный процесс на бумаге.</t>
  </si>
  <si>
    <t>Calotype / Talbotype</t>
  </si>
  <si>
    <t>Появляется фундаментальная логика фотографии: один негатив может дать много позитивных отпечатков.</t>
  </si>
  <si>
    <t>Latent image development 1840</t>
  </si>
  <si>
    <t>Salted paper prints and The Pencil of Nature</t>
  </si>
  <si>
    <t>SRC-015</t>
  </si>
  <si>
    <t>Library of Congress — Calotype and Daguerreotype</t>
  </si>
  <si>
    <t>https://blogs.loc.gov/teachers/2018/09/pre-civil-war-photographic-technologies-the-calotype-and-daguerreotype/</t>
  </si>
  <si>
    <t>Ключевой тезис PL-004: калотип менее резкий, чем дагеротип, но его идея победила.</t>
  </si>
  <si>
    <t>Разветвление: один негатив → несколько отпечатков.</t>
  </si>
  <si>
    <t>#calotype #Talbot #negative-positive #PL004</t>
  </si>
  <si>
    <t>PL-HIST-0032</t>
  </si>
  <si>
    <t>Солёная бумажная печать становится практическим позитивом с бумажного негатива.</t>
  </si>
  <si>
    <t>Salted paper print</t>
  </si>
  <si>
    <t>Фотография становится печатной системой: негатив и позитив начинают работать вместе.</t>
  </si>
  <si>
    <t>Calotype negative</t>
  </si>
  <si>
    <t>Pencil of Nature and albumen print</t>
  </si>
  <si>
    <t>SRC-020</t>
  </si>
  <si>
    <t>V&amp;A — Photography Processes and Techniques</t>
  </si>
  <si>
    <t>https://www.vam.ac.uk/info/collection-selection-boxes-photography-processes-and-techniques</t>
  </si>
  <si>
    <t>Для схемы: калотип — это не только негатив, но и контактная печать.</t>
  </si>
  <si>
    <t>Контактная рамка: негатив лежит на бумаге под стеклом.</t>
  </si>
  <si>
    <t>#salted-paper #print #Talbot</t>
  </si>
  <si>
    <t>PL-HIST-0033</t>
  </si>
  <si>
    <t>1842</t>
  </si>
  <si>
    <t>Изобретает цианотипию — железо-солевой процесс, дающий синий отпечаток.</t>
  </si>
  <si>
    <t>Cyanotype</t>
  </si>
  <si>
    <t>Показывает, что фотография не обязана быть только серебряной; появляется альтернативная печать и будущие blueprint-процессы.</t>
  </si>
  <si>
    <t>Herschel's photochemistry</t>
  </si>
  <si>
    <t>Anna Atkins's photographic book</t>
  </si>
  <si>
    <t>Переходная технология / художественное возрождение</t>
  </si>
  <si>
    <t>SRC-018</t>
  </si>
  <si>
    <t>HNOC — Cyanotype Process</t>
  </si>
  <si>
    <t>https://hnoc.org/virtual-exhibitions/from_daguerreotype_to_digital/cyanotype-process</t>
  </si>
  <si>
    <t>Цианотипия идеальна для практического урока: простой, зрелищный процесс.</t>
  </si>
  <si>
    <t>Синяя ветка на карте.</t>
  </si>
  <si>
    <t>#cyanotype #Herschel #альтернативныйпроцесс</t>
  </si>
  <si>
    <t>Ветка нормализована к 13 значениям v0.2 — узел межжанровый, решение неоднозначное (см. Подветка).</t>
  </si>
  <si>
    <t>Цианотипия</t>
  </si>
  <si>
    <t>PL-HIST-0034</t>
  </si>
  <si>
    <t>1843</t>
  </si>
  <si>
    <t>Кент</t>
  </si>
  <si>
    <t>Анна Аткинс</t>
  </si>
  <si>
    <t>Начинает выпуск «Photographs of British Algae: Cyanotype Impressions» — первой книги, напечатанной и иллюстрированной фотографией.</t>
  </si>
  <si>
    <t>Cyanotype photobook</t>
  </si>
  <si>
    <t>Фотография становится способом научной публикации, а не только экспериментом или портретом.</t>
  </si>
  <si>
    <t>Cyanotype 1842</t>
  </si>
  <si>
    <t>Scientific and documentary photography</t>
  </si>
  <si>
    <t>SRC-019</t>
  </si>
  <si>
    <t>Natural History Museum — Anna Atkins's cyanotypes</t>
  </si>
  <si>
    <t>https://www.nhm.ac.uk/discover/anna-atkins-cyanotypes-the-first-book-of-photographs.html</t>
  </si>
  <si>
    <t>Очень важный узел: женщина-фотограф, наука, книга и фотография как документ.</t>
  </si>
  <si>
    <t>Иконка синей книги с водорослью.</t>
  </si>
  <si>
    <t>#AnnaAtkins #cyanotype #photobook</t>
  </si>
  <si>
    <t>51.2787, 0.5217</t>
  </si>
  <si>
    <t>Фотокнига / научная документация</t>
  </si>
  <si>
    <t>PL-HIST-0035</t>
  </si>
  <si>
    <t>1844</t>
  </si>
  <si>
    <t>Начинает публикацию «The Pencil of Nature» — первой коммерчески изданной книги с фотографическими отпечатками.</t>
  </si>
  <si>
    <t>Salted paper prints from calotype negatives</t>
  </si>
  <si>
    <t>Фотография входит в книгу как новый способ иллюстрации и доказательства.</t>
  </si>
  <si>
    <t>Calotype and salted paper print</t>
  </si>
  <si>
    <t>Photographic publishing</t>
  </si>
  <si>
    <t>Сильный мост к бренду PHOTO LAB: фотография становится не только снимком, но и системой распространения знания.</t>
  </si>
  <si>
    <t>Книга, из которой выходят маленькие отпечатки.</t>
  </si>
  <si>
    <t>#PencilOfNature #Talbot #книга #PL004</t>
  </si>
  <si>
    <t>Фотокнига / тиражирование</t>
  </si>
  <si>
    <t>PL-HIST-0036</t>
  </si>
  <si>
    <t>1847</t>
  </si>
  <si>
    <t>Бостон</t>
  </si>
  <si>
    <t>Southworth &amp; Hawes</t>
  </si>
  <si>
    <t>Создают дагеротипы медицинских операций с эфирной анестезией в Massachusetts General Hospital.</t>
  </si>
  <si>
    <t>Daguerreotype documentation</t>
  </si>
  <si>
    <t>Фотография быстро становится инструментом медицинского и научного свидетельства.</t>
  </si>
  <si>
    <t>Daguerreotype portrait/studio practice</t>
  </si>
  <si>
    <t>Documentary and medical photography</t>
  </si>
  <si>
    <t>Этот узел можно оставить для будущего урока о документальности фотографии.</t>
  </si>
  <si>
    <t>Иконка больницы/операционной + дагеротип.</t>
  </si>
  <si>
    <t>#medical-photography #daguerreotype #Boston</t>
  </si>
  <si>
    <t>42.3601, -71.0589</t>
  </si>
  <si>
    <t>Научная / медицинская фотография</t>
  </si>
  <si>
    <t>PL-HIST-0037</t>
  </si>
  <si>
    <t>Лилль / Париж</t>
  </si>
  <si>
    <t>Луи-Дезире Бланкар-Эврар</t>
  </si>
  <si>
    <t>Развивает и публикует улучшения бумажных негативно-позитивных процессов во Франции.</t>
  </si>
  <si>
    <t>Paper negative-positive process</t>
  </si>
  <si>
    <t>Французская фотография получает не только дагеротипическую, но и бумажную тиражируемую ветку.</t>
  </si>
  <si>
    <t>Talbot calotype influence</t>
  </si>
  <si>
    <t>Albumen paper 1850</t>
  </si>
  <si>
    <t>Пока источник не идеален; оставить как узел на доработку.</t>
  </si>
  <si>
    <t>Франция получает ответвление бумажной печати.</t>
  </si>
  <si>
    <t>#BlanquartEvrard #France #paper-process</t>
  </si>
  <si>
    <t>Найти лучший источник по 1847 публикации Бланкара-Эврара.</t>
  </si>
  <si>
    <t>50.6292, 3.0573</t>
  </si>
  <si>
    <t>PL-HIST-0038</t>
  </si>
  <si>
    <t>1848</t>
  </si>
  <si>
    <t>Эдмон Беккерель</t>
  </si>
  <si>
    <t>Создаёт ранний цветной фотографический процесс на основе серебряно-хлоридного слоя.</t>
  </si>
  <si>
    <t>Early colour photography / photochromatic images</t>
  </si>
  <si>
    <t>Цвет возникает очень рано, но эта ветка пока не становится практичной массовой фотографией.</t>
  </si>
  <si>
    <t>Silver-based photochemistry</t>
  </si>
  <si>
    <t>Autochrome and later colour processes</t>
  </si>
  <si>
    <t>SRC-025</t>
  </si>
  <si>
    <t>Getty Conservation Institute — Atlas: Salt Print PDF</t>
  </si>
  <si>
    <t>https://www.getty.edu/conservation/publications_resources/pdf_publications/pdf/atlas_saltprint.pdf</t>
  </si>
  <si>
    <t>На карте: цвет появился рано, но не сразу стал удобным.</t>
  </si>
  <si>
    <t>Пунктирная цветная ветка от серебряной химии.</t>
  </si>
  <si>
    <t>#color #Becquerel #раннийцвет</t>
  </si>
  <si>
    <t>Лучше заменить на специализированный музейный источник по Becquerel.</t>
  </si>
  <si>
    <t>PL-HIST-0039</t>
  </si>
  <si>
    <t>Филадельфия</t>
  </si>
  <si>
    <t>Братья Лангенхайм</t>
  </si>
  <si>
    <t>Вводят первые фотографические фонарные слайды.</t>
  </si>
  <si>
    <t>Photographic lantern slide</t>
  </si>
  <si>
    <t>Фотография становится не только отпечатком, но и изображением для публичного показа и обучения.</t>
  </si>
  <si>
    <t>Daguerreotype and glass support experimentation</t>
  </si>
  <si>
    <t>Educational projection and slide culture</t>
  </si>
  <si>
    <t>Хороший узел для темы распространения изображений до кино и презентаций.</t>
  </si>
  <si>
    <t>Фонарный проектор + экран.</t>
  </si>
  <si>
    <t>#lantern-slide #projection #Langenheim</t>
  </si>
  <si>
    <t>39.9526, -75.1652</t>
  </si>
  <si>
    <t>PL-HIST-0040</t>
  </si>
  <si>
    <t>1850</t>
  </si>
  <si>
    <t>Лилль</t>
  </si>
  <si>
    <t>Изобретает альбуминовую печать, которая станет ведущим типом фотопечати XIX века.</t>
  </si>
  <si>
    <t>Albumen print</t>
  </si>
  <si>
    <t>Печать становится более детальной, тональной и удобной для массовой фотографии XIX века.</t>
  </si>
  <si>
    <t>Wet collodion negative + albumen print dominance</t>
  </si>
  <si>
    <t>Важный мост к мокрому коллодию: резкий стеклянный негатив + альбуминовая бумага = визуальный язык XIX века.</t>
  </si>
  <si>
    <t>Яичный белок/лист бумаги + стеклянный негатив.</t>
  </si>
  <si>
    <t>#albumen #print #BlanquartEvrard</t>
  </si>
  <si>
    <t>PL-HIST-0041</t>
  </si>
  <si>
    <t>1851</t>
  </si>
  <si>
    <t>Фредерик Скотт Арчер</t>
  </si>
  <si>
    <t>Публикует мокрый коллодионный процесс: стеклянная пластина покрывается коллодием, сенсибилизируется, экспонируется и проявляется влажной.</t>
  </si>
  <si>
    <t>Wet collodion glass negative</t>
  </si>
  <si>
    <t>Соединяет резкость стеклянного носителя и тиражируемость негативно-позитивной системы.</t>
  </si>
  <si>
    <t>Daguerreotype sharpness + calotype reproducibility problem</t>
  </si>
  <si>
    <t>Albumen prints, ambrotypes, tintypes, documentary photography</t>
  </si>
  <si>
    <t>Главная линия / временная доминирующая линия</t>
  </si>
  <si>
    <t>SRC-021</t>
  </si>
  <si>
    <t>National Science and Media Museum — Frederick Scott Archer</t>
  </si>
  <si>
    <t>https://blog.scienceandmediamuseum.org.uk/photography-a-z-frederick-scott-archer-wet-collodion-process/</t>
  </si>
  <si>
    <t>Ключ PL-005: резкость дагеротипа и тираж калотипа наконец встретились.</t>
  </si>
  <si>
    <t>Главный узел: стеклянная влажная пластина + таймер 15 минут.</t>
  </si>
  <si>
    <t>#wet-collodion #Archer #PL005</t>
  </si>
  <si>
    <t>PL-HIST-0042</t>
  </si>
  <si>
    <t>1851–1880-е</t>
  </si>
  <si>
    <t>Великобритания / глобально</t>
  </si>
  <si>
    <t>Лондон → Европа / Америка</t>
  </si>
  <si>
    <t>Фотографы мокрого коллодия</t>
  </si>
  <si>
    <t>Мокрый коллодий становится доминирующим процессом на несколько десятилетий.</t>
  </si>
  <si>
    <t>Wet collodion negative</t>
  </si>
  <si>
    <t>Фотография становится более резкой, воспроизводимой и пригодной для документальных задач, но требует мобильной лаборатории.</t>
  </si>
  <si>
    <t>Archer's publication</t>
  </si>
  <si>
    <t>Dry plates replace wet collodion later</t>
  </si>
  <si>
    <t>Важно: это не тупик сразу; это главный мост середины XIX века.</t>
  </si>
  <si>
    <t>Широкие линии от Лондона по Европе и Америке.</t>
  </si>
  <si>
    <t>#wet-collodion #dominant-process #PL005</t>
  </si>
  <si>
    <t>Мокрый коллодий / распространение</t>
  </si>
  <si>
    <t>PL-HIST-0043</t>
  </si>
  <si>
    <t>Показывает практическую формулу мокрого коллодия: коллодий + йодид калия + нитрат серебра + немедленное проявление/фиксаж.</t>
  </si>
  <si>
    <t>Collodion + silver nitrate</t>
  </si>
  <si>
    <t>Процесс требует скорости и дисциплины: пластину надо подготовить, снять и проявить пока она влажная.</t>
  </si>
  <si>
    <t>Photographic chemistry and glass supports</t>
  </si>
  <si>
    <t>Portable darkrooms and field photography</t>
  </si>
  <si>
    <t>Для урока: здесь появляется драматургия «15 минут, пока пластина влажная».</t>
  </si>
  <si>
    <t>Схема-алгоритм из 5 шагов вокруг стеклянной пластины.</t>
  </si>
  <si>
    <t>#химия #коллодий #стекло #PL005</t>
  </si>
  <si>
    <t>Мокрый коллодий / химия</t>
  </si>
  <si>
    <t>PL-HIST-0044</t>
  </si>
  <si>
    <t>1853</t>
  </si>
  <si>
    <t>Демонстрирует складную коллодионную камеру, совмещённую с мини-тёмной комнатой.</t>
  </si>
  <si>
    <t>Folding collodion camera / portable darkroom</t>
  </si>
  <si>
    <t>Техническая проблема процесса решается конструкцией: фотографу нужно работать с пластиной на месте.</t>
  </si>
  <si>
    <t>Wet collodion process 1851</t>
  </si>
  <si>
    <t>Field photography and mobile darkrooms</t>
  </si>
  <si>
    <t>Хороший визуальный сюжет: камера как чемодан-лаборатория.</t>
  </si>
  <si>
    <t>Иконка камеры с рукавами и стеклянной пластиной внутри.</t>
  </si>
  <si>
    <t>#Archer #collodion-camera #PL005</t>
  </si>
  <si>
    <t>Мокрый коллодий / камера</t>
  </si>
  <si>
    <t>PL-HIST-0045</t>
  </si>
  <si>
    <t>ок. 1853</t>
  </si>
  <si>
    <t>Великобритания / США</t>
  </si>
  <si>
    <t>Лондон / Бостон</t>
  </si>
  <si>
    <t>Фотографы коллодионного процесса</t>
  </si>
  <si>
    <t>Появляется коллодионный позитив на стекле, позже известный как амбротип.</t>
  </si>
  <si>
    <t>Ambrotype / collodion positive</t>
  </si>
  <si>
    <t>Мокрый коллодий даёт не только негативы для печати, но и дешёвые уникальные портреты.</t>
  </si>
  <si>
    <t>Wet collodion process</t>
  </si>
  <si>
    <t>Cutting patent 1854 and tintype</t>
  </si>
  <si>
    <t>SRC-022</t>
  </si>
  <si>
    <t>Library of Congress — Ambrotypes and Tintypes</t>
  </si>
  <si>
    <t>https://www.loc.gov/collections/liljenquist-civil-war-photographs/articles-and-essays/ambrotypes-and-tintypes/</t>
  </si>
  <si>
    <t>В PL-005 можно сказать: один процесс породил сразу несколько форм — негатив, амбротип, тинтайп.</t>
  </si>
  <si>
    <t>От основной коллодионной ветки отходит стеклянный позитив.</t>
  </si>
  <si>
    <t>#ambrotype #collodion-positive #PL005</t>
  </si>
  <si>
    <t>Уникальный позитив / мокрый коллодий</t>
  </si>
  <si>
    <t>PL-HIST-0046</t>
  </si>
  <si>
    <t>1854</t>
  </si>
  <si>
    <t>Джеймс Амброуз Каттинг</t>
  </si>
  <si>
    <t>Патентует улучшения амбротипного процесса.</t>
  </si>
  <si>
    <t>Ambrotype</t>
  </si>
  <si>
    <t>Коллодионный позитив становится коммерческой портретной практикой, особенно в 1850–1860-х.</t>
  </si>
  <si>
    <t>Collodion positive around 1853</t>
  </si>
  <si>
    <t>Tintype and paper print competition</t>
  </si>
  <si>
    <t>Для карты: ветка не главная, но культурно важная — доступные портреты.</t>
  </si>
  <si>
    <t>Портрет на стекле с тёмной подложкой.</t>
  </si>
  <si>
    <t>#ambrotype #Cutting #portrait</t>
  </si>
  <si>
    <t>PL-HIST-0047</t>
  </si>
  <si>
    <t>1855–1881</t>
  </si>
  <si>
    <t>Европа / США</t>
  </si>
  <si>
    <t>Студии и полевые лаборатории</t>
  </si>
  <si>
    <t>Мокрый коллодионный негатив + альбуминовая печать формируют классический визуальный язык середины XIX века.</t>
  </si>
  <si>
    <t>Wet collodion negative + albumen print</t>
  </si>
  <si>
    <t>Появляется связка: резкий стеклянный негатив даёт детальные бумажные отпечатки.</t>
  </si>
  <si>
    <t>Albumen print 1850 + wet collodion 1851</t>
  </si>
  <si>
    <t>Dry plate and gelatin processes later</t>
  </si>
  <si>
    <t>Это финальная формула PL-005: не один процесс, а связка негатив + печать.</t>
  </si>
  <si>
    <t>Двойной узел: стеклянная пластина → альбуминовый отпечаток.</t>
  </si>
  <si>
    <t>#wet-collodion #albumen #print #PL005</t>
  </si>
  <si>
    <t>Мокрый коллодий + печать</t>
  </si>
  <si>
    <t>PL-HIST-0048</t>
  </si>
  <si>
    <t>1856</t>
  </si>
  <si>
    <t>США / Великобритания</t>
  </si>
  <si>
    <t>Hamilton Smith / William Kloen / другие</t>
  </si>
  <si>
    <t>Тинтайп/ферротип закрепляется как дешёвый прямой позитив на лакированном металле, связанный с мокрым коллодием.</t>
  </si>
  <si>
    <t>Tintype / ferrotype</t>
  </si>
  <si>
    <t>Фотография становится более дешёвой, прочной и мобильной для массового портрета.</t>
  </si>
  <si>
    <t>Ambrotype and wet collodion</t>
  </si>
  <si>
    <t>Civil War era portraiture and itinerant photography</t>
  </si>
  <si>
    <t>Исторически важная ограниченная ветка / художественное возрождение</t>
  </si>
  <si>
    <t>Это ветка массового портрета: не главная линия к плёнке, но важная социально.</t>
  </si>
  <si>
    <t>Металлическая пластинка-портрет, ярмарка/палатка.</t>
  </si>
  <si>
    <t>#tintype #ferrotype #collodion #portrait</t>
  </si>
  <si>
    <t>Уточнить авторство/патенты 1856 по отдельным источникам.</t>
  </si>
  <si>
    <t>Уникальный позитив / массовый портрет</t>
  </si>
  <si>
    <t>PL-HIST-0049</t>
  </si>
  <si>
    <t>1871</t>
  </si>
  <si>
    <t>Лондон (публикация)</t>
  </si>
  <si>
    <t>Ричард Лич Мэддокс</t>
  </si>
  <si>
    <t>Публикует рабочий метод желатино-бромидной сухой пластины: светочувствительная эмульсия на стекле может высохнуть и всё равно сохранять способность к экспонированию.</t>
  </si>
  <si>
    <t>Gelatino-bromide dry plate</t>
  </si>
  <si>
    <t>Пластина больше не обязана быть влажной в момент съёмки: фотография делает первый серьёзный шаг от полевой лаборатории к заранее подготовленному материалу.</t>
  </si>
  <si>
    <t>Мокрый коллодий требовал немедленно готовить, снимать и проявлять пластину</t>
  </si>
  <si>
    <t>Эксперименты Бёрджесса, Кеннетта и Беннетта; коммерческие сухие пластины</t>
  </si>
  <si>
    <t>SRC-027</t>
  </si>
  <si>
    <t>National Science and Media Museum — Kodak and Ilford camera factories</t>
  </si>
  <si>
    <t>https://www.scienceandmediamuseum.org.uk/objects-and-stories/kodak-ilford-camera-factories-1930s</t>
  </si>
  <si>
    <t>В уроке важно объяснить: Мэддокс не сделал фотографию моментально массовой, но открыл принцип — стеклянную пластину можно готовить заранее.</t>
  </si>
  <si>
    <t>На карте: влажная красная линия коллодия переходит в сухую стеклянную пластину с желатиновой эмульсией.</t>
  </si>
  <si>
    <t>#PL006 #dry-plate #Maddox #gelatin #negative-positive</t>
  </si>
  <si>
    <t>Уточнить, стоит ли привязывать город к Лондону как месту публикации, а не к месту экспериментов.</t>
  </si>
  <si>
    <t>Сухие желатиновые пластины / химия</t>
  </si>
  <si>
    <t>PL-HIST-0050</t>
  </si>
  <si>
    <t>1874</t>
  </si>
  <si>
    <t>Ливерпуль</t>
  </si>
  <si>
    <t>Liverpool Dry Plate Company / ранние производители</t>
  </si>
  <si>
    <t>Начинаются коммерческие продажи желатиновых сухих пластин; одним из первых производителей называется Liverpool Dry Plate Company.</t>
  </si>
  <si>
    <t>Commercial gelatin dry plates</t>
  </si>
  <si>
    <t>Фотограф впервые может не готовить пластину сам перед съёмкой, а купить готовый чувствительный материал.</t>
  </si>
  <si>
    <t>Публикация Мэддокса 1871 и последующие улучшения</t>
  </si>
  <si>
    <t>Беннетт повышает чувствительность эмульсии; производство становится практичнее</t>
  </si>
  <si>
    <t>Для новичка: это переход от «сам себе химик» к покупке готового фотоматериала.</t>
  </si>
  <si>
    <t>Иконка фабричной коробки сухих пластин рядом со стеклянной пластиной.</t>
  </si>
  <si>
    <t>#PL006 #LiverpoolDryPlate #commercial #dry-plate</t>
  </si>
  <si>
    <t>Проверить по отдельному источнику точное название компании и формат первых продаж.</t>
  </si>
  <si>
    <t>53.4084, -2.9916</t>
  </si>
  <si>
    <t>Сухие желатиновые пластины / коммерциализация</t>
  </si>
  <si>
    <t>PL-HIST-0051</t>
  </si>
  <si>
    <t>1878</t>
  </si>
  <si>
    <t>Чарльз Харпер Беннетт</t>
  </si>
  <si>
    <t>Предлагает нагревать/«созревать» желатиновую эмульсию перед нанесением на стекло, резко повышая её светочувствительность.</t>
  </si>
  <si>
    <t>Ripened gelatin-bromide emulsion</t>
  </si>
  <si>
    <t>Сухая пластина становится достаточно быстрой для коротких выдержек и съёмки более живого движения.</t>
  </si>
  <si>
    <t>Желатино-бромидная сухая пластина Мэддокса</t>
  </si>
  <si>
    <t>Сухие пластины входят в широкое производство и начинают вытеснять мокрый коллодий</t>
  </si>
  <si>
    <t>SRC-029</t>
  </si>
  <si>
    <t>Swiss Camera Museum — Gelatine bromide plates</t>
  </si>
  <si>
    <t>https://www.cameramuseum.ch/en/discover/permanent-exhibition/the-plate-era/gelatine-bromide-plates/</t>
  </si>
  <si>
    <t>Драматургия урока: сухая пластина была удобной, но сначала слабой; Беннетт сделал её действительно быстрой.</t>
  </si>
  <si>
    <t>Иконка нагрева эмульсии + секундомер/короткая выдержка.</t>
  </si>
  <si>
    <t>#PL006 #Bennett #gelatin-bromide #instantaneous</t>
  </si>
  <si>
    <t>Сухие желатиновые пластины / повышение чувствительности</t>
  </si>
  <si>
    <t>PL-HIST-0052</t>
  </si>
  <si>
    <t>Великобритания / Европа</t>
  </si>
  <si>
    <t>Лондон / промышленные центры</t>
  </si>
  <si>
    <t>Производители фотоматериалов</t>
  </si>
  <si>
    <t>После улучшений сухие желатиновые пластины переходят к общему производству и начинают быстро заменять мокрый коллодионный процесс.</t>
  </si>
  <si>
    <t>Manufactured gelatin dry plates</t>
  </si>
  <si>
    <t>Фотографу больше не нужна переносная тёмная комната на каждую съёмку; процесс становится удобнее, чище и предсказуемее.</t>
  </si>
  <si>
    <t>Улучшение чувствительности эмульсии Беннеттом</t>
  </si>
  <si>
    <t>Фабричное производство пластин и рост любительской фотографии</t>
  </si>
  <si>
    <t>SRC-028</t>
  </si>
  <si>
    <t>National Science and Media Museum — A brief guide to photographs on glass</t>
  </si>
  <si>
    <t>https://blog.scienceandmediamuseum.org.uk/a-brief-guide-to-photographs-on-glass/</t>
  </si>
  <si>
    <t>Это ключевой смысл PL-006: фотография освобождается от немедленной химической гонки мокрого коллодия.</t>
  </si>
  <si>
    <t>Линия: палатка-лаборатория исчезает, остаётся камера + коробка готовых пластин.</t>
  </si>
  <si>
    <t>#PL006 #manufacture #dry-plate #wet-collodion</t>
  </si>
  <si>
    <t>Сухие желатиновые пластины / переход от мокрого коллодия</t>
  </si>
  <si>
    <t>PL-HIST-0053</t>
  </si>
  <si>
    <t>конец 1870-х – 1880-е</t>
  </si>
  <si>
    <t>распределённый процесс</t>
  </si>
  <si>
    <t>Фотографы и производители сухих пластин</t>
  </si>
  <si>
    <t>Более быстрые сухие пластины позволяют увереннее снимать события, повседневную жизнь и движение, а не только тщательно поставленные сцены.</t>
  </si>
  <si>
    <t>Fast dry plate / instantaneous photography</t>
  </si>
  <si>
    <t>Сокращение выдержки меняет не только технику, но и визуальный язык: фотография становится ближе к «моменту».</t>
  </si>
  <si>
    <t>Беннетт повышает чувствительность эмульсии</t>
  </si>
  <si>
    <t>Распространение портативных камер, любительской съёмки и последующий переход к плёнке</t>
  </si>
  <si>
    <t>SRC-030</t>
  </si>
  <si>
    <t>Cornell Library — Dawn's Early Light: Towards Modern Photography</t>
  </si>
  <si>
    <t>https://rmc.library.cornell.edu/DawnsEarlyLight/exhibition/modernphotography/index.html</t>
  </si>
  <si>
    <t>Для лекции: сухая пластина — это не просто удобство хранения, а новая скорость взгляда.</t>
  </si>
  <si>
    <t>На карте: рядом с пластиной появляется значок бегущего человека/движения.</t>
  </si>
  <si>
    <t>#PL006 #instantaneous #motion #dry-plate</t>
  </si>
  <si>
    <t>Сухие желатиновые пластины / скорость и движение</t>
  </si>
  <si>
    <t>PL-HIST-0054</t>
  </si>
  <si>
    <t>1880</t>
  </si>
  <si>
    <t>Рочестер, Нью-Йорк</t>
  </si>
  <si>
    <t>Джордж Истмен</t>
  </si>
  <si>
    <t>Начинает коммерчески производить сухие пластины в США и масштабировать их изготовление.</t>
  </si>
  <si>
    <t>Eastman dry plates</t>
  </si>
  <si>
    <t>Сухая пластина становится не только европейским техническим процессом, но и основой американской фотоиндустрии.</t>
  </si>
  <si>
    <t>Коммерческие сухие пластины в Великобритании и улучшения Беннетта</t>
  </si>
  <si>
    <t>Eastman Dry Plate Company; дальнейший поиск замены стекла гибким носителем</t>
  </si>
  <si>
    <t>SRC-031</t>
  </si>
  <si>
    <t>Kodak — History</t>
  </si>
  <si>
    <t>https://www.kodak.com/en/company/page/history/</t>
  </si>
  <si>
    <t>Здесь появляется мост к Kodak: сначала Истмен работает не с плёнкой, а именно с сухими пластинами.</t>
  </si>
  <si>
    <t>Иконка Рочестера/фабрики + коробка Eastman dry plates.</t>
  </si>
  <si>
    <t>#PL006 #Eastman #Rochester #dry-plate #Kodak</t>
  </si>
  <si>
    <t>43.1566, -77.6088</t>
  </si>
  <si>
    <t>Сухие желатиновые пластины / американская индустрия</t>
  </si>
  <si>
    <t>PL-HIST-0055</t>
  </si>
  <si>
    <t>1881</t>
  </si>
  <si>
    <t>Джордж Истмен / Генри Стронг</t>
  </si>
  <si>
    <t>1 января 1881 года создаётся Eastman Dry Plate Company.</t>
  </si>
  <si>
    <t>Eastman Dry Plate Company</t>
  </si>
  <si>
    <t>Промышленная логика фотографии усиливается: производство чувствительного материала становится самостоятельным бизнесом.</t>
  </si>
  <si>
    <t>Истмен начинает коммерческое производство сухих пластин в 1880</t>
  </si>
  <si>
    <t>Eastman Dry Plate and Film Company; рулонные носители и Kodak</t>
  </si>
  <si>
    <t>SRC-032</t>
  </si>
  <si>
    <t>Kodak — George Eastman History</t>
  </si>
  <si>
    <t>https://www.kodak.com/en/company/page/george-eastman-history/</t>
  </si>
  <si>
    <t>Это важный узел для перехода: Kodak родился не сразу как камера для всех, а из бизнеса сухих пластин.</t>
  </si>
  <si>
    <t>На карте: фабрика/брендовый узел между сухими пластинами и будущей плёнкой.</t>
  </si>
  <si>
    <t>#PL006 #EastmanDryPlateCompany #Rochester #Kodak</t>
  </si>
  <si>
    <t>Сухие желатиновые пластины / бизнес и масштабирование</t>
  </si>
  <si>
    <t>PL-HIST-0056</t>
  </si>
  <si>
    <t>1880–1900</t>
  </si>
  <si>
    <t>Фотографы конца XIX века</t>
  </si>
  <si>
    <t>Желатиновые сухие пластинные негативы становятся наиболее распространённой формой негативов примерно с 1880 по 1900 год.</t>
  </si>
  <si>
    <t>Gelatin dry plate negative</t>
  </si>
  <si>
    <t>На два десятилетия сухая пластина становится нормой профессиональной и серьёзной любительской фотографии.</t>
  </si>
  <si>
    <t>Производство сухих пластин и рост чувствительности эмульсий</t>
  </si>
  <si>
    <t>Гибкая плёнка постепенно заменяет стеклянную пластину в массовой фотографии</t>
  </si>
  <si>
    <t>SRC-033</t>
  </si>
  <si>
    <t>Smithsonian Institution Archives — Gelatin Dry Plate Negatives</t>
  </si>
  <si>
    <t>https://siarchives.si.edu/blog/highlight-photo-cold-vault-gelatin-dry-plate-negatives</t>
  </si>
  <si>
    <t>Формула для урока: мокрый коллодий был революцией середины века, сухая пластина — нормой конца века.</t>
  </si>
  <si>
    <t>Широкая полоса на таймлайне 1880–1900: «эпоха сухих пластин».</t>
  </si>
  <si>
    <t>#PL006 #1880s #dry-plate-negative #glass-negative</t>
  </si>
  <si>
    <t>Сухие желатиновые пластины / доминирующая практика</t>
  </si>
  <si>
    <t>PL-HIST-0057</t>
  </si>
  <si>
    <t>1880-е</t>
  </si>
  <si>
    <t>Профессиональные и любительские фотографы</t>
  </si>
  <si>
    <t>Сухие пластины можно было экспонировать в одном месте, а проявлять позже в тёмной комнате; это убирало зависимость от немедленной полевой химии.</t>
  </si>
  <si>
    <t>Prepared dry plates / delayed development</t>
  </si>
  <si>
    <t>Фотограф получает свободу маршрута: съёмка и проявка впервые заметно расходятся во времени и пространстве.</t>
  </si>
  <si>
    <t>Wet collodion field darkroom</t>
  </si>
  <si>
    <t>Portable cameras, amateur photography and roll film systems</t>
  </si>
  <si>
    <t>SRC-034</t>
  </si>
  <si>
    <t>George Eastman Museum — Dry Plates in the Woods</t>
  </si>
  <si>
    <t>https://www.eastman.org/blog/dry-plates-woods-using-19th-century-photographic-processes-capture-letchworth-state-park</t>
  </si>
  <si>
    <t>Очень понятная фраза для новичка: теперь не нужно тащить лабораторию за каждым кадром.</t>
  </si>
  <si>
    <t>Маршрутная линия: фотограф уходит из лаборатории на улицу/в лес, а проявляет позже.</t>
  </si>
  <si>
    <t>#PL006 #mobility #delayed-development #dry-plate</t>
  </si>
  <si>
    <t>Сухие желатиновые пластины / мобильность</t>
  </si>
  <si>
    <t>PL-HIST-0058</t>
  </si>
  <si>
    <t>Рочестер / промышленные центры</t>
  </si>
  <si>
    <t>Джордж Истмен и производители фотоматериалов</t>
  </si>
  <si>
    <t>Опыт с желатиновыми сухими пластинами подталкивает производителей к следующей проблеме: заменить тяжёлое и хрупкое стекло более лёгким гибким носителем.</t>
  </si>
  <si>
    <t>Bridge from glass plates to roll film</t>
  </si>
  <si>
    <t>PL-006 логически открывает PL-007: после свободы от мокрой химии фотография начинает освобождаться от стеклянной пластины.</t>
  </si>
  <si>
    <t>Сухие желатиновые пластины как удобный готовый негативный материал</t>
  </si>
  <si>
    <t>Рулонная плёнка, Kodak camera 1888, массовая любительская фотография</t>
  </si>
  <si>
    <t>Это интрига на следующий урок: фотография стала сухой, но пока ещё стеклянной.</t>
  </si>
  <si>
    <t>Стеклянная пластина превращается в гибкую ленту/рулон — стрелка к будущему PL-007.</t>
  </si>
  <si>
    <t>#PL006 #bridge #roll-film #Kodak #future-PL</t>
  </si>
  <si>
    <t>При планировании PL-007 уточнить отдельными источниками Eastman-Walker roll holder и даты ранней рулонной плёнки.</t>
  </si>
  <si>
    <t>Сухие желатиновые пластины / мост к плёнке</t>
  </si>
  <si>
    <t>PL-HIST-0059</t>
  </si>
  <si>
    <t>1884</t>
  </si>
  <si>
    <t>Джордж Истмен / Eastman Dry Plate and Film Company</t>
  </si>
  <si>
    <t>Компания Истмена меняет акцент с одних сухих пластин на поиск более удобного рулонного носителя для фотографии.</t>
  </si>
  <si>
    <t>Eastman Dry Plate and Film Company / roll-film direction</t>
  </si>
  <si>
    <t>После сухих пластин следующей проблемой становится не химия, а носитель: стекло нужно заменить чем-то гибким и лёгким.</t>
  </si>
  <si>
    <t>Сухие желатиновые пластины освободили фотографа от мокрой лаборатории, но не от тяжёлого стекла.</t>
  </si>
  <si>
    <t>Eastman-Walker roll holder и бумажная рулонная плёнка</t>
  </si>
  <si>
    <t>В уроке это мост: фотография уже стала сухой, но ещё остаётся стеклянной. Истмен ищет следующий уровень удобства.</t>
  </si>
  <si>
    <t>Стеклянная пластина на карте превращается в намотанную ленту.</t>
  </si>
  <si>
    <t>#PL007 #Eastman #roll-film #Rochester #bridge</t>
  </si>
  <si>
    <t>Уточнить, нужна ли отдельная строка по юридическому переименованию компании 1884 или достаточно оставить как контекст.</t>
  </si>
  <si>
    <t>Рулонная плёнка / бизнес-переход</t>
  </si>
  <si>
    <t>PL-HIST-0060</t>
  </si>
  <si>
    <t>1885</t>
  </si>
  <si>
    <t>Джордж Истмен / Уильям Холл Уокер</t>
  </si>
  <si>
    <t>Появляется Eastman-Walker roll holder — держатель, позволявший использовать рулонный носитель в камерах, рассчитанных на пластины.</t>
  </si>
  <si>
    <t>Eastman-Walker roll holder</t>
  </si>
  <si>
    <t>Камера начинает работать не с одиночными стеклянными пластинами, а с последовательностью кадров на рулоне.</t>
  </si>
  <si>
    <t>Сухая пластина как готовый негативный материал</t>
  </si>
  <si>
    <t>American Film и первые попытки коммерческого рулонного процесса</t>
  </si>
  <si>
    <t>SRC-035</t>
  </si>
  <si>
    <t>Science Museum Group — Eastman-Walker roll holder</t>
  </si>
  <si>
    <t>https://collection.sciencemuseumgroup.org.uk/objects/co15879/eastman-walker-roll-holder</t>
  </si>
  <si>
    <t>Для новичка: рулонная плёнка сначала вошла не как маленькая камера Kodak, а как приставка/держатель для уже существующих камер.</t>
  </si>
  <si>
    <t>На карте: рядом с камерой появляется рулонный модуль вместо стопки стеклянных пластин.</t>
  </si>
  <si>
    <t>#PL007 #EastmanWalker #roll-holder #Rochester</t>
  </si>
  <si>
    <t>Рулонная плёнка / держатель</t>
  </si>
  <si>
    <t>PL-HIST-0061</t>
  </si>
  <si>
    <t>Eastman American Film с бумажной основой вводится вместе с Eastman-Walker roll holder и предлагается профессиональным фотографам.</t>
  </si>
  <si>
    <t>American Film / paper-based roll film</t>
  </si>
  <si>
    <t>Рулонный носитель становится реальным коммерческим продуктом, но бумажная основа ещё даёт ограничения по качеству.</t>
  </si>
  <si>
    <t>Kodak camera 1888 и прозрачная рулонная плёнка 1889</t>
  </si>
  <si>
    <t>SRC-036</t>
  </si>
  <si>
    <t>George Eastman Museum — Two rare rolls of early Kodak film</t>
  </si>
  <si>
    <t>https://www.eastman.org/two-rare-rolls-early-kodak-film-acquired-george-eastman-museum</t>
  </si>
  <si>
    <t>Важно показать честно: первая рулонная плёнка была удобнее стекла, но ещё не идеальна по изображению.</t>
  </si>
  <si>
    <t>Пунктирная лента: рулон уже появился, но ещё требует улучшения.</t>
  </si>
  <si>
    <t>#PL007 #AmericanFilm #paper-roll-film #Eastman</t>
  </si>
  <si>
    <t>Рулонная плёнка / бумажная основа</t>
  </si>
  <si>
    <t>PL-HIST-0062</t>
  </si>
  <si>
    <t>1887</t>
  </si>
  <si>
    <t>Ньюарк, Нью-Джерси</t>
  </si>
  <si>
    <t>Ганнибал Гудвин</t>
  </si>
  <si>
    <t>Гудвин подаёт патентную заявку на прозрачную гибкую фотографическую плёнку на нитроцеллюлозной основе.</t>
  </si>
  <si>
    <t>Flexible transparent nitrocellulose film</t>
  </si>
  <si>
    <t>Рулонная фотография получает направление к прозрачной гибкой основе, которая лучше подходит для качественного негатива и будущего кино.</t>
  </si>
  <si>
    <t>Ограничения бумажной рулонной плёнки</t>
  </si>
  <si>
    <t>Прозрачная плёнка Eastman/Reichenbach и патентные споры вокруг целлулоидной основы</t>
  </si>
  <si>
    <t>SRC-037</t>
  </si>
  <si>
    <t>National Inventors Hall of Fame — Hannibal Goodwin</t>
  </si>
  <si>
    <t>https://www.invent.org/inductees/hannibal-goodwin</t>
  </si>
  <si>
    <t>Этот узел нужен как параллельная ветка: история плёнки — не только Истмен, но и спорная линия Гудвина.</t>
  </si>
  <si>
    <t>От основной линии Kodak отходит пунктирная ветка к Ньюарку: изобретатель вне большой фабрики.</t>
  </si>
  <si>
    <t>#PL007 #Goodwin #celluloid #transparent-film #patent</t>
  </si>
  <si>
    <t>Проверить формулировку: заявка 1887, патент выдан позже; не писать как мгновенно утверждённый патент.</t>
  </si>
  <si>
    <t>40.7357, -74.1724</t>
  </si>
  <si>
    <t>Рулонная плёнка / целлулоидная основа</t>
  </si>
  <si>
    <t>PL-HIST-0063</t>
  </si>
  <si>
    <t>1888</t>
  </si>
  <si>
    <t>Джордж Истмен / Kodak</t>
  </si>
  <si>
    <t>Появляется первая камера Kodak: простая box-camera, заранее заряженная рулоном на 100 снимков.</t>
  </si>
  <si>
    <t>Original Kodak camera / roll-film camera</t>
  </si>
  <si>
    <t>Фотография становится не только технологией профессионалов: пользователь нажимает кнопку, а сложную обработку берёт на себя компания.</t>
  </si>
  <si>
    <t>American Film и попытки заменить стеклянную пластину рулонным носителем</t>
  </si>
  <si>
    <t>Сервисная модель Kodak и массовая любительская фотография</t>
  </si>
  <si>
    <t>SRC-038</t>
  </si>
  <si>
    <t>Smithsonian NMAH — Original Kodak Camera, Serial No. 540</t>
  </si>
  <si>
    <t>https://americanhistory.si.edu/collections/object/nmah_760118</t>
  </si>
  <si>
    <t>Это флагман PL-007: камера Kodak изменила не только материал, но и саму роль фотографа.</t>
  </si>
  <si>
    <t>Главный узел: маленькая box-camera с рулоном внутри, от неё расходится линия к массовой фотографии.</t>
  </si>
  <si>
    <t>#PL007 #Kodak #roll-film-camera #Eastman #Rochester</t>
  </si>
  <si>
    <t>Рулонная плёнка / Kodak camera</t>
  </si>
  <si>
    <t>PL-HIST-0064</t>
  </si>
  <si>
    <t>Kodak продаёт камеру уже заряженной плёнкой; после съёмки всю камеру отправляют в Рочестер для проявки, печати и перезарядки.</t>
  </si>
  <si>
    <t>Kodak processing service model</t>
  </si>
  <si>
    <t>Фотограф больше не обязан быть химиком и печатником: процесс съёмки отделяется от лабораторной обработки.</t>
  </si>
  <si>
    <t>Original Kodak camera 1888</t>
  </si>
  <si>
    <t>Слоган «You press the button, we do the rest» и рост любительской фотографии</t>
  </si>
  <si>
    <t>SRC-039</t>
  </si>
  <si>
    <t>The Met — Kodak and the Rise of Amateur Photography</t>
  </si>
  <si>
    <t>https://www.metmuseum.org/essays/kodak-and-the-rise-of-amateur-photography</t>
  </si>
  <si>
    <t>Главная мысль для лекции: Kodak продавал не просто камеру, а целую систему — камера + плёнка + обработка.</t>
  </si>
  <si>
    <t>Маршрут: камера у пользователя → фабрика в Рочестере → готовые отпечатки возвращаются обратно.</t>
  </si>
  <si>
    <t>#PL007 #Kodak #service-model #amateur-photography</t>
  </si>
  <si>
    <t>Рулонная плёнка / сервисная модель</t>
  </si>
  <si>
    <t>PL-HIST-0065</t>
  </si>
  <si>
    <t>4 сентября 1888</t>
  </si>
  <si>
    <t>Истмен получает патент на камеру Kodak и регистрирует товарный знак Kodak.</t>
  </si>
  <si>
    <t>Kodak patent and trademark</t>
  </si>
  <si>
    <t>Рулонная камера становится не только техническим устройством, но и брендом, который легко запомнить и продвигать.</t>
  </si>
  <si>
    <t>Переименование компании и формирование Kodak как массового фотобренда</t>
  </si>
  <si>
    <t>SRC-040</t>
  </si>
  <si>
    <t>George Eastman Museum — From the Camera Obscura to the Revolutionary Kodak</t>
  </si>
  <si>
    <t>https://www.eastman.org/camera-obscura-revolutionary-kodak</t>
  </si>
  <si>
    <t>Этот узел можно использовать коротко: фотография входит в эпоху бренда, рекламы и простого обещания пользователю.</t>
  </si>
  <si>
    <t>На карте: рядом с Рочестером появляется знак KODAK как брендовый маяк.</t>
  </si>
  <si>
    <t>#PL007 #Kodak #patent #trademark #brand</t>
  </si>
  <si>
    <t>Рулонная плёнка / патент и бренд</t>
  </si>
  <si>
    <t>PL-HIST-0066</t>
  </si>
  <si>
    <t>1889</t>
  </si>
  <si>
    <t>Джордж Истмен / Генри Райхенбах</t>
  </si>
  <si>
    <t>На рынок выходит первая коммерческая прозрачная рулонная плёнка, усовершенствованная Истменом и его химиком.</t>
  </si>
  <si>
    <t>Commercial transparent roll film</t>
  </si>
  <si>
    <t>Плёнка становится более удобной для качественного негатива и открывает путь не только фотографии, но и движущемуся изображению.</t>
  </si>
  <si>
    <t>Бумажная American Film и поиски прозрачной гибкой основы</t>
  </si>
  <si>
    <t>Развитие кинематографа и дальнейшая массовая плёночная фотография</t>
  </si>
  <si>
    <t>SRC-041</t>
  </si>
  <si>
    <t>Kodak — Chronology of Film</t>
  </si>
  <si>
    <t>https://www.kodak.com/en/motion/page/chronology-of-film/</t>
  </si>
  <si>
    <t>В уроке важно отличить: Kodak 1888 уже был рулонной камерой, но прозрачная рулонная плёнка как коммерческий материал — отдельный шаг 1889 года.</t>
  </si>
  <si>
    <t>Рулон из полупрозрачной ленты, уходящий от фотографии к кино.</t>
  </si>
  <si>
    <t>#PL007 #transparent-roll-film #Reichenbach #Eastman #motion-picture</t>
  </si>
  <si>
    <t>Рулонная плёнка / прозрачная плёнка</t>
  </si>
  <si>
    <t>PL-HIST-0067</t>
  </si>
  <si>
    <t>1891</t>
  </si>
  <si>
    <t>Kodak / Eastman Company</t>
  </si>
  <si>
    <t>Kodak выводит первую daylight-loading camera: фотограф может перезаряжать плёнку без тёмной комнаты.</t>
  </si>
  <si>
    <t>Daylight-loading roll-film camera</t>
  </si>
  <si>
    <t>Рулонная фотография становится ещё удобнее: перезарядка перестаёт требовать полной темноты.</t>
  </si>
  <si>
    <t>Kodak camera 1888 and factory service model</t>
  </si>
  <si>
    <t>Pocket Kodak, Folding Pocket Kodak, Brownie and standard roll-film formats</t>
  </si>
  <si>
    <t>SRC-042</t>
  </si>
  <si>
    <t>Kodak — Milestones</t>
  </si>
  <si>
    <t>https://www.kodak.com/en/company/page/milestones/</t>
  </si>
  <si>
    <t>Это не главный герой урока, но важный шаг удобства: фотограф получает больше самостоятельности.</t>
  </si>
  <si>
    <t>На карте: маленькая камера открывается на свету без тёмной комнаты.</t>
  </si>
  <si>
    <t>#PL007 #daylight-loading #roll-film #Kodak</t>
  </si>
  <si>
    <t>Рулонная плёнка / дневная перезарядка</t>
  </si>
  <si>
    <t>PL-HIST-0068</t>
  </si>
  <si>
    <t>1900</t>
  </si>
  <si>
    <t>Eastman Kodak / Brownie</t>
  </si>
  <si>
    <t>Камера Brownie делает рулонную фотографию ещё более дешёвой и доступной для массового пользователя.</t>
  </si>
  <si>
    <t>Kodak Brownie / mass snapshot photography</t>
  </si>
  <si>
    <t>Идея Kodak доводится до массового уровня: фотография становится повседневным занятием и семейной практикой.</t>
  </si>
  <si>
    <t>Kodak camera 1888 and roll-film service model</t>
  </si>
  <si>
    <t>PL-008: массовая любительская фотография, snapshot-культура и Brownie как социальный перелом</t>
  </si>
  <si>
    <t>SRC-043</t>
  </si>
  <si>
    <t>National Science and Media Museum — Kodak Gallery</t>
  </si>
  <si>
    <t>https://www.scienceandmediamuseum.org.uk/whats-on/kodak-gallery</t>
  </si>
  <si>
    <t>Это мост к следующему уроку: Kodak сделал фотографию проще, Brownie сделает её по-настоящему массовой.</t>
  </si>
  <si>
    <t>От Kodak 1888 линия идёт к дешёвой коробочной камере Brownie и семейным снимкам.</t>
  </si>
  <si>
    <t>#PL007 #Brownie #snapshot #mass-photography #future-PL</t>
  </si>
  <si>
    <t>Рулонная плёнка / массовая фотография</t>
  </si>
  <si>
    <t>PL-HIST-0069</t>
  </si>
  <si>
    <t>Появляется первая камера Kodak Brownie — простая и недорогая коробочная roll-film камера для массового пользователя.</t>
  </si>
  <si>
    <t>Kodak Brownie / box roll-film camera</t>
  </si>
  <si>
    <t>Фотография становится дешёвой и доступной: теперь камера перестаёт быть только инструментом обеспеченных любителей и профессионалов.</t>
  </si>
  <si>
    <t>Kodak camera 1888 и сервисная модель обработки плёнки</t>
  </si>
  <si>
    <t>Snapshot-культура, семейные альбомы и массовая любительская фотография</t>
  </si>
  <si>
    <t>SRC-044</t>
  </si>
  <si>
    <t>Science Museum Group — No. 1 Brownie Box Camera</t>
  </si>
  <si>
    <t>https://collection.sciencemuseumgroup.org.uk/objects/co8406729/no-1-brownie-box-camera</t>
  </si>
  <si>
    <t>Флагман PL-008: Brownie — момент, когда фотография становится по-настоящему массовой бытовой практикой.</t>
  </si>
  <si>
    <t>На карте: из Рочестера расходятся линии к домам, семьям и любительским снимкам.</t>
  </si>
  <si>
    <t>#PL008 #Brownie #Kodak #snapshot #mass-photography</t>
  </si>
  <si>
    <t>Brownie / доступная камера</t>
  </si>
  <si>
    <t>PL-HIST-0070</t>
  </si>
  <si>
    <t>Eastman Kodak</t>
  </si>
  <si>
    <t>Brownie продаётся по низкой цене и продвигается как камера, которой может пользоваться человек без фотографического опыта.</t>
  </si>
  <si>
    <t>Low-cost consumer camera</t>
  </si>
  <si>
    <t>Порог входа резко падает: фотография становится не только техникой, но и доступным хобби.</t>
  </si>
  <si>
    <t>Kodak 1888 упростил процесс, но оставался сравнительно дорогим</t>
  </si>
  <si>
    <t>Brownie расширяет аудиторию до детей, семей и среднего класса</t>
  </si>
  <si>
    <t>SRC-046</t>
  </si>
  <si>
    <t>ACS — George Eastman, Kodak, and the Birth of Consumer Photography</t>
  </si>
  <si>
    <t>https://www.acs.org/education/whatischemistry/landmarks/eastman-kodak.html</t>
  </si>
  <si>
    <t>Объяснить просто: Kodak сделал фотографию удобной, а Brownie сделал её дешёвой.</t>
  </si>
  <si>
    <t>Ценник рядом с маленькой коробочной камерой: фотография становится покупкой для обычной семьи.</t>
  </si>
  <si>
    <t>#PL008 #Brownie #affordable-camera #consumer-photography</t>
  </si>
  <si>
    <t>Brownie / цена и массовый рынок</t>
  </si>
  <si>
    <t>PL-HIST-0071</t>
  </si>
  <si>
    <t>1900–1901</t>
  </si>
  <si>
    <t>Рочестер / массовая пресса</t>
  </si>
  <si>
    <t>Eastman Kodak / рекламные кампании Brownie</t>
  </si>
  <si>
    <t>Brownie продвигается через популярную прессу и визуальный образ персонажей Brownie, обращаясь к новой молодой и семейной аудитории.</t>
  </si>
  <si>
    <t>Brownie marketing / popular press</t>
  </si>
  <si>
    <t>Фотокамера становится не только устройством, но и массовым культурным продуктом с понятным образом и обещанием простоты.</t>
  </si>
  <si>
    <t>Kodak как бренд и сервис съёмки</t>
  </si>
  <si>
    <t>Brownie становится узнаваемой народной камерой</t>
  </si>
  <si>
    <t>SRC-047</t>
  </si>
  <si>
    <t>National Science and Media Museum — B is for Brownie</t>
  </si>
  <si>
    <t>https://blog.scienceandmediamuseum.org.uk/a-z-photography-collection-b-is-for-brownie/</t>
  </si>
  <si>
    <t>Хороший сюжет для урока: массовая фотография победила не только химией и камерой, но и рекламой.</t>
  </si>
  <si>
    <t>Визуально: рекламный плакат Brownie, персонажи и маленькая камера как игрушка для всех.</t>
  </si>
  <si>
    <t>#PL008 #Brownie #advertising #popular-press #children</t>
  </si>
  <si>
    <t>Brownie / детская аудитория и реклама</t>
  </si>
  <si>
    <t>PL-HIST-0072</t>
  </si>
  <si>
    <t>1901</t>
  </si>
  <si>
    <t>Kodak Limited / No. 2 Brownie</t>
  </si>
  <si>
    <t>No. 2 Brownie использует 120 roll film — формат, который позже станет важным стандартом среднего формата.</t>
  </si>
  <si>
    <t>No. 2 Brownie / 120 roll film</t>
  </si>
  <si>
    <t>Массовая простая камера оказывается связана с форматом плёнки, который переживёт саму эпоху Brownie и останется важным для фотографии.</t>
  </si>
  <si>
    <t>Brownie No. 1 и массовая roll-film камера</t>
  </si>
  <si>
    <t>120 film и среднеформатная фотография XX века</t>
  </si>
  <si>
    <t>SRC-050</t>
  </si>
  <si>
    <t>Science Museum Group — No 2 Brownie Camera</t>
  </si>
  <si>
    <t>https://collection.sciencemuseumgroup.org.uk/objects/co8207799/no-2-brownie-camera</t>
  </si>
  <si>
    <t>Не перегружать технически: важно показать, что массовая камера дала жизнь формату, который потом станет серьёзным фотографическим стандартом.</t>
  </si>
  <si>
    <t>Рядом с камерой — катушка 120 film, мост к среднему формату.</t>
  </si>
  <si>
    <t>#PL008 #No2Brownie #120film #medium-format</t>
  </si>
  <si>
    <t>Проверить отдельно формулировку «первый / introduced 120» по более сильному источнику; в текущем виде писать осторожно: «использует 120 roll film».</t>
  </si>
  <si>
    <t>Brownie / 120 roll film</t>
  </si>
  <si>
    <t>PL-HIST-0073</t>
  </si>
  <si>
    <t>1900-е</t>
  </si>
  <si>
    <t>Любители фотографии / семьи</t>
  </si>
  <si>
    <t>Snapshot становится повседневной практикой: люди снимают прогулки, детей, поездки, праздники и частную жизнь.</t>
  </si>
  <si>
    <t>Snapshot culture / family photography</t>
  </si>
  <si>
    <t>Фотография меняет социальную роль: она перестаёт быть только портретом или документом и становится способом сохранять личную память.</t>
  </si>
  <si>
    <t>Brownie делает камеру доступной широкому кругу людей</t>
  </si>
  <si>
    <t>Семейные альбомы и бытовая визуальная культура XX века</t>
  </si>
  <si>
    <t>SRC-049</t>
  </si>
  <si>
    <t>National Gallery of Art — The Art of the American Snapshot, 1888–1978</t>
  </si>
  <si>
    <t>https://www.nga.gov/exhibitions/art-american-snapshot-1888-1978-collection-robert-e-jackson</t>
  </si>
  <si>
    <t>Ключевой смысл: фотография входит в дом и начинает фиксировать обычную жизнь, а не только важные события.</t>
  </si>
  <si>
    <t>На карте: от камеры появляются маленькие карточки-снимки семьи, поездки, дома.</t>
  </si>
  <si>
    <t>#PL008 #snapshot #family-album #vernacular-photography</t>
  </si>
  <si>
    <t>Snapshot-культура / семейный альбом</t>
  </si>
  <si>
    <t>PL-HIST-0074</t>
  </si>
  <si>
    <t>Массовые любители фотографии</t>
  </si>
  <si>
    <t>Фотография становится занятием людей без профессиональной подготовки: важнее не техническое мастерство, а возможность сохранить момент.</t>
  </si>
  <si>
    <t>Amateur snapshot photography</t>
  </si>
  <si>
    <t>В центр выходит не фотограф-профессионал, а обычный человек с камерой; рождается культура бытового снимка.</t>
  </si>
  <si>
    <t>Kodak/Brownie снижает технический барьер</t>
  </si>
  <si>
    <t>Фотография как личный дневник, семейная память и визуальный архив</t>
  </si>
  <si>
    <t>Объяснить просто: раньше фотография была делом специалиста; теперь обычный человек получает право нажать кнопку и сохранить свою жизнь.</t>
  </si>
  <si>
    <t>Иконка: человек без студии и лаборатории снимает повседневный момент.</t>
  </si>
  <si>
    <t>#PL008 #amateur-photography #snapshot #everyday-life</t>
  </si>
  <si>
    <t>Snapshot-культура / любительская практика</t>
  </si>
  <si>
    <t>PL-HIST-0075</t>
  </si>
  <si>
    <t>Рочестер, Нью-Йорк / потребительский рынок</t>
  </si>
  <si>
    <t>Eastman Kodak / фотолаборатории</t>
  </si>
  <si>
    <t>Сервисная модель Kodak продолжает освобождать пользователя от проявки и печати: съёмка становится проще, а обработка уходит в лабораторию.</t>
  </si>
  <si>
    <t>Consumer processing service</t>
  </si>
  <si>
    <t>Массовая фотография требует не только камеры, но и инфраструктуры: плёнка, проявка, печать и возврат снимков становятся частью единой системы.</t>
  </si>
  <si>
    <t>Kodak service model 1888</t>
  </si>
  <si>
    <t>Фотолаборатории, минилабы и массовая печать XX века</t>
  </si>
  <si>
    <t>Для PHOTO LAB это важный мост: массовая фотография сразу связана с лабораторией и печатью.</t>
  </si>
  <si>
    <t>Маршрут: пользователь снимает → лаборатория проявляет → отпечатки возвращаются.</t>
  </si>
  <si>
    <t>#PL008 #processing #photo-lab #Kodak-service #prints</t>
  </si>
  <si>
    <t>Snapshot-культура / сервисная обработка</t>
  </si>
  <si>
    <t>PL-HIST-0076</t>
  </si>
  <si>
    <t>1900–1980-е</t>
  </si>
  <si>
    <t>США / Великобритания / глобально</t>
  </si>
  <si>
    <t>Eastman Kodak / пользователи Brownie</t>
  </si>
  <si>
    <t>Линейка Brownie живёт десятилетиями и закрепляет образ простой камеры для всех.</t>
  </si>
  <si>
    <t>Brownie camera line</t>
  </si>
  <si>
    <t>Brownie становится не одиночной моделью, а длительной культурной идеей: простая камера, доступная широкой аудитории.</t>
  </si>
  <si>
    <t>Brownie No. 1 и ранняя массовая фотография</t>
  </si>
  <si>
    <t>Долгая традиция простых потребительских камер XX века</t>
  </si>
  <si>
    <t>Важно: Brownie — это не только камера 1900 года, а символ народной фотографии на десятилетия.</t>
  </si>
  <si>
    <t>Таймлайн с разными поколениями Brownie как одной длинной народной линии.</t>
  </si>
  <si>
    <t>#PL008 #Brownie #camera-line #consumer-cameras</t>
  </si>
  <si>
    <t>Уточнить конкретные годы производства отдельных моделей Brownie при расширении темы.</t>
  </si>
  <si>
    <t>Brownie / долгий жизненный цикл</t>
  </si>
  <si>
    <t>PL-HIST-0077</t>
  </si>
  <si>
    <t>1888–1978</t>
  </si>
  <si>
    <t>США / музейные коллекции</t>
  </si>
  <si>
    <t>Неизвестные фотографы / snapshot-архивы</t>
  </si>
  <si>
    <t>Массовые любительские снимки позже становятся историческим и культурным архивом повседневной жизни.</t>
  </si>
  <si>
    <t>Vernacular photography / snapshot archive</t>
  </si>
  <si>
    <t>То, что начиналось как личные карточки «для себя», становится материалом для изучения общества, семьи, досуга и визуальной культуры.</t>
  </si>
  <si>
    <t>Kodak roll film и Brownie расширяют количество любительских снимков</t>
  </si>
  <si>
    <t>История vernacular photography и коллекционирование бытовых снимков</t>
  </si>
  <si>
    <t>Смысл для начинающего: даже обычный семейный снимок со временем может стать историческим документом.</t>
  </si>
  <si>
    <t>Коробка старых снимков превращается в музейный архив.</t>
  </si>
  <si>
    <t>#PL008 #vernacular #snapshot-archive #museum #everyday-history</t>
  </si>
  <si>
    <t>Snapshot-культура / культурный архив</t>
  </si>
  <si>
    <t>PL-HIST-0078</t>
  </si>
  <si>
    <t>1913 / 1925</t>
  </si>
  <si>
    <t>Вецлар / Лейпциг</t>
  </si>
  <si>
    <t>Оскар Барнак / Leica</t>
  </si>
  <si>
    <t>После массовых box-камер следующий большой вопрос — как сделать камеру компактной, быстрой и качественной; к этому ведёт линия 35 мм и Leica.</t>
  </si>
  <si>
    <t>Bridge to 35mm miniature photography</t>
  </si>
  <si>
    <t>Фотография уже стала массовой, но следующий этап — сделать маленькую камеру серьёзным инструментом для живой съёмки.</t>
  </si>
  <si>
    <t>Brownie и snapshot-культура показывают силу простой камеры</t>
  </si>
  <si>
    <t>PL-009: 35 мм, Leica и новая мобильность фотографа</t>
  </si>
  <si>
    <t>SRC-051</t>
  </si>
  <si>
    <t>Smithsonian NMAH — Leica 35 mm 1(A) Camera</t>
  </si>
  <si>
    <t>https://americanhistory.si.edu/collections/object/nmah_834692</t>
  </si>
  <si>
    <t>Это мост к PL-009: после «камеры для всех» появится идея компактной камеры для быстрой и качественной фотографии.</t>
  </si>
  <si>
    <t>Линия от коробочной Brownie к маленькой 35-мм камере Leica.</t>
  </si>
  <si>
    <t>#PL008 #bridge #Leica #35mm #future-PL</t>
  </si>
  <si>
    <t>При заполнении PL-009 уточнить отдельно Ur-Leica 1913, Leica I 1925 и роль 35-мм кино-плёнки.</t>
  </si>
  <si>
    <t>50.5619, 8.5044</t>
  </si>
  <si>
    <t>Brownie / мост к 35 мм</t>
  </si>
  <si>
    <t>Ветка</t>
  </si>
  <si>
    <t>Что включает</t>
  </si>
  <si>
    <t>Для каких уроков</t>
  </si>
  <si>
    <t>Визуальный цвет/код</t>
  </si>
  <si>
    <t>свет, тёмная комната, pinhole, линзы</t>
  </si>
  <si>
    <t>синий</t>
  </si>
  <si>
    <t>Это предпосылка фотографии, не сама фотография.</t>
  </si>
  <si>
    <t>camera lucida, stereoscope, portable camera obscura</t>
  </si>
  <si>
    <t>PL-001 / будущие PL</t>
  </si>
  <si>
    <t>голубой</t>
  </si>
  <si>
    <t>Помогает объяснить, что люди стремились к точному изображению до химии.</t>
  </si>
  <si>
    <t>серебряные соли, потемнение от света, фиксация, желатиновые эмульсии</t>
  </si>
  <si>
    <t>PL-002 / PL-006</t>
  </si>
  <si>
    <t>жёлтый</t>
  </si>
  <si>
    <t>Химическая половина рождения фотографии.</t>
  </si>
  <si>
    <t>Ньепс, битум, первое сохранившееся изображение</t>
  </si>
  <si>
    <t>золотой</t>
  </si>
  <si>
    <t>Путь к постоянному изображению.</t>
  </si>
  <si>
    <t>прямой позитив на серебряной пластине</t>
  </si>
  <si>
    <t>серебряный</t>
  </si>
  <si>
    <t>Резкость и публичный эффект, но уникальный экземпляр.</t>
  </si>
  <si>
    <t>контактные изображения объектов на бумаге</t>
  </si>
  <si>
    <t>зелёный</t>
  </si>
  <si>
    <t>Британская линия Тальбота.</t>
  </si>
  <si>
    <t>бумажный негатив, калотип, стеклянный негатив, сухая желатиновая пластина, рулонная плёнка, Brownie, 120 film, копирование</t>
  </si>
  <si>
    <t>PL-004 / PL-006 / PL-007 / PL-008</t>
  </si>
  <si>
    <t>зелёный тёмный</t>
  </si>
  <si>
    <t>Главная идея, которая победила исторически.</t>
  </si>
  <si>
    <t>Herschel, hypo, terms photography/negative/positive</t>
  </si>
  <si>
    <t>фиолетовый</t>
  </si>
  <si>
    <t>Фотография нуждается в языке и стабильности.</t>
  </si>
  <si>
    <t>salted paper, albumen print, фотокнига, массовая печать, семейные альбомы, snapshot-архивы</t>
  </si>
  <si>
    <t>PL-004 / PL-008 / будущие PL</t>
  </si>
  <si>
    <t>оранжевый</t>
  </si>
  <si>
    <t>Ветка распространения изображений.</t>
  </si>
  <si>
    <t>стеклянный негатив, коллодий, нитрат серебра</t>
  </si>
  <si>
    <t>красный</t>
  </si>
  <si>
    <t>Мост между резкостью и тиражом.</t>
  </si>
  <si>
    <t>Bayard, ambrotype, tintype, direct positive</t>
  </si>
  <si>
    <t>PL-003 / PL-005</t>
  </si>
  <si>
    <t>серый</t>
  </si>
  <si>
    <t>Важные, но технологически ограниченные ветки.</t>
  </si>
  <si>
    <t>ранние опыты, Becquerel, будущий Autochrome</t>
  </si>
  <si>
    <t>радужный</t>
  </si>
  <si>
    <t>В v0.1 только ранний ориентир.</t>
  </si>
  <si>
    <t>lantern slides, публичный показ</t>
  </si>
  <si>
    <t>бирюзовый</t>
  </si>
  <si>
    <t>Мост к обучению, лекциям, презентациям.</t>
  </si>
  <si>
    <t>Главная тема</t>
  </si>
  <si>
    <t>Исторические узлы</t>
  </si>
  <si>
    <t>Что должен понять новичок</t>
  </si>
  <si>
    <t>Статус</t>
  </si>
  <si>
    <t>Ссылка на урок (Telegram)</t>
  </si>
  <si>
    <t>Камера-обскура и оптика</t>
  </si>
  <si>
    <t>PL-HIST-0001…0008, 0013, 0028</t>
  </si>
  <si>
    <t>Свет умеет строить изображение, но ещё не сохраняет его.</t>
  </si>
  <si>
    <t>основа готова</t>
  </si>
  <si>
    <t>Ньепс и первая фиксация</t>
  </si>
  <si>
    <t>PL-HIST-0009…0016</t>
  </si>
  <si>
    <t>Недостаточно увидеть изображение — его нужно зафиксировать.</t>
  </si>
  <si>
    <t>PL-HIST-0017…0023, 0027</t>
  </si>
  <si>
    <t>Фотография стала публичной, резкой и убедительной, но изображение было уникальным.</t>
  </si>
  <si>
    <t>Тальбот, калотип, негатив-позитив</t>
  </si>
  <si>
    <t>PL-HIST-0019…0026, 0029…0035</t>
  </si>
  <si>
    <t>Идея копирования победила: один негатив может дать много отпечатков.</t>
  </si>
  <si>
    <t>PL-HIST-0041…0048</t>
  </si>
  <si>
    <t>Резкость дагеротипа и тираж калотипа встретились на стеклянной влажной пластине.</t>
  </si>
  <si>
    <t>Сухие желатиновые пластины</t>
  </si>
  <si>
    <t>PL-HIST-0049…0058</t>
  </si>
  <si>
    <t>Фотография освобождается от немедленной полевой химии: пластину можно купить, хранить, экспонировать и проявлять позже.</t>
  </si>
  <si>
    <t>основа заполнена</t>
  </si>
  <si>
    <t>Рулонная плёнка и Kodak</t>
  </si>
  <si>
    <t>PL-HIST-0059…0068</t>
  </si>
  <si>
    <t>Фотография освобождается от стеклянной пластины: рулонный носитель, Kodak и сервис обработки делают съёмку проще и ближе к массовому пользователю.</t>
  </si>
  <si>
    <t>https://t.me/photolab_vf</t>
  </si>
  <si>
    <t>Brownie и snapshot-культура</t>
  </si>
  <si>
    <t>PL-HIST-0069…0078</t>
  </si>
  <si>
    <t>Фотография становится дешёвой и повседневной: обычные люди начинают снимать семью, поездки, детей и частную жизнь.</t>
  </si>
  <si>
    <t>Расширение после PL-008</t>
  </si>
  <si>
    <t>35 мм, Leica, цвет, вспышка, автофокус, цифровая фотография, смартфоны, AI</t>
  </si>
  <si>
    <t>Фотография станет компактной, цветной, автоматической, цифровой и вычислительной.</t>
  </si>
  <si>
    <t>планируется</t>
  </si>
  <si>
    <t>Название</t>
  </si>
  <si>
    <t>URL</t>
  </si>
  <si>
    <t>Используется для</t>
  </si>
  <si>
    <t>Примечание</t>
  </si>
  <si>
    <t>Ибн аль-Хайсам, камера-обскура, прямолинейное распространение света</t>
  </si>
  <si>
    <t>вводный источник</t>
  </si>
  <si>
    <t>Cardano, Della Porta, линза в камере-обскуре</t>
  </si>
  <si>
    <t>музейный образовательный источник</t>
  </si>
  <si>
    <t>Kepler, термин camera obscura, развитие оптических приборов</t>
  </si>
  <si>
    <t>академический PDF</t>
  </si>
  <si>
    <t>Johann Zahn, portable camera obscura</t>
  </si>
  <si>
    <t>источник по историческим изображениям</t>
  </si>
  <si>
    <t>Schulze, светочувствительность серебряных солей</t>
  </si>
  <si>
    <t>музейный источник</t>
  </si>
  <si>
    <t>Scheele, silver chloride, ammonia</t>
  </si>
  <si>
    <t>научно-исторический источник</t>
  </si>
  <si>
    <t>Wedgwood, silver nitrate, early camera obscura attempts</t>
  </si>
  <si>
    <t>Talbot, Wedgwood/Davy, photogenic drawing</t>
  </si>
  <si>
    <t>архивный/исследовательский источник</t>
  </si>
  <si>
    <t>Wollaston, Camera Lucida, 1806/1807</t>
  </si>
  <si>
    <t>музейная карточка предмета</t>
  </si>
  <si>
    <t>Niépce, View from the Window at Le Gras, heliography</t>
  </si>
  <si>
    <t>ключевой источник</t>
  </si>
  <si>
    <t>Niépce 1816, исчезающие negative images</t>
  </si>
  <si>
    <t>музей/юбилейный проект</t>
  </si>
  <si>
    <t>1826, 1839, Talbot, calotype, cyanotype, early medical photography, lantern slides</t>
  </si>
  <si>
    <t>университетская таймлайн-опора</t>
  </si>
  <si>
    <t>Daguerre, Académie des Sciences, 1839</t>
  </si>
  <si>
    <t>музейный эссе-источник</t>
  </si>
  <si>
    <t>SRC-014</t>
  </si>
  <si>
    <t>Library of Congress — Daguerreotype Medium</t>
  </si>
  <si>
    <t>https://www.loc.gov/collections/daguerreotypes/articles-and-essays/the-daguerreotype-medium</t>
  </si>
  <si>
    <t>daguerreotype as direct-positive process</t>
  </si>
  <si>
    <t>архивный источник</t>
  </si>
  <si>
    <t>calotype as first negative-positive process</t>
  </si>
  <si>
    <t>архивный образовательный источник</t>
  </si>
  <si>
    <t>Talbot, latent image, calotype, hypo, Pencil of Nature</t>
  </si>
  <si>
    <t>Herschel, terminology, cyanotype context</t>
  </si>
  <si>
    <t>музейная биография</t>
  </si>
  <si>
    <t>Herschel, cyanotype 1842</t>
  </si>
  <si>
    <t>Anna Atkins, Photographs of British Algae</t>
  </si>
  <si>
    <t>salt print, albumen print, wet collodion process</t>
  </si>
  <si>
    <t>Archer, wet collodion, 1851, process details</t>
  </si>
  <si>
    <t>музейный блог</t>
  </si>
  <si>
    <t>ambrotype, tintype, Cutting patent, 1854</t>
  </si>
  <si>
    <t>photogenic drawing 1834, calotype context</t>
  </si>
  <si>
    <t>Wheatstone, stereoscopy 1838</t>
  </si>
  <si>
    <t>общественно-научный источник</t>
  </si>
  <si>
    <t>salt print chemistry, Scheele, Wedgwood context</t>
  </si>
  <si>
    <t>технический PDF</t>
  </si>
  <si>
    <t>SRC-026</t>
  </si>
  <si>
    <t>V&amp;A — A to Z of photographic processes</t>
  </si>
  <si>
    <t>https://www.vam.ac.uk/articles/photographic-processes</t>
  </si>
  <si>
    <t>общий перечень процессов для последующих версий</t>
  </si>
  <si>
    <t>дополнительный справочник</t>
  </si>
  <si>
    <t>Maddox 1871, Burgess/Kennett/Bennett improvements, Liverpool Dry Plate Company 1874</t>
  </si>
  <si>
    <t>dry plate 1871, manufacture 1878, replacement of wet collodion, storage benefits</t>
  </si>
  <si>
    <t>Maddox 1871, Bennett 1878, heating emulsion, 1/25 second exposure</t>
  </si>
  <si>
    <t>dry plate 1871/1878, faster exposure, motion, norm by late 1880s</t>
  </si>
  <si>
    <t>университетская выставка</t>
  </si>
  <si>
    <t>Eastman commercial dry plates in 1880, Eastman Dry Plate Company 1881</t>
  </si>
  <si>
    <t>официальная история компании</t>
  </si>
  <si>
    <t>Eastman and Strong, Eastman Dry Plate Company on January 1, 1881</t>
  </si>
  <si>
    <t>dry plates as popular negative from 1880 to 1900, benefits versus wet collodion</t>
  </si>
  <si>
    <t>архивный музейный источник</t>
  </si>
  <si>
    <t>dry plates coated with gelatin emulsion, practical freedom, Eastman's role</t>
  </si>
  <si>
    <t>Eastman-Walker roll holder, 1885, made by Eastman Dry Plate and Film Company</t>
  </si>
  <si>
    <t>American Film 1885 with Eastman-Walker roll holder; Kodak film 1888; Kodak transparent film 1889</t>
  </si>
  <si>
    <t>Goodwin and transparent flexible roll film on nitrocellulose base</t>
  </si>
  <si>
    <t>биографический/изобретательский источник</t>
  </si>
  <si>
    <t>Original Kodak camera 1888, flexible roll film, 100 exposures, price/context</t>
  </si>
  <si>
    <t>Kodak No. 1 camera, 100-exposure roll, factory processing/reloading, amateur photography</t>
  </si>
  <si>
    <t>Kodak launch 1888, camera patent and Kodak trademark on September 4, 1888</t>
  </si>
  <si>
    <t>1889 first commercial transparent roll film, Eastman and research chemist, impact on motion picture camera</t>
  </si>
  <si>
    <t>официальная хронология компании</t>
  </si>
  <si>
    <t>1891 first daylight-loading camera; Kodak Park and film/paper manufacturing context</t>
  </si>
  <si>
    <t>Kodak camera 1888 and Brownie 1900 as birth of popular photography</t>
  </si>
  <si>
    <t>No. 1 Brownie box roll-film camera; affordable and easy to use camera context</t>
  </si>
  <si>
    <t>SRC-045</t>
  </si>
  <si>
    <t>The Strong National Museum of Play — Brownies: From Folklore to Kodak Cameras</t>
  </si>
  <si>
    <t>https://www.museumofplay.org/blog/brownies-from-folklore-to-kodak-cameras/</t>
  </si>
  <si>
    <t>Brownie name, Frank A. Brownell, Eastman Kodak and cultural naming context</t>
  </si>
  <si>
    <t>Brownie 1900, $1 price, children/consumer photography context</t>
  </si>
  <si>
    <t>научно-образовательный источник</t>
  </si>
  <si>
    <t>Brownie democratized photography, aimed at people with no previous experience, advertising and Palmer Cox context</t>
  </si>
  <si>
    <t>SRC-048</t>
  </si>
  <si>
    <t>NEH — How Kodak Created a Fashion Accessory</t>
  </si>
  <si>
    <t>https://www.neh.gov/article/how-kodak-created-fashion-accessory</t>
  </si>
  <si>
    <t>Brownie 1900, $1 camera, mass-market amateur camera, middle/working-class and children context</t>
  </si>
  <si>
    <t>культурно-исторический источник</t>
  </si>
  <si>
    <t>snapshot photography as vernacular/cultural archive from Kodak roll-film era onward</t>
  </si>
  <si>
    <t>No. 2 Brownie camera, 120 rollfilm, simple box-form camera details</t>
  </si>
  <si>
    <t>Leica 1(A), commercial 35mm camera, Barnack, 1924/1925 and popularization of 35mm film photography</t>
  </si>
  <si>
    <t>Важность</t>
  </si>
  <si>
    <t>Уверенность</t>
  </si>
  <si>
    <t>PHOTO LAB — History Map Master v0.5</t>
  </si>
  <si>
    <t>Назначение</t>
  </si>
  <si>
    <t>Исследовательская база для будущей интерактивной карты развития фотографии: география + время + ветки технологий + привязка к урокам.</t>
  </si>
  <si>
    <t>Охват v0.5</t>
  </si>
  <si>
    <t>От оптических предпосылок камеры-обскуры до мокрого коллодия, сухих желатиновых пластин, рулонной плёнки, Kodak, Brownie и snapshot-культуры; основа для PL-001–PL-008.</t>
  </si>
  <si>
    <t>Принцип</t>
  </si>
  <si>
    <t>Каждый факт должен отвечать на 5 вопросов: что произошло, где, кто связан, почему важно, чем подтверждено.</t>
  </si>
  <si>
    <t>Как пользоваться</t>
  </si>
  <si>
    <t>Фильтровать лист 01_Master_Facts по уроку, ветке развития, статусу ветки, типу узла, стране или уровню уверенности.</t>
  </si>
  <si>
    <t>Важно</t>
  </si>
  <si>
    <t>Поля «Проверить позже» и «Уверенность 1–5» оставлены специально: спорные даты и слабые источники не должны попадать в финальную карту без доработки.</t>
  </si>
  <si>
    <t>Правило веток</t>
  </si>
  <si>
    <t>Ветка развития = одна из 13 крупных линий из 02_Branches. Для PL-006, PL-007 и PL-008 сухие пластины, рулонная плёнка, Brownie и snapshot-культура пока идут внутри крупных веток «Негатив-позитив» и «Печать / тиражирование», а детали фиксируются в подветках.</t>
  </si>
  <si>
    <t>Правило подветок</t>
  </si>
  <si>
    <t>Подветка (детали) = уточнение внутри крупной ветки: химия, камера, распространение, фотокнига, медицинское применение, сухие желатиновые пластины, рулонная плёнка, Brownie, snapshot-культура и т.п.</t>
  </si>
  <si>
    <t>Правило типа узла</t>
  </si>
  <si>
    <t>Тип узла = назначение факта на карте: технология, предпосылка, инструмент, публикация, терминология, применение, распространение, связь/переход и т.п.</t>
  </si>
  <si>
    <t>Единственный источник истины по урокам</t>
  </si>
  <si>
    <t>Для фильтра «по уроку» использовать только колонку «Привязка к уроку» в 01_Master_Facts. Диапазоны в 03_Lessons_Map — нарративные, не строгие множества, и могут пересекаться между уроками.</t>
  </si>
  <si>
    <t>Что изменено в v0.2.1</t>
  </si>
  <si>
    <t>Исправлены формулы Dashboard с безопасными ссылками на листы, убрана остаточная строка «Цианотипия», нормализованы выпадающие списки, добавлена колонка «Тип узла», подготовлена строка PL-006.</t>
  </si>
  <si>
    <t>Что изменено в v0.3</t>
  </si>
  <si>
    <t>Заполнен PL-006: добавлены PL-HIST-0049…0058 по сухим желатиновым пластинам, добавлены источники SRC-027…SRC-034, обновлены 02_Branches, 03_Lessons_Map, 06_Lists и Dashboard.</t>
  </si>
  <si>
    <t>Что изменено в v0.3.1</t>
  </si>
  <si>
    <t>Добавлена колонка «Флагман урока (да/нет)» в 01_Master_Facts: по одному флагманскому узлу на каждый из PL-001–PL-006.</t>
  </si>
  <si>
    <t>Что изменено в v0.4</t>
  </si>
  <si>
    <t>Заполнен PL-007: добавлены PL-HIST-0059…0068 по рулонной плёнке, Eastman-Walker roll holder, Kodak camera 1888, сервисной модели Kodak, прозрачной плёнке 1889, дневной перезарядке и Brownie как мосту к массовой фотографии. Добавлены источники SRC-035…SRC-043 и флагманский узел PL-HIST-0063.</t>
  </si>
  <si>
    <t>Что изменено в v0.5</t>
  </si>
  <si>
    <t>Заполнен PL-008: добавлены PL-HIST-0069…0078 по Brownie, доступной массовой камере, рекламе, 120 roll film, snapshot-культуре, семейному альбому, сервисной обработке, культурному архиву бытовых снимков и мосту к 35 мм / Leica. Добавлены источники SRC-044…SRC-051 и флагманский узел PL-HIST-0069.</t>
  </si>
  <si>
    <t>Правило флагманских узлов</t>
  </si>
  <si>
    <t>Колонка «Флагман урока (да/нет)» = ровно один узел на урок, который представляет тему в компактном/обзорном режиме карты (Journey Mode). Значение проставляется вручную автором, не вычисляется автоматически.</t>
  </si>
  <si>
    <t>Ссылка на урок в Telegram</t>
  </si>
  <si>
    <t>Колонка F в 03_Lessons_Map сейчас указывает на канал целиком (https://t.me/photolab_vf), т.к. точные номера постов для каждого PL-00X не зафиксированы. Когда номера постов будут известны, заменить на прямые ссылки вида https://t.me/photolab_vf/123 — сайт должен брать значение из этой колонки, не хранить ссылки в коде.</t>
  </si>
  <si>
    <t>Следующий шаг</t>
  </si>
  <si>
    <t>PL-009 логично строить вокруг 35 мм, Leica, компактной камеры и новой мобильности фотографа.</t>
  </si>
  <si>
    <t>https://t.me/photolab_vf_pro/4/40</t>
  </si>
  <si>
    <t>https://t.me/photolab_vf_pro/4/54</t>
  </si>
  <si>
    <t>https://t.me/photolab_vf_pro/4/59</t>
  </si>
  <si>
    <t>https://t.me/photolab_vf_pro/4/64</t>
  </si>
  <si>
    <t>https://t.me/photolab_vf_pro/4/69</t>
  </si>
  <si>
    <t>https://t.me/photolab_vf_pro/4/75</t>
  </si>
  <si>
    <t>https://t.me/photolab_vf_pro/4/80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</si>
</sst>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2" formatCode="_-* #,##0\ &quot;₽&quot;_-;\-* #,##0\ &quot;₽&quot;_-;_-* &quot;-&quot;\ &quot;₽&quot;_-;_-@_-"/>
    <numFmt numFmtId="41" formatCode="_-* #,##0_-;\-* #,##0_-;_-* &quot;-&quot;_-;_-@_-"/>
    <numFmt numFmtId="44" formatCode="_-* #,##0.00\ &quot;₽&quot;_-;\-* #,##0.00\ &quot;₽&quot;_-;_-* &quot;-&quot;??\ &quot;₽&quot;_-;_-@_-"/>
    <numFmt numFmtId="43" formatCode="_-* #,##0.00_-;\-* #,##0.00_-;_-* &quot;-&quot;??_-;_-@_-"/>
  </numFmts>
  <fonts count="10" x14ac:knownFonts="1">
    <font>
      <sz val="10"/>
      <name val="Arial"/>
    </font>
    <font>
      <sz val="10"/>
      <name val="Arial"/>
      <family val="2"/>
    </font>
    <font>
      <b/>
      <sz val="14"/>
      <color rgb="FFFFFFFF"/>
      <name val="Calibri"/>
      <family val="2"/>
    </font>
    <font>
      <b/>
      <sz val="11"/>
      <color rgb="FFFFFFFF"/>
      <name val="Calibri"/>
      <family val="2"/>
    </font>
    <font>
      <b/>
      <sz val="10"/>
      <color rgb="FFFFFFFF"/>
      <name val="Arial"/>
      <family val="2"/>
    </font>
    <font>
      <sz val="11"/>
      <name val="Calibri"/>
      <family val="2"/>
    </font>
    <font>
      <b/>
      <sz val="12"/>
      <name val="Calibri"/>
      <family val="2"/>
    </font>
    <font>
      <sz val="10"/>
      <name val="Calibri"/>
      <family val="2"/>
    </font>
    <font>
      <b/>
      <sz val="11"/>
      <color rgb="FF111827"/>
      <name val="Calibri"/>
      <family val="2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B8860B"/>
      </patternFill>
    </fill>
    <fill>
      <patternFill patternType="solid">
        <fgColor rgb="FF111827"/>
      </patternFill>
    </fill>
    <fill>
      <patternFill patternType="solid">
        <fgColor rgb="FF1F2937"/>
      </patternFill>
    </fill>
    <fill>
      <patternFill patternType="solid">
        <fgColor rgb="FFFDECC8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7">
    <xf numFmtId="0" fontId="0" fillId="0" borderId="1"/>
    <xf numFmtId="43" fontId="1" fillId="0" borderId="1"/>
    <xf numFmtId="41" fontId="1" fillId="0" borderId="1"/>
    <xf numFmtId="44" fontId="1" fillId="0" borderId="1"/>
    <xf numFmtId="42" fontId="1" fillId="0" borderId="1"/>
    <xf numFmtId="9" fontId="1" fillId="0" borderId="1"/>
    <xf numFmtId="0" fontId="9" fillId="0" borderId="1"/>
  </cellStyleXfs>
  <cellXfs count="15">
    <xf numFmtId="0" fontId="0" fillId="0" borderId="0" xfId="0" applyBorder="1"/>
    <xf numFmtId="0" fontId="3" fillId="3" borderId="0" xfId="6" applyFont="1" applyFill="1" applyBorder="1" applyAlignment="1">
      <alignment horizontal="center" vertical="center" wrapText="1"/>
    </xf>
    <xf numFmtId="0" fontId="4" fillId="3" borderId="0" xfId="6" applyFont="1" applyFill="1" applyBorder="1" applyAlignment="1">
      <alignment horizontal="center" vertical="center" wrapText="1"/>
    </xf>
    <xf numFmtId="0" fontId="5" fillId="0" borderId="0" xfId="6" applyFont="1" applyBorder="1" applyAlignment="1">
      <alignment vertical="top" wrapText="1"/>
    </xf>
    <xf numFmtId="0" fontId="6" fillId="0" borderId="0" xfId="6" applyFont="1" applyBorder="1" applyAlignment="1">
      <alignment horizontal="center" vertical="top" wrapText="1"/>
    </xf>
    <xf numFmtId="0" fontId="1" fillId="0" borderId="0" xfId="6" applyFont="1" applyBorder="1" applyAlignment="1">
      <alignment wrapText="1"/>
    </xf>
    <xf numFmtId="0" fontId="5" fillId="0" borderId="0" xfId="6" applyFont="1" applyBorder="1" applyAlignment="1">
      <alignment wrapText="1"/>
    </xf>
    <xf numFmtId="0" fontId="7" fillId="0" borderId="0" xfId="6" applyFont="1" applyBorder="1" applyAlignment="1">
      <alignment vertical="top" wrapText="1"/>
    </xf>
    <xf numFmtId="0" fontId="7" fillId="0" borderId="0" xfId="6" applyFont="1" applyBorder="1" applyAlignment="1">
      <alignment horizontal="center" vertical="top" wrapText="1"/>
    </xf>
    <xf numFmtId="0" fontId="3" fillId="4" borderId="0" xfId="6" applyFont="1" applyFill="1" applyBorder="1" applyAlignment="1">
      <alignment horizontal="center" vertical="center" wrapText="1"/>
    </xf>
    <xf numFmtId="0" fontId="8" fillId="5" borderId="0" xfId="6" applyFont="1" applyFill="1" applyBorder="1" applyAlignment="1">
      <alignment vertical="top" wrapText="1"/>
    </xf>
    <xf numFmtId="0" fontId="0" fillId="0" borderId="0" xfId="6" applyFont="1" applyBorder="1" applyAlignment="1">
      <alignment wrapText="1"/>
    </xf>
    <xf numFmtId="0" fontId="2" fillId="2" borderId="1" xfId="6" applyFont="1" applyFill="1" applyAlignment="1">
      <alignment horizontal="center" vertical="center" wrapText="1"/>
    </xf>
    <xf numFmtId="0" fontId="0" fillId="0" borderId="1" xfId="6" applyFont="1"/>
    <xf numFmtId="0" fontId="2" fillId="3" borderId="1" xfId="6" applyFont="1" applyFill="1" applyAlignment="1">
      <alignment horizontal="center" vertical="center" wrapText="1"/>
    </xf>
  </cellXfs>
  <cellStyles count="7">
    <cellStyle name="Обычный" xfId="0" builtinId="0"/>
    <cellStyle name="Comma" xfId="1" xr:uid="{00000000-0005-0000-0000-000001000000}"/>
    <cellStyle name="Comma [0]" xfId="2" xr:uid="{00000000-0005-0000-0000-000002000000}"/>
    <cellStyle name="Currency" xfId="3" xr:uid="{00000000-0005-0000-0000-000003000000}"/>
    <cellStyle name="Currency [0]" xfId="4" xr:uid="{00000000-0005-0000-0000-000004000000}"/>
    <cellStyle name="Normal" xfId="6" xr:uid="{00000000-0005-0000-0000-000000000000}"/>
    <cellStyle name="Percent" xfId="5" xr:uid="{00000000-0005-0000-0000-000005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8860B"/>
      <rgbColor rgb="FF800080"/>
      <rgbColor rgb="FF156082"/>
      <rgbColor rgb="FFCCCCCC"/>
      <rgbColor rgb="FF8B8B8B"/>
      <rgbColor rgb="FF9999FF"/>
      <rgbColor rgb="FF993366"/>
      <rgbColor rgb="FFFDECC8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827"/>
      <rgbColor rgb="FF333300"/>
      <rgbColor rgb="FF993300"/>
      <rgbColor rgb="FF993366"/>
      <rgbColor rgb="FF333399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1"/>
  <c:style val="2"/>
  <c:chart>
    <c:title>
      <c:tx>
        <c:rich>
          <a:bodyPr/>
          <a:lstStyle/>
          <a:p>
            <a:r>
              <a:rPr lang="ru-RU"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Узлы по веткам развития</a:t>
            </a:r>
            <a:r>
              <a:rPr lang="en"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None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Количество узлов</c:v>
          </c:tx>
          <c:spPr>
            <a:solidFill>
              <a:srgbClr val="156082"/>
            </a:solidFill>
            <a:ln w="0">
              <a:noFill/>
              <a:prstDash val="solid"/>
            </a:ln>
          </c:spPr>
          <c:invertIfNegative val="1"/>
          <c:cat>
            <c:strRef>
              <c:f>'05_Dashboard'!$A$10:$A$46</c:f>
              <c:strCache>
                <c:ptCount val="27"/>
                <c:pt idx="0">
                  <c:v>Оптика / камера-обскура</c:v>
                </c:pt>
                <c:pt idx="1">
                  <c:v>Оптические инструменты</c:v>
                </c:pt>
                <c:pt idx="2">
                  <c:v>Фотохимия</c:v>
                </c:pt>
                <c:pt idx="3">
                  <c:v>Гелиография</c:v>
                </c:pt>
                <c:pt idx="4">
                  <c:v>Дагеротип</c:v>
                </c:pt>
                <c:pt idx="5">
                  <c:v>Фотогенный рисунок / фотограмма</c:v>
                </c:pt>
                <c:pt idx="6">
                  <c:v>Негатив-позитив</c:v>
                </c:pt>
                <c:pt idx="7">
                  <c:v>Фиксаж / терминология</c:v>
                </c:pt>
                <c:pt idx="8">
                  <c:v>Печать / тиражирование</c:v>
                </c:pt>
                <c:pt idx="9">
                  <c:v>Мокрый коллодий</c:v>
                </c:pt>
                <c:pt idx="10">
                  <c:v>Уникальный позитив</c:v>
                </c:pt>
                <c:pt idx="11">
                  <c:v>Цвет</c:v>
                </c:pt>
                <c:pt idx="12">
                  <c:v>Проекция / распространение</c:v>
                </c:pt>
                <c:pt idx="15">
                  <c:v>Тип узла</c:v>
                </c:pt>
                <c:pt idx="16">
                  <c:v>Фундаментальная предпосылка</c:v>
                </c:pt>
                <c:pt idx="17">
                  <c:v>Технология / процесс</c:v>
                </c:pt>
                <c:pt idx="18">
                  <c:v>Инструмент / устройство</c:v>
                </c:pt>
                <c:pt idx="19">
                  <c:v>Публикация / объявление</c:v>
                </c:pt>
                <c:pt idx="20">
                  <c:v>Терминология / язык</c:v>
                </c:pt>
                <c:pt idx="21">
                  <c:v>Связь / переход</c:v>
                </c:pt>
                <c:pt idx="22">
                  <c:v>Тиражирование / публикация</c:v>
                </c:pt>
                <c:pt idx="23">
                  <c:v>Распространение / коммерциализация</c:v>
                </c:pt>
                <c:pt idx="24">
                  <c:v>Научное применение / пример</c:v>
                </c:pt>
                <c:pt idx="25">
                  <c:v>Применение / жанр</c:v>
                </c:pt>
                <c:pt idx="26">
                  <c:v>Ключевой исторический узел</c:v>
                </c:pt>
              </c:strCache>
            </c:strRef>
          </c:cat>
          <c:val>
            <c:numRef>
              <c:f>'05_Dashboard'!$B$10:$B$46</c:f>
              <c:numCache>
                <c:formatCode>General</c:formatCode>
                <c:ptCount val="37"/>
                <c:pt idx="0">
                  <c:v>6</c:v>
                </c:pt>
                <c:pt idx="1">
                  <c:v>4</c:v>
                </c:pt>
                <c:pt idx="2">
                  <c:v>4</c:v>
                </c:pt>
                <c:pt idx="3">
                  <c:v>3</c:v>
                </c:pt>
                <c:pt idx="4">
                  <c:v>7</c:v>
                </c:pt>
                <c:pt idx="5">
                  <c:v>2</c:v>
                </c:pt>
                <c:pt idx="6">
                  <c:v>29</c:v>
                </c:pt>
                <c:pt idx="7">
                  <c:v>2</c:v>
                </c:pt>
                <c:pt idx="8">
                  <c:v>10</c:v>
                </c:pt>
                <c:pt idx="9">
                  <c:v>5</c:v>
                </c:pt>
                <c:pt idx="10">
                  <c:v>4</c:v>
                </c:pt>
                <c:pt idx="11">
                  <c:v>1</c:v>
                </c:pt>
                <c:pt idx="12">
                  <c:v>1</c:v>
                </c:pt>
                <c:pt idx="15">
                  <c:v>0</c:v>
                </c:pt>
                <c:pt idx="16">
                  <c:v>4</c:v>
                </c:pt>
                <c:pt idx="17">
                  <c:v>24</c:v>
                </c:pt>
                <c:pt idx="18">
                  <c:v>8</c:v>
                </c:pt>
                <c:pt idx="19">
                  <c:v>5</c:v>
                </c:pt>
                <c:pt idx="20">
                  <c:v>2</c:v>
                </c:pt>
                <c:pt idx="21">
                  <c:v>8</c:v>
                </c:pt>
                <c:pt idx="22">
                  <c:v>5</c:v>
                </c:pt>
                <c:pt idx="23">
                  <c:v>11</c:v>
                </c:pt>
                <c:pt idx="24">
                  <c:v>2</c:v>
                </c:pt>
                <c:pt idx="25">
                  <c:v>5</c:v>
                </c:pt>
                <c:pt idx="26">
                  <c:v>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w="0">
                    <a:noFill/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C830-0A40-834C-9D20A169CE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360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prstDash val="solid"/>
          </a:ln>
        </c:spPr>
        <c:txPr>
          <a:bodyPr anchorCtr="1"/>
          <a:lstStyle/>
          <a:p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ru-RU"/>
          </a:p>
        </c:txPr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360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prstDash val="solid"/>
          </a:ln>
        </c:spPr>
        <c:txPr>
          <a:bodyPr anchorCtr="1"/>
          <a:lstStyle/>
          <a:p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ru-RU"/>
          </a:p>
        </c:txPr>
        <c:crossAx val="48650112"/>
        <c:crosses val="autoZero"/>
        <c:crossBetween val="between"/>
      </c:valAx>
    </c:plotArea>
    <c:legend>
      <c:legendPos val="b"/>
      <c:overlay val="0"/>
      <c:spPr>
        <a:noFill/>
        <a:ln>
          <a:prstDash val="solid"/>
        </a:ln>
      </c:spPr>
      <c:txPr>
        <a:bodyPr anchorCtr="1"/>
        <a:lstStyle/>
        <a:p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endParaRPr lang="ru-RU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13</xdr:col>
      <xdr:colOff>610560</xdr:colOff>
      <xdr:row>19</xdr:row>
      <xdr:rowOff>19800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MasterFactsTable" displayName="MasterFactsTable" ref="A1:W49">
  <tableColumns count="23">
    <tableColumn id="1" xr3:uid="{00000000-0010-0000-0000-000001000000}" name="ID"/>
    <tableColumn id="2" xr3:uid="{00000000-0010-0000-0000-000002000000}" name="Период / дата"/>
    <tableColumn id="3" xr3:uid="{00000000-0010-0000-0000-000003000000}" name="Точность даты"/>
    <tableColumn id="4" xr3:uid="{00000000-0010-0000-0000-000004000000}" name="Страна"/>
    <tableColumn id="5" xr3:uid="{00000000-0010-0000-0000-000005000000}" name="Город / регион"/>
    <tableColumn id="6" xr3:uid="{00000000-0010-0000-0000-000006000000}" name="Персона / группа"/>
    <tableColumn id="7" xr3:uid="{00000000-0010-0000-0000-000007000000}" name="Событие"/>
    <tableColumn id="8" xr3:uid="{00000000-0010-0000-0000-000008000000}" name="Ветка развития"/>
    <tableColumn id="9" xr3:uid="{00000000-0010-0000-0000-000009000000}" name="Технология / процесс"/>
    <tableColumn id="10" xr3:uid="{00000000-0010-0000-0000-00000A000000}" name="Что изменилось"/>
    <tableColumn id="11" xr3:uid="{00000000-0010-0000-0000-00000B000000}" name="Предыдущая связь"/>
    <tableColumn id="12" xr3:uid="{00000000-0010-0000-0000-00000C000000}" name="Следующая связь"/>
    <tableColumn id="13" xr3:uid="{00000000-0010-0000-0000-00000D000000}" name="Статус ветки"/>
    <tableColumn id="14" xr3:uid="{00000000-0010-0000-0000-00000E000000}" name="Важность 1–5"/>
    <tableColumn id="15" xr3:uid="{00000000-0010-0000-0000-00000F000000}" name="Привязка к уроку"/>
    <tableColumn id="16" xr3:uid="{00000000-0010-0000-0000-000010000000}" name="Источник ID"/>
    <tableColumn id="17" xr3:uid="{00000000-0010-0000-0000-000011000000}" name="Название источника"/>
    <tableColumn id="18" xr3:uid="{00000000-0010-0000-0000-000012000000}" name="URL источника"/>
    <tableColumn id="19" xr3:uid="{00000000-0010-0000-0000-000013000000}" name="Уверенность 1–5"/>
    <tableColumn id="20" xr3:uid="{00000000-0010-0000-0000-000014000000}" name="Комментарий для лекции"/>
    <tableColumn id="21" xr3:uid="{00000000-0010-0000-0000-000015000000}" name="Визуальная идея для карты"/>
    <tableColumn id="22" xr3:uid="{00000000-0010-0000-0000-000016000000}" name="Теги"/>
    <tableColumn id="23" xr3:uid="{00000000-0010-0000-0000-000017000000}" name="Проверить позже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BranchesTable" displayName="BranchesTable" ref="A1:E14">
  <tableColumns count="5">
    <tableColumn id="1" xr3:uid="{00000000-0010-0000-0100-000001000000}" name="Ветка"/>
    <tableColumn id="2" xr3:uid="{00000000-0010-0000-0100-000002000000}" name="Что включает"/>
    <tableColumn id="3" xr3:uid="{00000000-0010-0000-0100-000003000000}" name="Для каких уроков"/>
    <tableColumn id="4" xr3:uid="{00000000-0010-0000-0100-000004000000}" name="Визуальный цвет/код"/>
    <tableColumn id="5" xr3:uid="{00000000-0010-0000-0100-000005000000}" name="Комментарий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LessonsTable" displayName="LessonsTable" ref="A1:E7">
  <tableColumns count="5">
    <tableColumn id="1" xr3:uid="{00000000-0010-0000-0200-000001000000}" name="Урок"/>
    <tableColumn id="2" xr3:uid="{00000000-0010-0000-0200-000002000000}" name="Главная тема"/>
    <tableColumn id="3" xr3:uid="{00000000-0010-0000-0200-000003000000}" name="Исторические узлы"/>
    <tableColumn id="4" xr3:uid="{00000000-0010-0000-0200-000004000000}" name="Что должен понять новичок"/>
    <tableColumn id="5" xr3:uid="{00000000-0010-0000-0200-000005000000}" name="Статус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SourcesTable" displayName="SourcesTable" ref="A1:E27">
  <tableColumns count="5">
    <tableColumn id="1" xr3:uid="{00000000-0010-0000-0300-000001000000}" name="Источник ID"/>
    <tableColumn id="2" xr3:uid="{00000000-0010-0000-0300-000002000000}" name="Название"/>
    <tableColumn id="3" xr3:uid="{00000000-0010-0000-0300-000003000000}" name="URL"/>
    <tableColumn id="4" xr3:uid="{00000000-0010-0000-0300-000004000000}" name="Используется для"/>
    <tableColumn id="5" xr3:uid="{00000000-0010-0000-0300-000005000000}" name="Примечание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6"/>
  <sheetViews>
    <sheetView workbookViewId="0">
      <selection sqref="A1:F1"/>
    </sheetView>
  </sheetViews>
  <sheetFormatPr baseColWidth="10" defaultColWidth="8.6640625" defaultRowHeight="13" x14ac:dyDescent="0.15"/>
  <cols>
    <col min="1" max="1" width="37.1640625" customWidth="1"/>
    <col min="2" max="2" width="14.6640625" customWidth="1"/>
    <col min="3" max="3" width="50.5" customWidth="1"/>
    <col min="4" max="5" width="14.6640625" customWidth="1"/>
  </cols>
  <sheetData>
    <row r="1" spans="1:6" ht="30" customHeight="1" x14ac:dyDescent="0.15">
      <c r="A1" s="12" t="s">
        <v>0</v>
      </c>
      <c r="B1" s="13"/>
      <c r="C1" s="13"/>
      <c r="D1" s="13"/>
      <c r="E1" s="13"/>
      <c r="F1" s="13"/>
    </row>
    <row r="2" spans="1:6" ht="27.75" customHeight="1" x14ac:dyDescent="0.15">
      <c r="A2" s="1" t="s">
        <v>1</v>
      </c>
      <c r="B2" s="1" t="s">
        <v>2</v>
      </c>
      <c r="C2" s="1" t="s">
        <v>3</v>
      </c>
      <c r="D2" s="2"/>
      <c r="E2" s="2"/>
    </row>
    <row r="3" spans="1:6" ht="15.75" customHeight="1" x14ac:dyDescent="0.15">
      <c r="A3" s="3" t="s">
        <v>4</v>
      </c>
      <c r="B3" s="4">
        <f>COUNTA('01_Master_Facts'!$A$2:$A$500)</f>
        <v>78</v>
      </c>
      <c r="C3" s="3" t="s">
        <v>5</v>
      </c>
      <c r="D3" s="11"/>
      <c r="E3" s="11"/>
    </row>
    <row r="4" spans="1:6" ht="15.75" customHeight="1" x14ac:dyDescent="0.15">
      <c r="A4" s="3" t="s">
        <v>6</v>
      </c>
      <c r="B4" s="4">
        <f>COUNTIF('01_Master_Facts'!$N$2:$N$500,5)</f>
        <v>31</v>
      </c>
      <c r="C4" s="3" t="s">
        <v>7</v>
      </c>
      <c r="D4" s="11"/>
      <c r="E4" s="11"/>
    </row>
    <row r="5" spans="1:6" ht="15.75" customHeight="1" x14ac:dyDescent="0.15">
      <c r="A5" s="3" t="s">
        <v>8</v>
      </c>
      <c r="B5" s="4">
        <f>SUM(COUNTIF('01_Master_Facts'!$O$2:$O$500,"PL-001"),COUNTIF('01_Master_Facts'!$O$2:$O$500,"PL-002"),COUNTIF('01_Master_Facts'!$O$2:$O$500,"PL-003"),COUNTIF('01_Master_Facts'!$O$2:$O$500,"PL-004"),COUNTIF('01_Master_Facts'!$O$2:$O$500,"PL-005"),COUNTIF('01_Master_Facts'!$O$2:$O$500,"PL-006"),COUNTIF('01_Master_Facts'!$O$2:$O$500,"PL-007"),COUNTIF('01_Master_Facts'!$O$2:$O$500,"PL-008"))</f>
        <v>67</v>
      </c>
      <c r="C5" s="3" t="s">
        <v>9</v>
      </c>
      <c r="D5" s="11"/>
      <c r="E5" s="11"/>
    </row>
    <row r="6" spans="1:6" ht="31.5" customHeight="1" x14ac:dyDescent="0.15">
      <c r="A6" s="3" t="s">
        <v>10</v>
      </c>
      <c r="B6" s="4">
        <f>COUNTIF('01_Master_Facts'!$W$2:$W$500,"&lt;&gt;")</f>
        <v>26</v>
      </c>
      <c r="C6" s="3" t="s">
        <v>11</v>
      </c>
      <c r="D6" s="11"/>
      <c r="E6" s="11"/>
    </row>
    <row r="7" spans="1:6" ht="12.75" customHeight="1" x14ac:dyDescent="0.15">
      <c r="A7" s="11"/>
      <c r="B7" s="11"/>
      <c r="C7" s="11"/>
      <c r="D7" s="11"/>
      <c r="E7" s="11"/>
    </row>
    <row r="8" spans="1:6" ht="12.75" customHeight="1" x14ac:dyDescent="0.15">
      <c r="A8" s="11"/>
      <c r="B8" s="11"/>
      <c r="C8" s="11"/>
      <c r="D8" s="11"/>
      <c r="E8" s="11"/>
    </row>
    <row r="9" spans="1:6" ht="27.75" customHeight="1" x14ac:dyDescent="0.15">
      <c r="A9" s="1" t="s">
        <v>12</v>
      </c>
      <c r="B9" s="1" t="s">
        <v>13</v>
      </c>
      <c r="C9" s="11"/>
      <c r="D9" s="1" t="s">
        <v>14</v>
      </c>
      <c r="E9" s="1" t="s">
        <v>13</v>
      </c>
    </row>
    <row r="10" spans="1:6" ht="15.75" customHeight="1" x14ac:dyDescent="0.2">
      <c r="A10" s="6" t="s">
        <v>15</v>
      </c>
      <c r="B10" s="6">
        <f>COUNTIF('01_Master_Facts'!$H$2:$H$500,A10)</f>
        <v>6</v>
      </c>
      <c r="C10" s="11"/>
      <c r="D10" s="6" t="s">
        <v>16</v>
      </c>
      <c r="E10" s="6">
        <f>COUNTIF('01_Master_Facts'!$O$2:$O$500,D10)</f>
        <v>8</v>
      </c>
    </row>
    <row r="11" spans="1:6" ht="15.75" customHeight="1" x14ac:dyDescent="0.2">
      <c r="A11" s="6" t="s">
        <v>17</v>
      </c>
      <c r="B11" s="6">
        <f>COUNTIF('01_Master_Facts'!$H$2:$H$500,A11)</f>
        <v>4</v>
      </c>
      <c r="C11" s="11"/>
      <c r="D11" s="6" t="s">
        <v>18</v>
      </c>
      <c r="E11" s="6">
        <f>COUNTIF('01_Master_Facts'!$O$2:$O$500,D11)</f>
        <v>7</v>
      </c>
    </row>
    <row r="12" spans="1:6" ht="15.75" customHeight="1" x14ac:dyDescent="0.2">
      <c r="A12" s="6" t="s">
        <v>19</v>
      </c>
      <c r="B12" s="6">
        <f>COUNTIF('01_Master_Facts'!$H$2:$H$500,A12)</f>
        <v>4</v>
      </c>
      <c r="C12" s="11"/>
      <c r="D12" s="6" t="s">
        <v>20</v>
      </c>
      <c r="E12" s="6">
        <f>COUNTIF('01_Master_Facts'!$O$2:$O$500,D12)</f>
        <v>5</v>
      </c>
    </row>
    <row r="13" spans="1:6" ht="15.75" customHeight="1" x14ac:dyDescent="0.2">
      <c r="A13" s="6" t="s">
        <v>21</v>
      </c>
      <c r="B13" s="6">
        <f>COUNTIF('01_Master_Facts'!$H$2:$H$500,A13)</f>
        <v>3</v>
      </c>
      <c r="C13" s="11"/>
      <c r="D13" s="6" t="s">
        <v>22</v>
      </c>
      <c r="E13" s="6">
        <f>COUNTIF('01_Master_Facts'!$O$2:$O$500,D13)</f>
        <v>9</v>
      </c>
    </row>
    <row r="14" spans="1:6" ht="15.75" customHeight="1" x14ac:dyDescent="0.2">
      <c r="A14" s="6" t="s">
        <v>23</v>
      </c>
      <c r="B14" s="6">
        <f>COUNTIF('01_Master_Facts'!$H$2:$H$500,A14)</f>
        <v>7</v>
      </c>
      <c r="C14" s="11"/>
      <c r="D14" s="6" t="s">
        <v>24</v>
      </c>
      <c r="E14" s="6">
        <f>COUNTIF('01_Master_Facts'!$O$2:$O$500,D14)</f>
        <v>8</v>
      </c>
    </row>
    <row r="15" spans="1:6" ht="15.75" customHeight="1" x14ac:dyDescent="0.2">
      <c r="A15" s="6" t="s">
        <v>25</v>
      </c>
      <c r="B15" s="6">
        <f>COUNTIF('01_Master_Facts'!$H$2:$H$500,A15)</f>
        <v>2</v>
      </c>
      <c r="C15" s="11"/>
      <c r="D15" s="6" t="s">
        <v>26</v>
      </c>
      <c r="E15" s="6">
        <f>COUNTIF('01_Master_Facts'!$O$2:$O$500,D15)</f>
        <v>10</v>
      </c>
    </row>
    <row r="16" spans="1:6" ht="15.75" customHeight="1" x14ac:dyDescent="0.2">
      <c r="A16" s="6" t="s">
        <v>27</v>
      </c>
      <c r="B16" s="6">
        <f>COUNTIF('01_Master_Facts'!$H$2:$H$500,A16)</f>
        <v>29</v>
      </c>
      <c r="C16" s="11"/>
      <c r="D16" s="6" t="s">
        <v>28</v>
      </c>
      <c r="E16" s="6">
        <f>COUNTIF('01_Master_Facts'!$O$2:$O$500,D16)</f>
        <v>10</v>
      </c>
    </row>
    <row r="17" spans="1:5" ht="31.5" customHeight="1" x14ac:dyDescent="0.2">
      <c r="A17" s="6" t="s">
        <v>29</v>
      </c>
      <c r="B17" s="6">
        <f>COUNTIF('01_Master_Facts'!$H$2:$H$500,A17)</f>
        <v>2</v>
      </c>
      <c r="C17" s="11"/>
      <c r="D17" s="6" t="s">
        <v>30</v>
      </c>
      <c r="E17" s="6">
        <f>COUNTIF('01_Master_Facts'!$O$2:$O$500,D17)</f>
        <v>10</v>
      </c>
    </row>
    <row r="18" spans="1:5" ht="15.75" customHeight="1" x14ac:dyDescent="0.2">
      <c r="A18" s="6" t="s">
        <v>31</v>
      </c>
      <c r="B18" s="6">
        <f>COUNTIF('01_Master_Facts'!$H$2:$H$500,A18)</f>
        <v>10</v>
      </c>
      <c r="C18" s="11"/>
      <c r="D18" s="11" t="s">
        <v>32</v>
      </c>
      <c r="E18" s="11">
        <f>COUNTIF('01_Master_Facts'!$O$2:$O$500,D18)</f>
        <v>9</v>
      </c>
    </row>
    <row r="19" spans="1:5" ht="15.75" customHeight="1" x14ac:dyDescent="0.2">
      <c r="A19" s="6" t="s">
        <v>33</v>
      </c>
      <c r="B19" s="6">
        <f>COUNTIF('01_Master_Facts'!$H$2:$H$500,A19)</f>
        <v>5</v>
      </c>
      <c r="C19" s="11"/>
      <c r="D19" s="11" t="s">
        <v>34</v>
      </c>
      <c r="E19" s="11">
        <f>COUNTIF('01_Master_Facts'!$O$2:$O$500,D19)</f>
        <v>2</v>
      </c>
    </row>
    <row r="20" spans="1:5" ht="15.75" customHeight="1" x14ac:dyDescent="0.2">
      <c r="A20" s="6" t="s">
        <v>35</v>
      </c>
      <c r="B20" s="6">
        <f>COUNTIF('01_Master_Facts'!$H$2:$H$500,A20)</f>
        <v>4</v>
      </c>
      <c r="C20" s="11"/>
      <c r="D20" s="11" t="s">
        <v>36</v>
      </c>
      <c r="E20" s="11">
        <f>COUNTIF('01_Master_Facts'!$O$2:$O$500,D20)</f>
        <v>0</v>
      </c>
    </row>
    <row r="21" spans="1:5" ht="15.75" customHeight="1" x14ac:dyDescent="0.2">
      <c r="A21" s="6" t="s">
        <v>37</v>
      </c>
      <c r="B21" s="6">
        <f>COUNTIF('01_Master_Facts'!$H$2:$H$500,A21)</f>
        <v>1</v>
      </c>
      <c r="C21" s="11"/>
      <c r="D21" s="11"/>
      <c r="E21" s="11"/>
    </row>
    <row r="22" spans="1:5" ht="15.75" customHeight="1" x14ac:dyDescent="0.2">
      <c r="A22" s="6" t="s">
        <v>38</v>
      </c>
      <c r="B22" s="6">
        <f>COUNTIF('01_Master_Facts'!$H$2:$H$500,A22)</f>
        <v>1</v>
      </c>
      <c r="C22" s="11"/>
      <c r="D22" s="11"/>
      <c r="E22" s="11"/>
    </row>
    <row r="23" spans="1:5" ht="15" customHeight="1" x14ac:dyDescent="0.2">
      <c r="A23" s="6"/>
      <c r="B23" s="6"/>
      <c r="C23" s="11"/>
      <c r="D23" s="11"/>
      <c r="E23" s="11"/>
    </row>
    <row r="24" spans="1:5" ht="15" customHeight="1" x14ac:dyDescent="0.2">
      <c r="A24" s="6"/>
      <c r="B24" s="6"/>
      <c r="C24" s="11"/>
      <c r="D24" s="11"/>
      <c r="E24" s="11"/>
    </row>
    <row r="25" spans="1:5" ht="31.5" customHeight="1" x14ac:dyDescent="0.15">
      <c r="A25" s="1" t="s">
        <v>39</v>
      </c>
      <c r="B25" s="1" t="s">
        <v>13</v>
      </c>
      <c r="C25" s="11"/>
      <c r="D25" s="11"/>
      <c r="E25" s="11"/>
    </row>
    <row r="26" spans="1:5" ht="15.75" customHeight="1" x14ac:dyDescent="0.2">
      <c r="A26" s="6" t="s">
        <v>40</v>
      </c>
      <c r="B26" s="6">
        <f>COUNTIF('01_Master_Facts'!$Z$2:$Z$500,A26)</f>
        <v>4</v>
      </c>
      <c r="C26" s="11"/>
      <c r="D26" s="11"/>
      <c r="E26" s="11"/>
    </row>
    <row r="27" spans="1:5" ht="15.75" customHeight="1" x14ac:dyDescent="0.2">
      <c r="A27" s="6" t="s">
        <v>41</v>
      </c>
      <c r="B27" s="6">
        <f>COUNTIF('01_Master_Facts'!$Z$2:$Z$500,A27)</f>
        <v>24</v>
      </c>
      <c r="C27" s="11"/>
      <c r="D27" s="11"/>
      <c r="E27" s="11"/>
    </row>
    <row r="28" spans="1:5" ht="15.75" customHeight="1" x14ac:dyDescent="0.2">
      <c r="A28" s="6" t="s">
        <v>42</v>
      </c>
      <c r="B28" s="6">
        <f>COUNTIF('01_Master_Facts'!$Z$2:$Z$500,A28)</f>
        <v>8</v>
      </c>
      <c r="C28" s="11"/>
      <c r="D28" s="11"/>
      <c r="E28" s="11"/>
    </row>
    <row r="29" spans="1:5" ht="15.75" customHeight="1" x14ac:dyDescent="0.2">
      <c r="A29" s="6" t="s">
        <v>43</v>
      </c>
      <c r="B29" s="6">
        <f>COUNTIF('01_Master_Facts'!$Z$2:$Z$500,A29)</f>
        <v>5</v>
      </c>
      <c r="C29" s="11"/>
      <c r="D29" s="11"/>
      <c r="E29" s="11"/>
    </row>
    <row r="30" spans="1:5" ht="15.75" customHeight="1" x14ac:dyDescent="0.2">
      <c r="A30" s="6" t="s">
        <v>44</v>
      </c>
      <c r="B30" s="6">
        <f>COUNTIF('01_Master_Facts'!$Z$2:$Z$500,A30)</f>
        <v>2</v>
      </c>
      <c r="C30" s="11"/>
      <c r="D30" s="11"/>
      <c r="E30" s="11"/>
    </row>
    <row r="31" spans="1:5" ht="15.75" customHeight="1" x14ac:dyDescent="0.2">
      <c r="A31" s="6" t="s">
        <v>45</v>
      </c>
      <c r="B31" s="6">
        <f>COUNTIF('01_Master_Facts'!$Z$2:$Z$500,A31)</f>
        <v>8</v>
      </c>
      <c r="C31" s="11"/>
      <c r="D31" s="11"/>
      <c r="E31" s="11"/>
    </row>
    <row r="32" spans="1:5" ht="15.75" customHeight="1" x14ac:dyDescent="0.2">
      <c r="A32" s="6" t="s">
        <v>46</v>
      </c>
      <c r="B32" s="6">
        <f>COUNTIF('01_Master_Facts'!$Z$2:$Z$500,A32)</f>
        <v>5</v>
      </c>
      <c r="C32" s="11"/>
      <c r="D32" s="11"/>
      <c r="E32" s="11"/>
    </row>
    <row r="33" spans="1:5" ht="15.75" customHeight="1" x14ac:dyDescent="0.2">
      <c r="A33" s="6" t="s">
        <v>47</v>
      </c>
      <c r="B33" s="6">
        <f>COUNTIF('01_Master_Facts'!$Z$2:$Z$500,A33)</f>
        <v>11</v>
      </c>
      <c r="C33" s="11"/>
      <c r="D33" s="11"/>
      <c r="E33" s="11"/>
    </row>
    <row r="34" spans="1:5" ht="15.75" customHeight="1" x14ac:dyDescent="0.2">
      <c r="A34" s="6" t="s">
        <v>48</v>
      </c>
      <c r="B34" s="6">
        <f>COUNTIF('01_Master_Facts'!$Z$2:$Z$500,A34)</f>
        <v>2</v>
      </c>
      <c r="C34" s="11"/>
      <c r="D34" s="11"/>
      <c r="E34" s="11"/>
    </row>
    <row r="35" spans="1:5" ht="15.75" customHeight="1" x14ac:dyDescent="0.2">
      <c r="A35" s="6" t="s">
        <v>49</v>
      </c>
      <c r="B35" s="6">
        <f>COUNTIF('01_Master_Facts'!$Z$2:$Z$500,A35)</f>
        <v>5</v>
      </c>
      <c r="C35" s="11"/>
      <c r="D35" s="11"/>
      <c r="E35" s="11"/>
    </row>
    <row r="36" spans="1:5" ht="15.75" customHeight="1" x14ac:dyDescent="0.2">
      <c r="A36" s="6" t="s">
        <v>50</v>
      </c>
      <c r="B36" s="6">
        <f>COUNTIF('01_Master_Facts'!$Z$2:$Z$500,A36)</f>
        <v>4</v>
      </c>
      <c r="C36" s="11"/>
      <c r="D36" s="11"/>
      <c r="E36" s="11"/>
    </row>
    <row r="37" spans="1:5" ht="15" customHeight="1" x14ac:dyDescent="0.2">
      <c r="A37" s="6"/>
      <c r="B37" s="6"/>
      <c r="C37" s="11"/>
      <c r="D37" s="11"/>
      <c r="E37" s="11"/>
    </row>
    <row r="38" spans="1:5" ht="15" customHeight="1" x14ac:dyDescent="0.2">
      <c r="A38" s="6"/>
      <c r="B38" s="6"/>
      <c r="C38" s="11"/>
      <c r="D38" s="11"/>
      <c r="E38" s="11"/>
    </row>
    <row r="39" spans="1:5" ht="15" customHeight="1" x14ac:dyDescent="0.2">
      <c r="A39" s="6"/>
      <c r="B39" s="6"/>
      <c r="C39" s="11"/>
      <c r="D39" s="11"/>
      <c r="E39" s="11"/>
    </row>
    <row r="40" spans="1:5" ht="15" customHeight="1" x14ac:dyDescent="0.2">
      <c r="A40" s="6"/>
      <c r="B40" s="6"/>
      <c r="C40" s="11"/>
      <c r="D40" s="11"/>
      <c r="E40" s="11"/>
    </row>
    <row r="41" spans="1:5" ht="15" customHeight="1" x14ac:dyDescent="0.2">
      <c r="A41" s="6"/>
      <c r="B41" s="6"/>
    </row>
    <row r="42" spans="1:5" ht="15" customHeight="1" x14ac:dyDescent="0.2">
      <c r="A42" s="6"/>
      <c r="B42" s="6"/>
    </row>
    <row r="43" spans="1:5" ht="15" customHeight="1" x14ac:dyDescent="0.2">
      <c r="A43" s="6"/>
      <c r="B43" s="6"/>
    </row>
    <row r="44" spans="1:5" ht="15" customHeight="1" x14ac:dyDescent="0.2">
      <c r="A44" s="6"/>
      <c r="B44" s="6"/>
    </row>
    <row r="45" spans="1:5" ht="15" customHeight="1" x14ac:dyDescent="0.2">
      <c r="A45" s="6"/>
      <c r="B45" s="6"/>
    </row>
    <row r="46" spans="1:5" ht="15" customHeight="1" x14ac:dyDescent="0.2">
      <c r="A46" s="6"/>
      <c r="B46" s="6"/>
    </row>
  </sheetData>
  <mergeCells count="1">
    <mergeCell ref="A1:F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500"/>
  <sheetViews>
    <sheetView workbookViewId="0"/>
  </sheetViews>
  <sheetFormatPr baseColWidth="10" defaultColWidth="8.6640625" defaultRowHeight="13" x14ac:dyDescent="0.15"/>
  <cols>
    <col min="1" max="1" width="14" customWidth="1"/>
    <col min="2" max="3" width="16" customWidth="1"/>
    <col min="4" max="4" width="20" customWidth="1"/>
    <col min="5" max="5" width="22" customWidth="1"/>
    <col min="6" max="6" width="24" customWidth="1"/>
    <col min="7" max="7" width="44" customWidth="1"/>
    <col min="8" max="9" width="24" customWidth="1"/>
    <col min="10" max="10" width="46" customWidth="1"/>
    <col min="11" max="12" width="30" customWidth="1"/>
    <col min="13" max="13" width="26" customWidth="1"/>
    <col min="14" max="14" width="12" customWidth="1"/>
    <col min="15" max="15" width="18" customWidth="1"/>
    <col min="16" max="16" width="12" customWidth="1"/>
    <col min="17" max="17" width="34" customWidth="1"/>
    <col min="18" max="18" width="52" customWidth="1"/>
    <col min="19" max="19" width="14" customWidth="1"/>
    <col min="20" max="20" width="46" customWidth="1"/>
    <col min="21" max="21" width="38" customWidth="1"/>
    <col min="22" max="22" width="24" customWidth="1"/>
    <col min="23" max="23" width="34" customWidth="1"/>
    <col min="24" max="24" width="20" customWidth="1"/>
    <col min="25" max="25" width="28" customWidth="1"/>
    <col min="26" max="26" width="26" customWidth="1"/>
    <col min="27" max="27" width="16" customWidth="1"/>
  </cols>
  <sheetData>
    <row r="1" spans="1:27" ht="27.75" customHeight="1" x14ac:dyDescent="0.15">
      <c r="A1" s="1" t="s">
        <v>51</v>
      </c>
      <c r="B1" s="1" t="s">
        <v>52</v>
      </c>
      <c r="C1" s="1" t="s">
        <v>53</v>
      </c>
      <c r="D1" s="1" t="s">
        <v>54</v>
      </c>
      <c r="E1" s="1" t="s">
        <v>55</v>
      </c>
      <c r="F1" s="1" t="s">
        <v>56</v>
      </c>
      <c r="G1" s="1" t="s">
        <v>57</v>
      </c>
      <c r="H1" s="1" t="s">
        <v>12</v>
      </c>
      <c r="I1" s="1" t="s">
        <v>41</v>
      </c>
      <c r="J1" s="1" t="s">
        <v>58</v>
      </c>
      <c r="K1" s="1" t="s">
        <v>59</v>
      </c>
      <c r="L1" s="1" t="s">
        <v>60</v>
      </c>
      <c r="M1" s="1" t="s">
        <v>61</v>
      </c>
      <c r="N1" s="1" t="s">
        <v>62</v>
      </c>
      <c r="O1" s="1" t="s">
        <v>63</v>
      </c>
      <c r="P1" s="1" t="s">
        <v>64</v>
      </c>
      <c r="Q1" s="1" t="s">
        <v>65</v>
      </c>
      <c r="R1" s="1" t="s">
        <v>66</v>
      </c>
      <c r="S1" s="1" t="s">
        <v>67</v>
      </c>
      <c r="T1" s="1" t="s">
        <v>68</v>
      </c>
      <c r="U1" s="1" t="s">
        <v>69</v>
      </c>
      <c r="V1" s="1" t="s">
        <v>70</v>
      </c>
      <c r="W1" s="1" t="s">
        <v>71</v>
      </c>
      <c r="X1" s="2" t="s">
        <v>72</v>
      </c>
      <c r="Y1" s="2" t="s">
        <v>73</v>
      </c>
      <c r="Z1" s="2" t="s">
        <v>39</v>
      </c>
      <c r="AA1" t="s">
        <v>74</v>
      </c>
    </row>
    <row r="2" spans="1:27" ht="45" customHeight="1" x14ac:dyDescent="0.15">
      <c r="A2" s="7" t="s">
        <v>75</v>
      </c>
      <c r="B2" s="7" t="s">
        <v>76</v>
      </c>
      <c r="C2" s="7" t="s">
        <v>77</v>
      </c>
      <c r="D2" s="7" t="s">
        <v>78</v>
      </c>
      <c r="E2" s="7" t="s">
        <v>79</v>
      </c>
      <c r="F2" s="7" t="s">
        <v>80</v>
      </c>
      <c r="G2" s="7" t="s">
        <v>81</v>
      </c>
      <c r="H2" s="7" t="s">
        <v>15</v>
      </c>
      <c r="I2" s="7" t="s">
        <v>82</v>
      </c>
      <c r="J2" s="7" t="s">
        <v>83</v>
      </c>
      <c r="K2" s="7" t="s">
        <v>84</v>
      </c>
      <c r="L2" s="7" t="s">
        <v>85</v>
      </c>
      <c r="M2" s="7" t="s">
        <v>86</v>
      </c>
      <c r="N2" s="8">
        <v>5</v>
      </c>
      <c r="O2" s="7" t="s">
        <v>16</v>
      </c>
      <c r="P2" s="7" t="s">
        <v>87</v>
      </c>
      <c r="Q2" s="7" t="s">
        <v>88</v>
      </c>
      <c r="R2" s="7" t="s">
        <v>89</v>
      </c>
      <c r="S2" s="8">
        <v>4</v>
      </c>
      <c r="T2" s="7" t="s">
        <v>90</v>
      </c>
      <c r="U2" s="7" t="s">
        <v>91</v>
      </c>
      <c r="V2" s="7" t="s">
        <v>92</v>
      </c>
      <c r="W2" s="7" t="s">
        <v>93</v>
      </c>
      <c r="X2" t="s">
        <v>94</v>
      </c>
      <c r="Z2" t="s">
        <v>40</v>
      </c>
      <c r="AA2" t="s">
        <v>95</v>
      </c>
    </row>
    <row r="3" spans="1:27" ht="45" customHeight="1" x14ac:dyDescent="0.15">
      <c r="A3" s="7" t="s">
        <v>96</v>
      </c>
      <c r="B3" s="7" t="s">
        <v>97</v>
      </c>
      <c r="C3" s="7" t="s">
        <v>98</v>
      </c>
      <c r="D3" s="7" t="s">
        <v>99</v>
      </c>
      <c r="E3" s="7" t="s">
        <v>100</v>
      </c>
      <c r="F3" s="7" t="s">
        <v>101</v>
      </c>
      <c r="G3" s="7" t="s">
        <v>102</v>
      </c>
      <c r="H3" s="7" t="s">
        <v>15</v>
      </c>
      <c r="I3" s="7" t="s">
        <v>103</v>
      </c>
      <c r="J3" s="7" t="s">
        <v>104</v>
      </c>
      <c r="K3" s="7" t="s">
        <v>105</v>
      </c>
      <c r="L3" s="7" t="s">
        <v>106</v>
      </c>
      <c r="M3" s="7" t="s">
        <v>86</v>
      </c>
      <c r="N3" s="8">
        <v>3</v>
      </c>
      <c r="O3" s="7" t="s">
        <v>16</v>
      </c>
      <c r="P3" s="7" t="s">
        <v>107</v>
      </c>
      <c r="Q3" s="7" t="s">
        <v>108</v>
      </c>
      <c r="R3" s="7" t="s">
        <v>109</v>
      </c>
      <c r="S3" s="8">
        <v>3</v>
      </c>
      <c r="T3" s="7" t="s">
        <v>110</v>
      </c>
      <c r="U3" s="7" t="s">
        <v>111</v>
      </c>
      <c r="V3" s="7" t="s">
        <v>112</v>
      </c>
      <c r="W3" s="7" t="s">
        <v>113</v>
      </c>
      <c r="X3" t="s">
        <v>114</v>
      </c>
      <c r="Z3" t="s">
        <v>42</v>
      </c>
    </row>
    <row r="4" spans="1:27" ht="45" customHeight="1" x14ac:dyDescent="0.15">
      <c r="A4" s="7" t="s">
        <v>115</v>
      </c>
      <c r="B4" s="7" t="s">
        <v>116</v>
      </c>
      <c r="C4" s="7" t="s">
        <v>98</v>
      </c>
      <c r="D4" s="7" t="s">
        <v>117</v>
      </c>
      <c r="E4" s="7" t="s">
        <v>118</v>
      </c>
      <c r="F4" s="7" t="s">
        <v>119</v>
      </c>
      <c r="G4" s="7" t="s">
        <v>120</v>
      </c>
      <c r="H4" s="7" t="s">
        <v>15</v>
      </c>
      <c r="I4" s="7" t="s">
        <v>121</v>
      </c>
      <c r="J4" s="7" t="s">
        <v>122</v>
      </c>
      <c r="K4" s="7" t="s">
        <v>123</v>
      </c>
      <c r="L4" s="7" t="s">
        <v>124</v>
      </c>
      <c r="M4" s="7" t="s">
        <v>86</v>
      </c>
      <c r="N4" s="8">
        <v>4</v>
      </c>
      <c r="O4" s="7" t="s">
        <v>16</v>
      </c>
      <c r="P4" s="7" t="s">
        <v>125</v>
      </c>
      <c r="Q4" s="7" t="s">
        <v>126</v>
      </c>
      <c r="R4" s="7" t="s">
        <v>127</v>
      </c>
      <c r="S4" s="8">
        <v>4</v>
      </c>
      <c r="T4" s="7" t="s">
        <v>128</v>
      </c>
      <c r="U4" s="7" t="s">
        <v>129</v>
      </c>
      <c r="V4" s="7" t="s">
        <v>130</v>
      </c>
      <c r="W4" s="7"/>
      <c r="X4" t="s">
        <v>131</v>
      </c>
      <c r="Z4" t="s">
        <v>42</v>
      </c>
    </row>
    <row r="5" spans="1:27" ht="45" customHeight="1" x14ac:dyDescent="0.15">
      <c r="A5" s="7" t="s">
        <v>132</v>
      </c>
      <c r="B5" s="7" t="s">
        <v>133</v>
      </c>
      <c r="C5" s="7" t="s">
        <v>98</v>
      </c>
      <c r="D5" s="7" t="s">
        <v>117</v>
      </c>
      <c r="E5" s="7" t="s">
        <v>134</v>
      </c>
      <c r="F5" s="7" t="s">
        <v>135</v>
      </c>
      <c r="G5" s="7" t="s">
        <v>136</v>
      </c>
      <c r="H5" s="7" t="s">
        <v>15</v>
      </c>
      <c r="I5" s="7" t="s">
        <v>137</v>
      </c>
      <c r="J5" s="7" t="s">
        <v>138</v>
      </c>
      <c r="K5" s="7" t="s">
        <v>139</v>
      </c>
      <c r="L5" s="7" t="s">
        <v>140</v>
      </c>
      <c r="M5" s="7" t="s">
        <v>86</v>
      </c>
      <c r="N5" s="8">
        <v>4</v>
      </c>
      <c r="O5" s="7" t="s">
        <v>16</v>
      </c>
      <c r="P5" s="7" t="s">
        <v>125</v>
      </c>
      <c r="Q5" s="7" t="s">
        <v>126</v>
      </c>
      <c r="R5" s="7" t="s">
        <v>127</v>
      </c>
      <c r="S5" s="8">
        <v>4</v>
      </c>
      <c r="T5" s="7" t="s">
        <v>141</v>
      </c>
      <c r="U5" s="7" t="s">
        <v>142</v>
      </c>
      <c r="V5" s="7" t="s">
        <v>143</v>
      </c>
      <c r="W5" s="7"/>
      <c r="X5" t="s">
        <v>144</v>
      </c>
      <c r="Z5" t="s">
        <v>49</v>
      </c>
    </row>
    <row r="6" spans="1:27" ht="30" customHeight="1" x14ac:dyDescent="0.15">
      <c r="A6" s="7" t="s">
        <v>145</v>
      </c>
      <c r="B6" s="7" t="s">
        <v>146</v>
      </c>
      <c r="C6" s="7" t="s">
        <v>98</v>
      </c>
      <c r="D6" s="7" t="s">
        <v>147</v>
      </c>
      <c r="E6" s="7" t="s">
        <v>148</v>
      </c>
      <c r="F6" s="7" t="s">
        <v>149</v>
      </c>
      <c r="G6" s="7" t="s">
        <v>150</v>
      </c>
      <c r="H6" s="7" t="s">
        <v>15</v>
      </c>
      <c r="I6" s="7" t="s">
        <v>151</v>
      </c>
      <c r="J6" s="7" t="s">
        <v>152</v>
      </c>
      <c r="K6" s="7" t="s">
        <v>153</v>
      </c>
      <c r="L6" s="7" t="s">
        <v>154</v>
      </c>
      <c r="M6" s="7" t="s">
        <v>86</v>
      </c>
      <c r="N6" s="8">
        <v>3</v>
      </c>
      <c r="O6" s="7" t="s">
        <v>16</v>
      </c>
      <c r="P6" s="7" t="s">
        <v>107</v>
      </c>
      <c r="Q6" s="7" t="s">
        <v>108</v>
      </c>
      <c r="R6" s="7" t="s">
        <v>109</v>
      </c>
      <c r="S6" s="8">
        <v>4</v>
      </c>
      <c r="T6" s="7" t="s">
        <v>155</v>
      </c>
      <c r="U6" s="7" t="s">
        <v>156</v>
      </c>
      <c r="V6" s="7" t="s">
        <v>157</v>
      </c>
      <c r="W6" s="7"/>
      <c r="X6" t="s">
        <v>158</v>
      </c>
      <c r="Y6" t="s">
        <v>159</v>
      </c>
      <c r="Z6" t="s">
        <v>44</v>
      </c>
    </row>
    <row r="7" spans="1:27" ht="30" customHeight="1" x14ac:dyDescent="0.15">
      <c r="A7" s="7" t="s">
        <v>160</v>
      </c>
      <c r="B7" s="7" t="s">
        <v>161</v>
      </c>
      <c r="C7" s="7" t="s">
        <v>98</v>
      </c>
      <c r="D7" s="7" t="s">
        <v>147</v>
      </c>
      <c r="E7" s="7" t="s">
        <v>162</v>
      </c>
      <c r="F7" s="7" t="s">
        <v>149</v>
      </c>
      <c r="G7" s="7" t="s">
        <v>163</v>
      </c>
      <c r="H7" s="7" t="s">
        <v>15</v>
      </c>
      <c r="I7" s="7" t="s">
        <v>164</v>
      </c>
      <c r="J7" s="7" t="s">
        <v>165</v>
      </c>
      <c r="K7" s="7" t="s">
        <v>166</v>
      </c>
      <c r="L7" s="7" t="s">
        <v>167</v>
      </c>
      <c r="M7" s="7" t="s">
        <v>86</v>
      </c>
      <c r="N7" s="8">
        <v>4</v>
      </c>
      <c r="O7" s="7" t="s">
        <v>16</v>
      </c>
      <c r="P7" s="7" t="s">
        <v>107</v>
      </c>
      <c r="Q7" s="7" t="s">
        <v>108</v>
      </c>
      <c r="R7" s="7" t="s">
        <v>109</v>
      </c>
      <c r="S7" s="8">
        <v>3</v>
      </c>
      <c r="T7" s="7" t="s">
        <v>168</v>
      </c>
      <c r="U7" s="7" t="s">
        <v>169</v>
      </c>
      <c r="V7" s="7" t="s">
        <v>170</v>
      </c>
      <c r="W7" s="7" t="s">
        <v>171</v>
      </c>
      <c r="X7" t="s">
        <v>172</v>
      </c>
      <c r="Y7" t="s">
        <v>173</v>
      </c>
      <c r="Z7" t="s">
        <v>40</v>
      </c>
    </row>
    <row r="8" spans="1:27" ht="30" customHeight="1" x14ac:dyDescent="0.15">
      <c r="A8" s="7" t="s">
        <v>174</v>
      </c>
      <c r="B8" s="7" t="s">
        <v>175</v>
      </c>
      <c r="C8" s="7" t="s">
        <v>176</v>
      </c>
      <c r="D8" s="7" t="s">
        <v>177</v>
      </c>
      <c r="E8" s="7" t="s">
        <v>178</v>
      </c>
      <c r="F8" s="7" t="s">
        <v>149</v>
      </c>
      <c r="G8" s="7" t="s">
        <v>179</v>
      </c>
      <c r="H8" s="7" t="s">
        <v>17</v>
      </c>
      <c r="I8" s="7" t="s">
        <v>180</v>
      </c>
      <c r="J8" s="7" t="s">
        <v>181</v>
      </c>
      <c r="K8" s="7" t="s">
        <v>164</v>
      </c>
      <c r="L8" s="7" t="s">
        <v>182</v>
      </c>
      <c r="M8" s="7" t="s">
        <v>86</v>
      </c>
      <c r="N8" s="8">
        <v>3</v>
      </c>
      <c r="O8" s="7" t="s">
        <v>16</v>
      </c>
      <c r="P8" s="7" t="s">
        <v>107</v>
      </c>
      <c r="Q8" s="7" t="s">
        <v>108</v>
      </c>
      <c r="R8" s="7" t="s">
        <v>109</v>
      </c>
      <c r="S8" s="8">
        <v>3</v>
      </c>
      <c r="T8" s="7" t="s">
        <v>183</v>
      </c>
      <c r="U8" s="7" t="s">
        <v>184</v>
      </c>
      <c r="V8" s="7" t="s">
        <v>185</v>
      </c>
      <c r="W8" s="7" t="s">
        <v>186</v>
      </c>
      <c r="X8" t="s">
        <v>172</v>
      </c>
      <c r="Z8" t="s">
        <v>42</v>
      </c>
    </row>
    <row r="9" spans="1:27" ht="45" customHeight="1" x14ac:dyDescent="0.15">
      <c r="A9" s="7" t="s">
        <v>187</v>
      </c>
      <c r="B9" s="7" t="s">
        <v>188</v>
      </c>
      <c r="C9" s="7" t="s">
        <v>98</v>
      </c>
      <c r="D9" s="7" t="s">
        <v>147</v>
      </c>
      <c r="E9" s="7" t="s">
        <v>189</v>
      </c>
      <c r="F9" s="7" t="s">
        <v>190</v>
      </c>
      <c r="G9" s="7" t="s">
        <v>191</v>
      </c>
      <c r="H9" s="7" t="s">
        <v>17</v>
      </c>
      <c r="I9" s="7" t="s">
        <v>192</v>
      </c>
      <c r="J9" s="7" t="s">
        <v>193</v>
      </c>
      <c r="K9" s="7" t="s">
        <v>194</v>
      </c>
      <c r="L9" s="7" t="s">
        <v>195</v>
      </c>
      <c r="M9" s="7" t="s">
        <v>86</v>
      </c>
      <c r="N9" s="8">
        <v>4</v>
      </c>
      <c r="O9" s="7" t="s">
        <v>16</v>
      </c>
      <c r="P9" s="7" t="s">
        <v>196</v>
      </c>
      <c r="Q9" s="7" t="s">
        <v>197</v>
      </c>
      <c r="R9" s="7" t="s">
        <v>198</v>
      </c>
      <c r="S9" s="8">
        <v>4</v>
      </c>
      <c r="T9" s="7" t="s">
        <v>199</v>
      </c>
      <c r="U9" s="7" t="s">
        <v>200</v>
      </c>
      <c r="V9" s="7" t="s">
        <v>201</v>
      </c>
      <c r="W9" s="7"/>
      <c r="X9" t="s">
        <v>202</v>
      </c>
      <c r="Z9" t="s">
        <v>42</v>
      </c>
    </row>
    <row r="10" spans="1:27" ht="30" customHeight="1" x14ac:dyDescent="0.15">
      <c r="A10" s="7" t="s">
        <v>203</v>
      </c>
      <c r="B10" s="7" t="s">
        <v>204</v>
      </c>
      <c r="C10" s="7" t="s">
        <v>98</v>
      </c>
      <c r="D10" s="7" t="s">
        <v>147</v>
      </c>
      <c r="E10" s="7" t="s">
        <v>205</v>
      </c>
      <c r="F10" s="7" t="s">
        <v>206</v>
      </c>
      <c r="G10" s="7" t="s">
        <v>207</v>
      </c>
      <c r="H10" s="7" t="s">
        <v>19</v>
      </c>
      <c r="I10" s="7" t="s">
        <v>208</v>
      </c>
      <c r="J10" s="7" t="s">
        <v>209</v>
      </c>
      <c r="K10" s="7" t="s">
        <v>210</v>
      </c>
      <c r="L10" s="7" t="s">
        <v>211</v>
      </c>
      <c r="M10" s="7" t="s">
        <v>212</v>
      </c>
      <c r="N10" s="8">
        <v>5</v>
      </c>
      <c r="O10" s="7" t="s">
        <v>18</v>
      </c>
      <c r="P10" s="7" t="s">
        <v>213</v>
      </c>
      <c r="Q10" s="7" t="s">
        <v>214</v>
      </c>
      <c r="R10" s="7" t="s">
        <v>215</v>
      </c>
      <c r="S10" s="8">
        <v>5</v>
      </c>
      <c r="T10" s="7" t="s">
        <v>216</v>
      </c>
      <c r="U10" s="7" t="s">
        <v>217</v>
      </c>
      <c r="V10" s="7" t="s">
        <v>218</v>
      </c>
      <c r="W10" s="7"/>
      <c r="X10" t="s">
        <v>219</v>
      </c>
      <c r="Z10" t="s">
        <v>40</v>
      </c>
    </row>
    <row r="11" spans="1:27" ht="45" customHeight="1" x14ac:dyDescent="0.15">
      <c r="A11" s="7" t="s">
        <v>220</v>
      </c>
      <c r="B11" s="7" t="s">
        <v>221</v>
      </c>
      <c r="C11" s="7" t="s">
        <v>98</v>
      </c>
      <c r="D11" s="7" t="s">
        <v>222</v>
      </c>
      <c r="E11" s="7" t="s">
        <v>223</v>
      </c>
      <c r="F11" s="7" t="s">
        <v>224</v>
      </c>
      <c r="G11" s="7" t="s">
        <v>225</v>
      </c>
      <c r="H11" s="7" t="s">
        <v>19</v>
      </c>
      <c r="I11" s="7" t="s">
        <v>226</v>
      </c>
      <c r="J11" s="7" t="s">
        <v>227</v>
      </c>
      <c r="K11" s="7" t="s">
        <v>228</v>
      </c>
      <c r="L11" s="7" t="s">
        <v>229</v>
      </c>
      <c r="M11" s="7" t="s">
        <v>212</v>
      </c>
      <c r="N11" s="8">
        <v>4</v>
      </c>
      <c r="O11" s="7" t="s">
        <v>18</v>
      </c>
      <c r="P11" s="7" t="s">
        <v>230</v>
      </c>
      <c r="Q11" s="7" t="s">
        <v>231</v>
      </c>
      <c r="R11" s="7" t="s">
        <v>232</v>
      </c>
      <c r="S11" s="8">
        <v>4</v>
      </c>
      <c r="T11" s="7" t="s">
        <v>233</v>
      </c>
      <c r="U11" s="7" t="s">
        <v>234</v>
      </c>
      <c r="V11" s="7" t="s">
        <v>235</v>
      </c>
      <c r="W11" s="7" t="s">
        <v>236</v>
      </c>
      <c r="X11" t="s">
        <v>237</v>
      </c>
      <c r="Y11" t="s">
        <v>238</v>
      </c>
      <c r="Z11" t="s">
        <v>40</v>
      </c>
    </row>
    <row r="12" spans="1:27" ht="30" customHeight="1" x14ac:dyDescent="0.15">
      <c r="A12" s="7" t="s">
        <v>239</v>
      </c>
      <c r="B12" s="7" t="s">
        <v>240</v>
      </c>
      <c r="C12" s="7" t="s">
        <v>176</v>
      </c>
      <c r="D12" s="7" t="s">
        <v>241</v>
      </c>
      <c r="E12" s="7" t="s">
        <v>242</v>
      </c>
      <c r="F12" s="7" t="s">
        <v>243</v>
      </c>
      <c r="G12" s="7" t="s">
        <v>244</v>
      </c>
      <c r="H12" s="7" t="s">
        <v>19</v>
      </c>
      <c r="I12" s="7" t="s">
        <v>245</v>
      </c>
      <c r="J12" s="7" t="s">
        <v>246</v>
      </c>
      <c r="K12" s="7" t="s">
        <v>247</v>
      </c>
      <c r="L12" s="7" t="s">
        <v>248</v>
      </c>
      <c r="M12" s="7" t="s">
        <v>249</v>
      </c>
      <c r="N12" s="8">
        <v>4</v>
      </c>
      <c r="O12" s="7" t="s">
        <v>18</v>
      </c>
      <c r="P12" s="7" t="s">
        <v>250</v>
      </c>
      <c r="Q12" s="7" t="s">
        <v>251</v>
      </c>
      <c r="R12" s="7" t="s">
        <v>252</v>
      </c>
      <c r="S12" s="8">
        <v>4</v>
      </c>
      <c r="T12" s="7" t="s">
        <v>253</v>
      </c>
      <c r="U12" s="7" t="s">
        <v>254</v>
      </c>
      <c r="V12" s="7" t="s">
        <v>255</v>
      </c>
      <c r="W12" s="7"/>
      <c r="X12" t="s">
        <v>256</v>
      </c>
      <c r="Y12" t="s">
        <v>257</v>
      </c>
      <c r="Z12" t="s">
        <v>41</v>
      </c>
    </row>
    <row r="13" spans="1:27" ht="30" customHeight="1" x14ac:dyDescent="0.15">
      <c r="A13" s="7" t="s">
        <v>258</v>
      </c>
      <c r="B13" s="7" t="s">
        <v>259</v>
      </c>
      <c r="C13" s="7" t="s">
        <v>98</v>
      </c>
      <c r="D13" s="7" t="s">
        <v>241</v>
      </c>
      <c r="E13" s="7" t="s">
        <v>260</v>
      </c>
      <c r="F13" s="7" t="s">
        <v>261</v>
      </c>
      <c r="G13" s="7" t="s">
        <v>262</v>
      </c>
      <c r="H13" s="7" t="s">
        <v>19</v>
      </c>
      <c r="I13" s="7" t="s">
        <v>263</v>
      </c>
      <c r="J13" s="7" t="s">
        <v>264</v>
      </c>
      <c r="K13" s="7" t="s">
        <v>265</v>
      </c>
      <c r="L13" s="7" t="s">
        <v>266</v>
      </c>
      <c r="M13" s="7" t="s">
        <v>249</v>
      </c>
      <c r="N13" s="8">
        <v>4</v>
      </c>
      <c r="O13" s="7" t="s">
        <v>18</v>
      </c>
      <c r="P13" s="7" t="s">
        <v>267</v>
      </c>
      <c r="Q13" s="7" t="s">
        <v>268</v>
      </c>
      <c r="R13" s="7" t="s">
        <v>269</v>
      </c>
      <c r="S13" s="8">
        <v>4</v>
      </c>
      <c r="T13" s="7" t="s">
        <v>270</v>
      </c>
      <c r="U13" s="7" t="s">
        <v>271</v>
      </c>
      <c r="V13" s="7" t="s">
        <v>272</v>
      </c>
      <c r="W13" s="7" t="s">
        <v>273</v>
      </c>
      <c r="X13" t="s">
        <v>274</v>
      </c>
      <c r="Y13" t="s">
        <v>275</v>
      </c>
      <c r="Z13" t="s">
        <v>43</v>
      </c>
    </row>
    <row r="14" spans="1:27" ht="30" customHeight="1" x14ac:dyDescent="0.15">
      <c r="A14" s="7" t="s">
        <v>276</v>
      </c>
      <c r="B14" s="7" t="s">
        <v>277</v>
      </c>
      <c r="C14" s="7" t="s">
        <v>77</v>
      </c>
      <c r="D14" s="7" t="s">
        <v>241</v>
      </c>
      <c r="E14" s="7" t="s">
        <v>278</v>
      </c>
      <c r="F14" s="7" t="s">
        <v>279</v>
      </c>
      <c r="G14" s="7" t="s">
        <v>280</v>
      </c>
      <c r="H14" s="7" t="s">
        <v>17</v>
      </c>
      <c r="I14" s="7" t="s">
        <v>281</v>
      </c>
      <c r="J14" s="7" t="s">
        <v>282</v>
      </c>
      <c r="K14" s="7" t="s">
        <v>283</v>
      </c>
      <c r="L14" s="7" t="s">
        <v>284</v>
      </c>
      <c r="M14" s="7" t="s">
        <v>86</v>
      </c>
      <c r="N14" s="8">
        <v>3</v>
      </c>
      <c r="O14" s="7" t="s">
        <v>34</v>
      </c>
      <c r="P14" s="7" t="s">
        <v>285</v>
      </c>
      <c r="Q14" s="7" t="s">
        <v>286</v>
      </c>
      <c r="R14" s="7" t="s">
        <v>287</v>
      </c>
      <c r="S14" s="8">
        <v>5</v>
      </c>
      <c r="T14" s="7" t="s">
        <v>288</v>
      </c>
      <c r="U14" s="7" t="s">
        <v>289</v>
      </c>
      <c r="V14" s="7" t="s">
        <v>290</v>
      </c>
      <c r="W14" s="7"/>
      <c r="X14" t="s">
        <v>274</v>
      </c>
      <c r="Z14" t="s">
        <v>42</v>
      </c>
    </row>
    <row r="15" spans="1:27" ht="30" customHeight="1" x14ac:dyDescent="0.15">
      <c r="A15" s="7" t="s">
        <v>291</v>
      </c>
      <c r="B15" s="7" t="s">
        <v>292</v>
      </c>
      <c r="C15" s="7" t="s">
        <v>98</v>
      </c>
      <c r="D15" s="7" t="s">
        <v>293</v>
      </c>
      <c r="E15" s="7" t="s">
        <v>294</v>
      </c>
      <c r="F15" s="7" t="s">
        <v>295</v>
      </c>
      <c r="G15" s="7" t="s">
        <v>296</v>
      </c>
      <c r="H15" s="7" t="s">
        <v>21</v>
      </c>
      <c r="I15" s="7" t="s">
        <v>297</v>
      </c>
      <c r="J15" s="7" t="s">
        <v>298</v>
      </c>
      <c r="K15" s="7" t="s">
        <v>299</v>
      </c>
      <c r="L15" s="7" t="s">
        <v>300</v>
      </c>
      <c r="M15" s="7" t="s">
        <v>301</v>
      </c>
      <c r="N15" s="8">
        <v>5</v>
      </c>
      <c r="O15" s="7" t="s">
        <v>18</v>
      </c>
      <c r="P15" s="7" t="s">
        <v>302</v>
      </c>
      <c r="Q15" s="7" t="s">
        <v>303</v>
      </c>
      <c r="R15" s="7" t="s">
        <v>304</v>
      </c>
      <c r="S15" s="8">
        <v>4</v>
      </c>
      <c r="T15" s="7" t="s">
        <v>305</v>
      </c>
      <c r="U15" s="7" t="s">
        <v>306</v>
      </c>
      <c r="V15" s="7" t="s">
        <v>307</v>
      </c>
      <c r="W15" s="7"/>
      <c r="X15" t="s">
        <v>308</v>
      </c>
      <c r="Y15" t="s">
        <v>309</v>
      </c>
      <c r="Z15" t="s">
        <v>41</v>
      </c>
    </row>
    <row r="16" spans="1:27" ht="45" customHeight="1" x14ac:dyDescent="0.15">
      <c r="A16" s="7" t="s">
        <v>310</v>
      </c>
      <c r="B16" s="7" t="s">
        <v>311</v>
      </c>
      <c r="C16" s="7" t="s">
        <v>77</v>
      </c>
      <c r="D16" s="7" t="s">
        <v>293</v>
      </c>
      <c r="E16" s="7" t="s">
        <v>294</v>
      </c>
      <c r="F16" s="7" t="s">
        <v>295</v>
      </c>
      <c r="G16" s="7" t="s">
        <v>312</v>
      </c>
      <c r="H16" s="7" t="s">
        <v>21</v>
      </c>
      <c r="I16" s="7" t="s">
        <v>313</v>
      </c>
      <c r="J16" s="7" t="s">
        <v>314</v>
      </c>
      <c r="K16" s="7" t="s">
        <v>315</v>
      </c>
      <c r="L16" s="7" t="s">
        <v>316</v>
      </c>
      <c r="M16" s="7" t="s">
        <v>301</v>
      </c>
      <c r="N16" s="8">
        <v>4</v>
      </c>
      <c r="O16" s="7" t="s">
        <v>18</v>
      </c>
      <c r="P16" s="7" t="s">
        <v>317</v>
      </c>
      <c r="Q16" s="7" t="s">
        <v>318</v>
      </c>
      <c r="R16" s="7" t="s">
        <v>319</v>
      </c>
      <c r="S16" s="8">
        <v>4</v>
      </c>
      <c r="T16" s="7" t="s">
        <v>320</v>
      </c>
      <c r="U16" s="7" t="s">
        <v>321</v>
      </c>
      <c r="V16" s="7" t="s">
        <v>322</v>
      </c>
      <c r="W16" s="7" t="s">
        <v>323</v>
      </c>
      <c r="X16" t="s">
        <v>308</v>
      </c>
      <c r="Z16" t="s">
        <v>41</v>
      </c>
    </row>
    <row r="17" spans="1:27" ht="45" customHeight="1" x14ac:dyDescent="0.15">
      <c r="A17" s="7" t="s">
        <v>324</v>
      </c>
      <c r="B17" s="7" t="s">
        <v>325</v>
      </c>
      <c r="C17" s="7" t="s">
        <v>326</v>
      </c>
      <c r="D17" s="7" t="s">
        <v>293</v>
      </c>
      <c r="E17" s="7" t="s">
        <v>327</v>
      </c>
      <c r="F17" s="7" t="s">
        <v>295</v>
      </c>
      <c r="G17" s="7" t="s">
        <v>328</v>
      </c>
      <c r="H17" s="7" t="s">
        <v>21</v>
      </c>
      <c r="I17" s="7" t="s">
        <v>329</v>
      </c>
      <c r="J17" s="7" t="s">
        <v>330</v>
      </c>
      <c r="K17" s="7" t="s">
        <v>331</v>
      </c>
      <c r="L17" s="7" t="s">
        <v>332</v>
      </c>
      <c r="M17" s="7" t="s">
        <v>333</v>
      </c>
      <c r="N17" s="8">
        <v>5</v>
      </c>
      <c r="O17" s="7" t="s">
        <v>18</v>
      </c>
      <c r="P17" s="7" t="s">
        <v>317</v>
      </c>
      <c r="Q17" s="7" t="s">
        <v>318</v>
      </c>
      <c r="R17" s="7" t="s">
        <v>319</v>
      </c>
      <c r="S17" s="8">
        <v>5</v>
      </c>
      <c r="T17" s="7" t="s">
        <v>334</v>
      </c>
      <c r="U17" s="7" t="s">
        <v>335</v>
      </c>
      <c r="V17" s="7" t="s">
        <v>336</v>
      </c>
      <c r="W17" s="7" t="s">
        <v>337</v>
      </c>
      <c r="X17" t="s">
        <v>308</v>
      </c>
      <c r="Y17" t="s">
        <v>338</v>
      </c>
      <c r="Z17" t="s">
        <v>50</v>
      </c>
      <c r="AA17" t="s">
        <v>95</v>
      </c>
    </row>
    <row r="18" spans="1:27" ht="30" customHeight="1" x14ac:dyDescent="0.15">
      <c r="A18" s="7" t="s">
        <v>339</v>
      </c>
      <c r="B18" s="7" t="s">
        <v>340</v>
      </c>
      <c r="C18" s="7" t="s">
        <v>98</v>
      </c>
      <c r="D18" s="7" t="s">
        <v>293</v>
      </c>
      <c r="E18" s="7" t="s">
        <v>341</v>
      </c>
      <c r="F18" s="7" t="s">
        <v>342</v>
      </c>
      <c r="G18" s="7" t="s">
        <v>343</v>
      </c>
      <c r="H18" s="7" t="s">
        <v>23</v>
      </c>
      <c r="I18" s="7" t="s">
        <v>344</v>
      </c>
      <c r="J18" s="7" t="s">
        <v>345</v>
      </c>
      <c r="K18" s="7" t="s">
        <v>346</v>
      </c>
      <c r="L18" s="7" t="s">
        <v>347</v>
      </c>
      <c r="M18" s="7" t="s">
        <v>333</v>
      </c>
      <c r="N18" s="8">
        <v>4</v>
      </c>
      <c r="O18" s="7" t="s">
        <v>20</v>
      </c>
      <c r="P18" s="7" t="s">
        <v>317</v>
      </c>
      <c r="Q18" s="7" t="s">
        <v>318</v>
      </c>
      <c r="R18" s="7" t="s">
        <v>319</v>
      </c>
      <c r="S18" s="8">
        <v>5</v>
      </c>
      <c r="T18" s="7" t="s">
        <v>348</v>
      </c>
      <c r="U18" s="7" t="s">
        <v>349</v>
      </c>
      <c r="V18" s="7" t="s">
        <v>350</v>
      </c>
      <c r="W18" s="7"/>
      <c r="X18" t="s">
        <v>351</v>
      </c>
      <c r="Y18" t="s">
        <v>352</v>
      </c>
      <c r="Z18" t="s">
        <v>45</v>
      </c>
    </row>
    <row r="19" spans="1:27" ht="30" customHeight="1" x14ac:dyDescent="0.15">
      <c r="A19" s="7" t="s">
        <v>353</v>
      </c>
      <c r="B19" s="7" t="s">
        <v>354</v>
      </c>
      <c r="C19" s="7" t="s">
        <v>98</v>
      </c>
      <c r="D19" s="7" t="s">
        <v>293</v>
      </c>
      <c r="E19" s="7" t="s">
        <v>355</v>
      </c>
      <c r="F19" s="7" t="s">
        <v>356</v>
      </c>
      <c r="G19" s="7" t="s">
        <v>357</v>
      </c>
      <c r="H19" s="7" t="s">
        <v>23</v>
      </c>
      <c r="I19" s="7" t="s">
        <v>358</v>
      </c>
      <c r="J19" s="7" t="s">
        <v>359</v>
      </c>
      <c r="K19" s="7" t="s">
        <v>360</v>
      </c>
      <c r="L19" s="7" t="s">
        <v>361</v>
      </c>
      <c r="M19" s="7" t="s">
        <v>333</v>
      </c>
      <c r="N19" s="8">
        <v>3</v>
      </c>
      <c r="O19" s="7" t="s">
        <v>20</v>
      </c>
      <c r="P19" s="7" t="s">
        <v>317</v>
      </c>
      <c r="Q19" s="7" t="s">
        <v>318</v>
      </c>
      <c r="R19" s="7" t="s">
        <v>319</v>
      </c>
      <c r="S19" s="8">
        <v>4</v>
      </c>
      <c r="T19" s="7" t="s">
        <v>362</v>
      </c>
      <c r="U19" s="7" t="s">
        <v>363</v>
      </c>
      <c r="V19" s="7" t="s">
        <v>364</v>
      </c>
      <c r="W19" s="7"/>
      <c r="X19" t="s">
        <v>308</v>
      </c>
      <c r="Y19" t="s">
        <v>352</v>
      </c>
      <c r="Z19" t="s">
        <v>45</v>
      </c>
    </row>
    <row r="20" spans="1:27" ht="30" customHeight="1" x14ac:dyDescent="0.15">
      <c r="A20" s="7" t="s">
        <v>365</v>
      </c>
      <c r="B20" s="7" t="s">
        <v>366</v>
      </c>
      <c r="C20" s="7" t="s">
        <v>98</v>
      </c>
      <c r="D20" s="7" t="s">
        <v>241</v>
      </c>
      <c r="E20" s="7" t="s">
        <v>367</v>
      </c>
      <c r="F20" s="7" t="s">
        <v>368</v>
      </c>
      <c r="G20" s="7" t="s">
        <v>369</v>
      </c>
      <c r="H20" s="7" t="s">
        <v>25</v>
      </c>
      <c r="I20" s="7" t="s">
        <v>370</v>
      </c>
      <c r="J20" s="7" t="s">
        <v>371</v>
      </c>
      <c r="K20" s="7" t="s">
        <v>372</v>
      </c>
      <c r="L20" s="7" t="s">
        <v>373</v>
      </c>
      <c r="M20" s="7" t="s">
        <v>333</v>
      </c>
      <c r="N20" s="8">
        <v>5</v>
      </c>
      <c r="O20" s="7" t="s">
        <v>22</v>
      </c>
      <c r="P20" s="7" t="s">
        <v>374</v>
      </c>
      <c r="Q20" s="7" t="s">
        <v>375</v>
      </c>
      <c r="R20" s="7" t="s">
        <v>376</v>
      </c>
      <c r="S20" s="8">
        <v>4</v>
      </c>
      <c r="T20" s="7" t="s">
        <v>377</v>
      </c>
      <c r="U20" s="7" t="s">
        <v>378</v>
      </c>
      <c r="V20" s="7" t="s">
        <v>379</v>
      </c>
      <c r="W20" s="7"/>
      <c r="X20" t="s">
        <v>380</v>
      </c>
      <c r="Z20" t="s">
        <v>41</v>
      </c>
    </row>
    <row r="21" spans="1:27" ht="30" customHeight="1" x14ac:dyDescent="0.15">
      <c r="A21" s="7" t="s">
        <v>381</v>
      </c>
      <c r="B21" s="7" t="s">
        <v>382</v>
      </c>
      <c r="C21" s="7" t="s">
        <v>98</v>
      </c>
      <c r="D21" s="7" t="s">
        <v>241</v>
      </c>
      <c r="E21" s="7" t="s">
        <v>367</v>
      </c>
      <c r="F21" s="7" t="s">
        <v>368</v>
      </c>
      <c r="G21" s="7" t="s">
        <v>383</v>
      </c>
      <c r="H21" s="7" t="s">
        <v>27</v>
      </c>
      <c r="I21" s="7" t="s">
        <v>384</v>
      </c>
      <c r="J21" s="7" t="s">
        <v>385</v>
      </c>
      <c r="K21" s="7" t="s">
        <v>386</v>
      </c>
      <c r="L21" s="7" t="s">
        <v>387</v>
      </c>
      <c r="M21" s="7" t="s">
        <v>333</v>
      </c>
      <c r="N21" s="8">
        <v>4</v>
      </c>
      <c r="O21" s="7" t="s">
        <v>22</v>
      </c>
      <c r="P21" s="7" t="s">
        <v>388</v>
      </c>
      <c r="Q21" s="7" t="s">
        <v>389</v>
      </c>
      <c r="R21" s="7" t="s">
        <v>390</v>
      </c>
      <c r="S21" s="8">
        <v>4</v>
      </c>
      <c r="T21" s="7" t="s">
        <v>391</v>
      </c>
      <c r="U21" s="7" t="s">
        <v>392</v>
      </c>
      <c r="V21" s="7" t="s">
        <v>393</v>
      </c>
      <c r="W21" s="7" t="s">
        <v>394</v>
      </c>
      <c r="X21" t="s">
        <v>380</v>
      </c>
      <c r="Z21" t="s">
        <v>41</v>
      </c>
    </row>
    <row r="22" spans="1:27" ht="45" customHeight="1" x14ac:dyDescent="0.15">
      <c r="A22" s="7" t="s">
        <v>395</v>
      </c>
      <c r="B22" s="7" t="s">
        <v>396</v>
      </c>
      <c r="C22" s="7" t="s">
        <v>98</v>
      </c>
      <c r="D22" s="7" t="s">
        <v>293</v>
      </c>
      <c r="E22" s="7" t="s">
        <v>397</v>
      </c>
      <c r="F22" s="7" t="s">
        <v>398</v>
      </c>
      <c r="G22" s="7" t="s">
        <v>399</v>
      </c>
      <c r="H22" s="7" t="s">
        <v>23</v>
      </c>
      <c r="I22" s="7" t="s">
        <v>400</v>
      </c>
      <c r="J22" s="7" t="s">
        <v>401</v>
      </c>
      <c r="K22" s="7" t="s">
        <v>402</v>
      </c>
      <c r="L22" s="7" t="s">
        <v>403</v>
      </c>
      <c r="M22" s="7" t="s">
        <v>404</v>
      </c>
      <c r="N22" s="8">
        <v>4</v>
      </c>
      <c r="O22" s="7" t="s">
        <v>20</v>
      </c>
      <c r="P22" s="7" t="s">
        <v>405</v>
      </c>
      <c r="Q22" s="7" t="s">
        <v>406</v>
      </c>
      <c r="R22" s="7" t="s">
        <v>407</v>
      </c>
      <c r="S22" s="8">
        <v>3</v>
      </c>
      <c r="T22" s="7" t="s">
        <v>408</v>
      </c>
      <c r="U22" s="7" t="s">
        <v>409</v>
      </c>
      <c r="V22" s="7" t="s">
        <v>410</v>
      </c>
      <c r="W22" s="7" t="s">
        <v>411</v>
      </c>
      <c r="X22" t="s">
        <v>351</v>
      </c>
      <c r="Z22" t="s">
        <v>41</v>
      </c>
      <c r="AA22" t="s">
        <v>95</v>
      </c>
    </row>
    <row r="23" spans="1:27" ht="30" customHeight="1" x14ac:dyDescent="0.15">
      <c r="A23" s="7" t="s">
        <v>412</v>
      </c>
      <c r="B23" s="7" t="s">
        <v>413</v>
      </c>
      <c r="C23" s="7" t="s">
        <v>414</v>
      </c>
      <c r="D23" s="7" t="s">
        <v>293</v>
      </c>
      <c r="E23" s="7" t="s">
        <v>397</v>
      </c>
      <c r="F23" s="7" t="s">
        <v>415</v>
      </c>
      <c r="G23" s="7" t="s">
        <v>416</v>
      </c>
      <c r="H23" s="7" t="s">
        <v>23</v>
      </c>
      <c r="I23" s="7" t="s">
        <v>417</v>
      </c>
      <c r="J23" s="7" t="s">
        <v>418</v>
      </c>
      <c r="K23" s="7" t="s">
        <v>419</v>
      </c>
      <c r="L23" s="7" t="s">
        <v>420</v>
      </c>
      <c r="M23" s="7" t="s">
        <v>421</v>
      </c>
      <c r="N23" s="8">
        <v>5</v>
      </c>
      <c r="O23" s="7" t="s">
        <v>20</v>
      </c>
      <c r="P23" s="7" t="s">
        <v>405</v>
      </c>
      <c r="Q23" s="7" t="s">
        <v>406</v>
      </c>
      <c r="R23" s="7" t="s">
        <v>407</v>
      </c>
      <c r="S23" s="8">
        <v>5</v>
      </c>
      <c r="T23" s="7" t="s">
        <v>422</v>
      </c>
      <c r="U23" s="7" t="s">
        <v>423</v>
      </c>
      <c r="V23" s="7" t="s">
        <v>424</v>
      </c>
      <c r="W23" s="7"/>
      <c r="X23" t="s">
        <v>351</v>
      </c>
      <c r="Y23" t="s">
        <v>425</v>
      </c>
      <c r="Z23" t="s">
        <v>43</v>
      </c>
    </row>
    <row r="24" spans="1:27" ht="30" customHeight="1" x14ac:dyDescent="0.15">
      <c r="A24" s="7" t="s">
        <v>426</v>
      </c>
      <c r="B24" s="7" t="s">
        <v>427</v>
      </c>
      <c r="C24" s="7" t="s">
        <v>414</v>
      </c>
      <c r="D24" s="7" t="s">
        <v>293</v>
      </c>
      <c r="E24" s="7" t="s">
        <v>397</v>
      </c>
      <c r="F24" s="7" t="s">
        <v>428</v>
      </c>
      <c r="G24" s="7" t="s">
        <v>429</v>
      </c>
      <c r="H24" s="7" t="s">
        <v>23</v>
      </c>
      <c r="I24" s="7" t="s">
        <v>417</v>
      </c>
      <c r="J24" s="7" t="s">
        <v>430</v>
      </c>
      <c r="K24" s="7" t="s">
        <v>431</v>
      </c>
      <c r="L24" s="7" t="s">
        <v>432</v>
      </c>
      <c r="M24" s="7" t="s">
        <v>421</v>
      </c>
      <c r="N24" s="8">
        <v>5</v>
      </c>
      <c r="O24" s="7" t="s">
        <v>20</v>
      </c>
      <c r="P24" s="7" t="s">
        <v>433</v>
      </c>
      <c r="Q24" s="7" t="s">
        <v>434</v>
      </c>
      <c r="R24" s="7" t="s">
        <v>435</v>
      </c>
      <c r="S24" s="8">
        <v>5</v>
      </c>
      <c r="T24" s="7" t="s">
        <v>436</v>
      </c>
      <c r="U24" s="7" t="s">
        <v>437</v>
      </c>
      <c r="V24" s="7" t="s">
        <v>438</v>
      </c>
      <c r="W24" s="7"/>
      <c r="X24" t="s">
        <v>351</v>
      </c>
      <c r="Y24" t="s">
        <v>439</v>
      </c>
      <c r="Z24" t="s">
        <v>43</v>
      </c>
    </row>
    <row r="25" spans="1:27" ht="45" customHeight="1" x14ac:dyDescent="0.15">
      <c r="A25" s="7" t="s">
        <v>440</v>
      </c>
      <c r="B25" s="7" t="s">
        <v>441</v>
      </c>
      <c r="C25" s="7" t="s">
        <v>98</v>
      </c>
      <c r="D25" s="7" t="s">
        <v>241</v>
      </c>
      <c r="E25" s="7" t="s">
        <v>278</v>
      </c>
      <c r="F25" s="7" t="s">
        <v>368</v>
      </c>
      <c r="G25" s="7" t="s">
        <v>442</v>
      </c>
      <c r="H25" s="7" t="s">
        <v>25</v>
      </c>
      <c r="I25" s="7" t="s">
        <v>370</v>
      </c>
      <c r="J25" s="7" t="s">
        <v>443</v>
      </c>
      <c r="K25" s="7" t="s">
        <v>444</v>
      </c>
      <c r="L25" s="7" t="s">
        <v>445</v>
      </c>
      <c r="M25" s="7" t="s">
        <v>333</v>
      </c>
      <c r="N25" s="8">
        <v>5</v>
      </c>
      <c r="O25" s="7" t="s">
        <v>22</v>
      </c>
      <c r="P25" s="7" t="s">
        <v>433</v>
      </c>
      <c r="Q25" s="7" t="s">
        <v>434</v>
      </c>
      <c r="R25" s="7" t="s">
        <v>435</v>
      </c>
      <c r="S25" s="8">
        <v>5</v>
      </c>
      <c r="T25" s="7" t="s">
        <v>446</v>
      </c>
      <c r="U25" s="7" t="s">
        <v>447</v>
      </c>
      <c r="V25" s="7" t="s">
        <v>448</v>
      </c>
      <c r="W25" s="7"/>
      <c r="X25" t="s">
        <v>274</v>
      </c>
      <c r="Y25" t="s">
        <v>449</v>
      </c>
      <c r="Z25" t="s">
        <v>43</v>
      </c>
    </row>
    <row r="26" spans="1:27" ht="45" customHeight="1" x14ac:dyDescent="0.15">
      <c r="A26" s="7" t="s">
        <v>450</v>
      </c>
      <c r="B26" s="7" t="s">
        <v>441</v>
      </c>
      <c r="C26" s="7" t="s">
        <v>98</v>
      </c>
      <c r="D26" s="7" t="s">
        <v>241</v>
      </c>
      <c r="E26" s="7" t="s">
        <v>451</v>
      </c>
      <c r="F26" s="7" t="s">
        <v>452</v>
      </c>
      <c r="G26" s="7" t="s">
        <v>453</v>
      </c>
      <c r="H26" s="7" t="s">
        <v>29</v>
      </c>
      <c r="I26" s="7" t="s">
        <v>454</v>
      </c>
      <c r="J26" s="7" t="s">
        <v>455</v>
      </c>
      <c r="K26" s="7" t="s">
        <v>456</v>
      </c>
      <c r="L26" s="7" t="s">
        <v>457</v>
      </c>
      <c r="M26" s="7" t="s">
        <v>333</v>
      </c>
      <c r="N26" s="8">
        <v>5</v>
      </c>
      <c r="O26" s="7" t="s">
        <v>22</v>
      </c>
      <c r="P26" s="7" t="s">
        <v>388</v>
      </c>
      <c r="Q26" s="7" t="s">
        <v>389</v>
      </c>
      <c r="R26" s="7" t="s">
        <v>390</v>
      </c>
      <c r="S26" s="8">
        <v>5</v>
      </c>
      <c r="T26" s="7" t="s">
        <v>458</v>
      </c>
      <c r="U26" s="7" t="s">
        <v>459</v>
      </c>
      <c r="V26" s="7" t="s">
        <v>460</v>
      </c>
      <c r="W26" s="7"/>
      <c r="X26" t="s">
        <v>274</v>
      </c>
      <c r="Z26" t="s">
        <v>41</v>
      </c>
    </row>
    <row r="27" spans="1:27" ht="45" customHeight="1" x14ac:dyDescent="0.15">
      <c r="A27" s="7" t="s">
        <v>461</v>
      </c>
      <c r="B27" s="7" t="s">
        <v>441</v>
      </c>
      <c r="C27" s="7" t="s">
        <v>98</v>
      </c>
      <c r="D27" s="7" t="s">
        <v>241</v>
      </c>
      <c r="E27" s="7" t="s">
        <v>278</v>
      </c>
      <c r="F27" s="7" t="s">
        <v>452</v>
      </c>
      <c r="G27" s="7" t="s">
        <v>462</v>
      </c>
      <c r="H27" s="7" t="s">
        <v>29</v>
      </c>
      <c r="I27" s="7" t="s">
        <v>463</v>
      </c>
      <c r="J27" s="7" t="s">
        <v>464</v>
      </c>
      <c r="K27" s="7" t="s">
        <v>465</v>
      </c>
      <c r="L27" s="7" t="s">
        <v>466</v>
      </c>
      <c r="M27" s="7" t="s">
        <v>333</v>
      </c>
      <c r="N27" s="8">
        <v>4</v>
      </c>
      <c r="O27" s="7" t="s">
        <v>22</v>
      </c>
      <c r="P27" s="7" t="s">
        <v>467</v>
      </c>
      <c r="Q27" s="7" t="s">
        <v>468</v>
      </c>
      <c r="R27" s="7" t="s">
        <v>469</v>
      </c>
      <c r="S27" s="8">
        <v>4</v>
      </c>
      <c r="T27" s="7" t="s">
        <v>470</v>
      </c>
      <c r="U27" s="7" t="s">
        <v>471</v>
      </c>
      <c r="V27" s="7" t="s">
        <v>472</v>
      </c>
      <c r="W27" s="7" t="s">
        <v>473</v>
      </c>
      <c r="X27" t="s">
        <v>274</v>
      </c>
      <c r="Z27" t="s">
        <v>44</v>
      </c>
    </row>
    <row r="28" spans="1:27" ht="30" customHeight="1" x14ac:dyDescent="0.15">
      <c r="A28" s="7" t="s">
        <v>474</v>
      </c>
      <c r="B28" s="7" t="s">
        <v>475</v>
      </c>
      <c r="C28" s="7" t="s">
        <v>77</v>
      </c>
      <c r="D28" s="7" t="s">
        <v>293</v>
      </c>
      <c r="E28" s="7" t="s">
        <v>397</v>
      </c>
      <c r="F28" s="7" t="s">
        <v>476</v>
      </c>
      <c r="G28" s="7" t="s">
        <v>477</v>
      </c>
      <c r="H28" s="7" t="s">
        <v>35</v>
      </c>
      <c r="I28" s="7" t="s">
        <v>478</v>
      </c>
      <c r="J28" s="7" t="s">
        <v>479</v>
      </c>
      <c r="K28" s="7" t="s">
        <v>480</v>
      </c>
      <c r="L28" s="7" t="s">
        <v>481</v>
      </c>
      <c r="M28" s="7" t="s">
        <v>404</v>
      </c>
      <c r="N28" s="8">
        <v>3</v>
      </c>
      <c r="O28" s="7" t="s">
        <v>34</v>
      </c>
      <c r="P28" s="7" t="s">
        <v>467</v>
      </c>
      <c r="Q28" s="7" t="s">
        <v>468</v>
      </c>
      <c r="R28" s="7" t="s">
        <v>469</v>
      </c>
      <c r="S28" s="8">
        <v>3</v>
      </c>
      <c r="T28" s="7" t="s">
        <v>482</v>
      </c>
      <c r="U28" s="7" t="s">
        <v>483</v>
      </c>
      <c r="V28" s="7" t="s">
        <v>484</v>
      </c>
      <c r="W28" s="7" t="s">
        <v>485</v>
      </c>
      <c r="X28" t="s">
        <v>351</v>
      </c>
      <c r="Z28" t="s">
        <v>41</v>
      </c>
    </row>
    <row r="29" spans="1:27" ht="45" customHeight="1" x14ac:dyDescent="0.15">
      <c r="A29" s="7" t="s">
        <v>486</v>
      </c>
      <c r="B29" s="7" t="s">
        <v>487</v>
      </c>
      <c r="C29" s="7" t="s">
        <v>98</v>
      </c>
      <c r="D29" s="7" t="s">
        <v>241</v>
      </c>
      <c r="E29" s="7" t="s">
        <v>278</v>
      </c>
      <c r="F29" s="7" t="s">
        <v>488</v>
      </c>
      <c r="G29" s="7" t="s">
        <v>489</v>
      </c>
      <c r="H29" s="7" t="s">
        <v>17</v>
      </c>
      <c r="I29" s="7" t="s">
        <v>490</v>
      </c>
      <c r="J29" s="7" t="s">
        <v>491</v>
      </c>
      <c r="K29" s="7" t="s">
        <v>492</v>
      </c>
      <c r="L29" s="7" t="s">
        <v>493</v>
      </c>
      <c r="M29" s="7" t="s">
        <v>86</v>
      </c>
      <c r="N29" s="8">
        <v>3</v>
      </c>
      <c r="O29" s="7" t="s">
        <v>32</v>
      </c>
      <c r="P29" s="7" t="s">
        <v>494</v>
      </c>
      <c r="Q29" s="7" t="s">
        <v>495</v>
      </c>
      <c r="R29" s="7" t="s">
        <v>496</v>
      </c>
      <c r="S29" s="8">
        <v>4</v>
      </c>
      <c r="T29" s="7" t="s">
        <v>497</v>
      </c>
      <c r="U29" s="7" t="s">
        <v>498</v>
      </c>
      <c r="V29" s="7" t="s">
        <v>499</v>
      </c>
      <c r="W29" s="7"/>
      <c r="X29" t="s">
        <v>274</v>
      </c>
      <c r="Y29" t="s">
        <v>500</v>
      </c>
      <c r="Z29" t="s">
        <v>42</v>
      </c>
    </row>
    <row r="30" spans="1:27" ht="45" customHeight="1" x14ac:dyDescent="0.15">
      <c r="A30" s="7" t="s">
        <v>501</v>
      </c>
      <c r="B30" s="7" t="s">
        <v>502</v>
      </c>
      <c r="C30" s="7" t="s">
        <v>98</v>
      </c>
      <c r="D30" s="7" t="s">
        <v>241</v>
      </c>
      <c r="E30" s="7" t="s">
        <v>367</v>
      </c>
      <c r="F30" s="7" t="s">
        <v>368</v>
      </c>
      <c r="G30" s="7" t="s">
        <v>503</v>
      </c>
      <c r="H30" s="7" t="s">
        <v>27</v>
      </c>
      <c r="I30" s="7" t="s">
        <v>504</v>
      </c>
      <c r="J30" s="7" t="s">
        <v>505</v>
      </c>
      <c r="K30" s="7" t="s">
        <v>506</v>
      </c>
      <c r="L30" s="7" t="s">
        <v>445</v>
      </c>
      <c r="M30" s="7" t="s">
        <v>333</v>
      </c>
      <c r="N30" s="8">
        <v>5</v>
      </c>
      <c r="O30" s="7" t="s">
        <v>22</v>
      </c>
      <c r="P30" s="7" t="s">
        <v>388</v>
      </c>
      <c r="Q30" s="7" t="s">
        <v>389</v>
      </c>
      <c r="R30" s="7" t="s">
        <v>390</v>
      </c>
      <c r="S30" s="8">
        <v>5</v>
      </c>
      <c r="T30" s="7" t="s">
        <v>507</v>
      </c>
      <c r="U30" s="7" t="s">
        <v>508</v>
      </c>
      <c r="V30" s="7" t="s">
        <v>509</v>
      </c>
      <c r="W30" s="7"/>
      <c r="X30" t="s">
        <v>380</v>
      </c>
      <c r="Y30" t="s">
        <v>510</v>
      </c>
      <c r="Z30" t="s">
        <v>41</v>
      </c>
    </row>
    <row r="31" spans="1:27" ht="60" customHeight="1" x14ac:dyDescent="0.15">
      <c r="A31" s="7" t="s">
        <v>511</v>
      </c>
      <c r="B31" s="7" t="s">
        <v>502</v>
      </c>
      <c r="C31" s="7" t="s">
        <v>98</v>
      </c>
      <c r="D31" s="7" t="s">
        <v>512</v>
      </c>
      <c r="E31" s="7" t="s">
        <v>513</v>
      </c>
      <c r="F31" s="7" t="s">
        <v>514</v>
      </c>
      <c r="G31" s="7" t="s">
        <v>515</v>
      </c>
      <c r="H31" s="7" t="s">
        <v>23</v>
      </c>
      <c r="I31" s="7" t="s">
        <v>516</v>
      </c>
      <c r="J31" s="7" t="s">
        <v>517</v>
      </c>
      <c r="K31" s="7" t="s">
        <v>518</v>
      </c>
      <c r="L31" s="7" t="s">
        <v>519</v>
      </c>
      <c r="M31" s="7" t="s">
        <v>333</v>
      </c>
      <c r="N31" s="8">
        <v>3</v>
      </c>
      <c r="O31" s="7" t="s">
        <v>32</v>
      </c>
      <c r="P31" s="7" t="s">
        <v>433</v>
      </c>
      <c r="Q31" s="7" t="s">
        <v>434</v>
      </c>
      <c r="R31" s="7" t="s">
        <v>435</v>
      </c>
      <c r="S31" s="8">
        <v>3</v>
      </c>
      <c r="T31" s="7" t="s">
        <v>520</v>
      </c>
      <c r="U31" s="7" t="s">
        <v>521</v>
      </c>
      <c r="V31" s="7" t="s">
        <v>522</v>
      </c>
      <c r="W31" s="7" t="s">
        <v>523</v>
      </c>
      <c r="X31" t="s">
        <v>524</v>
      </c>
      <c r="Y31" t="s">
        <v>525</v>
      </c>
      <c r="Z31" t="s">
        <v>48</v>
      </c>
    </row>
    <row r="32" spans="1:27" ht="30" customHeight="1" x14ac:dyDescent="0.15">
      <c r="A32" s="7" t="s">
        <v>526</v>
      </c>
      <c r="B32" s="7" t="s">
        <v>527</v>
      </c>
      <c r="C32" s="7" t="s">
        <v>98</v>
      </c>
      <c r="D32" s="7" t="s">
        <v>241</v>
      </c>
      <c r="E32" s="7" t="s">
        <v>528</v>
      </c>
      <c r="F32" s="7" t="s">
        <v>368</v>
      </c>
      <c r="G32" s="7" t="s">
        <v>529</v>
      </c>
      <c r="H32" s="7" t="s">
        <v>27</v>
      </c>
      <c r="I32" s="7" t="s">
        <v>530</v>
      </c>
      <c r="J32" s="7" t="s">
        <v>531</v>
      </c>
      <c r="K32" s="7" t="s">
        <v>532</v>
      </c>
      <c r="L32" s="7" t="s">
        <v>533</v>
      </c>
      <c r="M32" s="7" t="s">
        <v>333</v>
      </c>
      <c r="N32" s="8">
        <v>5</v>
      </c>
      <c r="O32" s="7" t="s">
        <v>22</v>
      </c>
      <c r="P32" s="7" t="s">
        <v>534</v>
      </c>
      <c r="Q32" s="7" t="s">
        <v>535</v>
      </c>
      <c r="R32" s="7" t="s">
        <v>536</v>
      </c>
      <c r="S32" s="8">
        <v>5</v>
      </c>
      <c r="T32" s="7" t="s">
        <v>537</v>
      </c>
      <c r="U32" s="7" t="s">
        <v>538</v>
      </c>
      <c r="V32" s="7" t="s">
        <v>539</v>
      </c>
      <c r="W32" s="7"/>
      <c r="X32" t="s">
        <v>274</v>
      </c>
      <c r="Z32" t="s">
        <v>41</v>
      </c>
      <c r="AA32" t="s">
        <v>95</v>
      </c>
    </row>
    <row r="33" spans="1:27" ht="30" customHeight="1" x14ac:dyDescent="0.15">
      <c r="A33" s="7" t="s">
        <v>540</v>
      </c>
      <c r="B33" s="7" t="s">
        <v>527</v>
      </c>
      <c r="C33" s="7" t="s">
        <v>98</v>
      </c>
      <c r="D33" s="7" t="s">
        <v>241</v>
      </c>
      <c r="E33" s="7" t="s">
        <v>528</v>
      </c>
      <c r="F33" s="7" t="s">
        <v>368</v>
      </c>
      <c r="G33" s="7" t="s">
        <v>541</v>
      </c>
      <c r="H33" s="7" t="s">
        <v>31</v>
      </c>
      <c r="I33" s="7" t="s">
        <v>542</v>
      </c>
      <c r="J33" s="7" t="s">
        <v>543</v>
      </c>
      <c r="K33" s="7" t="s">
        <v>544</v>
      </c>
      <c r="L33" s="7" t="s">
        <v>545</v>
      </c>
      <c r="M33" s="7" t="s">
        <v>333</v>
      </c>
      <c r="N33" s="8">
        <v>4</v>
      </c>
      <c r="O33" s="7" t="s">
        <v>22</v>
      </c>
      <c r="P33" s="7" t="s">
        <v>546</v>
      </c>
      <c r="Q33" s="7" t="s">
        <v>547</v>
      </c>
      <c r="R33" s="7" t="s">
        <v>548</v>
      </c>
      <c r="S33" s="8">
        <v>4</v>
      </c>
      <c r="T33" s="7" t="s">
        <v>549</v>
      </c>
      <c r="U33" s="7" t="s">
        <v>550</v>
      </c>
      <c r="V33" s="7" t="s">
        <v>551</v>
      </c>
      <c r="W33" s="7"/>
      <c r="X33" t="s">
        <v>274</v>
      </c>
      <c r="Z33" t="s">
        <v>46</v>
      </c>
    </row>
    <row r="34" spans="1:27" ht="45" customHeight="1" x14ac:dyDescent="0.15">
      <c r="A34" s="7" t="s">
        <v>552</v>
      </c>
      <c r="B34" s="7" t="s">
        <v>553</v>
      </c>
      <c r="C34" s="7" t="s">
        <v>98</v>
      </c>
      <c r="D34" s="7" t="s">
        <v>241</v>
      </c>
      <c r="E34" s="7" t="s">
        <v>451</v>
      </c>
      <c r="F34" s="7" t="s">
        <v>452</v>
      </c>
      <c r="G34" s="7" t="s">
        <v>554</v>
      </c>
      <c r="H34" s="7" t="s">
        <v>31</v>
      </c>
      <c r="I34" s="7" t="s">
        <v>555</v>
      </c>
      <c r="J34" s="7" t="s">
        <v>556</v>
      </c>
      <c r="K34" s="7" t="s">
        <v>557</v>
      </c>
      <c r="L34" s="7" t="s">
        <v>558</v>
      </c>
      <c r="M34" s="7" t="s">
        <v>559</v>
      </c>
      <c r="N34" s="8">
        <v>4</v>
      </c>
      <c r="O34" s="7" t="s">
        <v>32</v>
      </c>
      <c r="P34" s="7" t="s">
        <v>560</v>
      </c>
      <c r="Q34" s="7" t="s">
        <v>561</v>
      </c>
      <c r="R34" s="7" t="s">
        <v>562</v>
      </c>
      <c r="S34" s="8">
        <v>5</v>
      </c>
      <c r="T34" s="7" t="s">
        <v>563</v>
      </c>
      <c r="U34" s="7" t="s">
        <v>564</v>
      </c>
      <c r="V34" s="7" t="s">
        <v>565</v>
      </c>
      <c r="W34" s="7" t="s">
        <v>566</v>
      </c>
      <c r="X34" t="s">
        <v>274</v>
      </c>
      <c r="Y34" t="s">
        <v>567</v>
      </c>
      <c r="Z34" t="s">
        <v>41</v>
      </c>
    </row>
    <row r="35" spans="1:27" ht="45" customHeight="1" x14ac:dyDescent="0.15">
      <c r="A35" s="7" t="s">
        <v>568</v>
      </c>
      <c r="B35" s="7" t="s">
        <v>569</v>
      </c>
      <c r="C35" s="7" t="s">
        <v>98</v>
      </c>
      <c r="D35" s="7" t="s">
        <v>241</v>
      </c>
      <c r="E35" s="7" t="s">
        <v>570</v>
      </c>
      <c r="F35" s="7" t="s">
        <v>571</v>
      </c>
      <c r="G35" s="7" t="s">
        <v>572</v>
      </c>
      <c r="H35" s="7" t="s">
        <v>31</v>
      </c>
      <c r="I35" s="7" t="s">
        <v>573</v>
      </c>
      <c r="J35" s="7" t="s">
        <v>574</v>
      </c>
      <c r="K35" s="7" t="s">
        <v>575</v>
      </c>
      <c r="L35" s="7" t="s">
        <v>576</v>
      </c>
      <c r="M35" s="7" t="s">
        <v>333</v>
      </c>
      <c r="N35" s="8">
        <v>4</v>
      </c>
      <c r="O35" s="7" t="s">
        <v>32</v>
      </c>
      <c r="P35" s="7" t="s">
        <v>577</v>
      </c>
      <c r="Q35" s="7" t="s">
        <v>578</v>
      </c>
      <c r="R35" s="7" t="s">
        <v>579</v>
      </c>
      <c r="S35" s="8">
        <v>5</v>
      </c>
      <c r="T35" s="7" t="s">
        <v>580</v>
      </c>
      <c r="U35" s="7" t="s">
        <v>581</v>
      </c>
      <c r="V35" s="7" t="s">
        <v>582</v>
      </c>
      <c r="W35" s="7"/>
      <c r="X35" t="s">
        <v>583</v>
      </c>
      <c r="Y35" t="s">
        <v>584</v>
      </c>
      <c r="Z35" t="s">
        <v>46</v>
      </c>
    </row>
    <row r="36" spans="1:27" ht="45" customHeight="1" x14ac:dyDescent="0.15">
      <c r="A36" s="7" t="s">
        <v>585</v>
      </c>
      <c r="B36" s="7" t="s">
        <v>586</v>
      </c>
      <c r="C36" s="7" t="s">
        <v>98</v>
      </c>
      <c r="D36" s="7" t="s">
        <v>241</v>
      </c>
      <c r="E36" s="7" t="s">
        <v>278</v>
      </c>
      <c r="F36" s="7" t="s">
        <v>368</v>
      </c>
      <c r="G36" s="7" t="s">
        <v>587</v>
      </c>
      <c r="H36" s="7" t="s">
        <v>31</v>
      </c>
      <c r="I36" s="7" t="s">
        <v>588</v>
      </c>
      <c r="J36" s="7" t="s">
        <v>589</v>
      </c>
      <c r="K36" s="7" t="s">
        <v>590</v>
      </c>
      <c r="L36" s="7" t="s">
        <v>591</v>
      </c>
      <c r="M36" s="7" t="s">
        <v>333</v>
      </c>
      <c r="N36" s="8">
        <v>5</v>
      </c>
      <c r="O36" s="7" t="s">
        <v>22</v>
      </c>
      <c r="P36" s="7" t="s">
        <v>388</v>
      </c>
      <c r="Q36" s="7" t="s">
        <v>389</v>
      </c>
      <c r="R36" s="7" t="s">
        <v>390</v>
      </c>
      <c r="S36" s="8">
        <v>5</v>
      </c>
      <c r="T36" s="7" t="s">
        <v>592</v>
      </c>
      <c r="U36" s="7" t="s">
        <v>593</v>
      </c>
      <c r="V36" s="7" t="s">
        <v>594</v>
      </c>
      <c r="W36" s="7"/>
      <c r="X36" t="s">
        <v>274</v>
      </c>
      <c r="Y36" t="s">
        <v>595</v>
      </c>
      <c r="Z36" t="s">
        <v>46</v>
      </c>
    </row>
    <row r="37" spans="1:27" ht="45" customHeight="1" x14ac:dyDescent="0.15">
      <c r="A37" s="7" t="s">
        <v>596</v>
      </c>
      <c r="B37" s="7" t="s">
        <v>597</v>
      </c>
      <c r="C37" s="7" t="s">
        <v>98</v>
      </c>
      <c r="D37" s="7" t="s">
        <v>512</v>
      </c>
      <c r="E37" s="7" t="s">
        <v>598</v>
      </c>
      <c r="F37" s="7" t="s">
        <v>599</v>
      </c>
      <c r="G37" s="7" t="s">
        <v>600</v>
      </c>
      <c r="H37" s="7" t="s">
        <v>23</v>
      </c>
      <c r="I37" s="7" t="s">
        <v>601</v>
      </c>
      <c r="J37" s="7" t="s">
        <v>602</v>
      </c>
      <c r="K37" s="7" t="s">
        <v>603</v>
      </c>
      <c r="L37" s="7" t="s">
        <v>604</v>
      </c>
      <c r="M37" s="7" t="s">
        <v>333</v>
      </c>
      <c r="N37" s="8">
        <v>3</v>
      </c>
      <c r="O37" s="7" t="s">
        <v>32</v>
      </c>
      <c r="P37" s="7" t="s">
        <v>433</v>
      </c>
      <c r="Q37" s="7" t="s">
        <v>434</v>
      </c>
      <c r="R37" s="7" t="s">
        <v>435</v>
      </c>
      <c r="S37" s="8">
        <v>4</v>
      </c>
      <c r="T37" s="7" t="s">
        <v>605</v>
      </c>
      <c r="U37" s="7" t="s">
        <v>606</v>
      </c>
      <c r="V37" s="7" t="s">
        <v>607</v>
      </c>
      <c r="W37" s="7" t="s">
        <v>566</v>
      </c>
      <c r="X37" t="s">
        <v>608</v>
      </c>
      <c r="Y37" t="s">
        <v>609</v>
      </c>
      <c r="Z37" t="s">
        <v>48</v>
      </c>
    </row>
    <row r="38" spans="1:27" ht="30" customHeight="1" x14ac:dyDescent="0.15">
      <c r="A38" s="7" t="s">
        <v>610</v>
      </c>
      <c r="B38" s="7" t="s">
        <v>597</v>
      </c>
      <c r="C38" s="7" t="s">
        <v>98</v>
      </c>
      <c r="D38" s="7" t="s">
        <v>293</v>
      </c>
      <c r="E38" s="7" t="s">
        <v>611</v>
      </c>
      <c r="F38" s="7" t="s">
        <v>612</v>
      </c>
      <c r="G38" s="7" t="s">
        <v>613</v>
      </c>
      <c r="H38" s="7" t="s">
        <v>31</v>
      </c>
      <c r="I38" s="7" t="s">
        <v>614</v>
      </c>
      <c r="J38" s="7" t="s">
        <v>615</v>
      </c>
      <c r="K38" s="7" t="s">
        <v>616</v>
      </c>
      <c r="L38" s="7" t="s">
        <v>617</v>
      </c>
      <c r="M38" s="7" t="s">
        <v>333</v>
      </c>
      <c r="N38" s="8">
        <v>3</v>
      </c>
      <c r="O38" s="7" t="s">
        <v>32</v>
      </c>
      <c r="P38" s="7" t="s">
        <v>467</v>
      </c>
      <c r="Q38" s="7" t="s">
        <v>468</v>
      </c>
      <c r="R38" s="7" t="s">
        <v>469</v>
      </c>
      <c r="S38" s="8">
        <v>2</v>
      </c>
      <c r="T38" s="7" t="s">
        <v>618</v>
      </c>
      <c r="U38" s="7" t="s">
        <v>619</v>
      </c>
      <c r="V38" s="7" t="s">
        <v>620</v>
      </c>
      <c r="W38" s="7" t="s">
        <v>621</v>
      </c>
      <c r="X38" t="s">
        <v>622</v>
      </c>
      <c r="Z38" t="s">
        <v>47</v>
      </c>
    </row>
    <row r="39" spans="1:27" ht="30" customHeight="1" x14ac:dyDescent="0.15">
      <c r="A39" s="7" t="s">
        <v>623</v>
      </c>
      <c r="B39" s="7" t="s">
        <v>624</v>
      </c>
      <c r="C39" s="7" t="s">
        <v>98</v>
      </c>
      <c r="D39" s="7" t="s">
        <v>293</v>
      </c>
      <c r="E39" s="7" t="s">
        <v>397</v>
      </c>
      <c r="F39" s="7" t="s">
        <v>625</v>
      </c>
      <c r="G39" s="7" t="s">
        <v>626</v>
      </c>
      <c r="H39" s="7" t="s">
        <v>37</v>
      </c>
      <c r="I39" s="7" t="s">
        <v>627</v>
      </c>
      <c r="J39" s="7" t="s">
        <v>628</v>
      </c>
      <c r="K39" s="7" t="s">
        <v>629</v>
      </c>
      <c r="L39" s="7" t="s">
        <v>630</v>
      </c>
      <c r="M39" s="7" t="s">
        <v>404</v>
      </c>
      <c r="N39" s="8">
        <v>3</v>
      </c>
      <c r="O39" s="7" t="s">
        <v>32</v>
      </c>
      <c r="P39" s="7" t="s">
        <v>631</v>
      </c>
      <c r="Q39" s="7" t="s">
        <v>632</v>
      </c>
      <c r="R39" s="7" t="s">
        <v>633</v>
      </c>
      <c r="S39" s="8">
        <v>3</v>
      </c>
      <c r="T39" s="7" t="s">
        <v>634</v>
      </c>
      <c r="U39" s="7" t="s">
        <v>635</v>
      </c>
      <c r="V39" s="7" t="s">
        <v>636</v>
      </c>
      <c r="W39" s="7" t="s">
        <v>637</v>
      </c>
      <c r="X39" t="s">
        <v>351</v>
      </c>
      <c r="Z39" t="s">
        <v>41</v>
      </c>
    </row>
    <row r="40" spans="1:27" ht="30" customHeight="1" x14ac:dyDescent="0.15">
      <c r="A40" s="7" t="s">
        <v>638</v>
      </c>
      <c r="B40" s="7" t="s">
        <v>624</v>
      </c>
      <c r="C40" s="7" t="s">
        <v>98</v>
      </c>
      <c r="D40" s="7" t="s">
        <v>512</v>
      </c>
      <c r="E40" s="7" t="s">
        <v>639</v>
      </c>
      <c r="F40" s="7" t="s">
        <v>640</v>
      </c>
      <c r="G40" s="7" t="s">
        <v>641</v>
      </c>
      <c r="H40" s="7" t="s">
        <v>38</v>
      </c>
      <c r="I40" s="7" t="s">
        <v>642</v>
      </c>
      <c r="J40" s="7" t="s">
        <v>643</v>
      </c>
      <c r="K40" s="7" t="s">
        <v>644</v>
      </c>
      <c r="L40" s="7" t="s">
        <v>645</v>
      </c>
      <c r="M40" s="7" t="s">
        <v>301</v>
      </c>
      <c r="N40" s="8">
        <v>3</v>
      </c>
      <c r="O40" s="7" t="s">
        <v>32</v>
      </c>
      <c r="P40" s="7" t="s">
        <v>433</v>
      </c>
      <c r="Q40" s="7" t="s">
        <v>434</v>
      </c>
      <c r="R40" s="7" t="s">
        <v>435</v>
      </c>
      <c r="S40" s="8">
        <v>4</v>
      </c>
      <c r="T40" s="7" t="s">
        <v>646</v>
      </c>
      <c r="U40" s="7" t="s">
        <v>647</v>
      </c>
      <c r="V40" s="7" t="s">
        <v>648</v>
      </c>
      <c r="W40" s="7"/>
      <c r="X40" t="s">
        <v>649</v>
      </c>
      <c r="Z40" t="s">
        <v>47</v>
      </c>
    </row>
    <row r="41" spans="1:27" ht="30" customHeight="1" x14ac:dyDescent="0.15">
      <c r="A41" s="7" t="s">
        <v>650</v>
      </c>
      <c r="B41" s="7" t="s">
        <v>651</v>
      </c>
      <c r="C41" s="7" t="s">
        <v>98</v>
      </c>
      <c r="D41" s="7" t="s">
        <v>293</v>
      </c>
      <c r="E41" s="7" t="s">
        <v>652</v>
      </c>
      <c r="F41" s="7" t="s">
        <v>612</v>
      </c>
      <c r="G41" s="7" t="s">
        <v>653</v>
      </c>
      <c r="H41" s="7" t="s">
        <v>31</v>
      </c>
      <c r="I41" s="7" t="s">
        <v>654</v>
      </c>
      <c r="J41" s="7" t="s">
        <v>655</v>
      </c>
      <c r="K41" s="7" t="s">
        <v>542</v>
      </c>
      <c r="L41" s="7" t="s">
        <v>656</v>
      </c>
      <c r="M41" s="7" t="s">
        <v>333</v>
      </c>
      <c r="N41" s="8">
        <v>5</v>
      </c>
      <c r="O41" s="7" t="s">
        <v>32</v>
      </c>
      <c r="P41" s="7" t="s">
        <v>546</v>
      </c>
      <c r="Q41" s="7" t="s">
        <v>547</v>
      </c>
      <c r="R41" s="7" t="s">
        <v>548</v>
      </c>
      <c r="S41" s="8">
        <v>5</v>
      </c>
      <c r="T41" s="7" t="s">
        <v>657</v>
      </c>
      <c r="U41" s="7" t="s">
        <v>658</v>
      </c>
      <c r="V41" s="7" t="s">
        <v>659</v>
      </c>
      <c r="W41" s="7"/>
      <c r="X41" t="s">
        <v>622</v>
      </c>
      <c r="Z41" t="s">
        <v>46</v>
      </c>
    </row>
    <row r="42" spans="1:27" ht="45" customHeight="1" x14ac:dyDescent="0.15">
      <c r="A42" s="7" t="s">
        <v>660</v>
      </c>
      <c r="B42" s="7" t="s">
        <v>661</v>
      </c>
      <c r="C42" s="7" t="s">
        <v>98</v>
      </c>
      <c r="D42" s="7" t="s">
        <v>241</v>
      </c>
      <c r="E42" s="7" t="s">
        <v>278</v>
      </c>
      <c r="F42" s="7" t="s">
        <v>662</v>
      </c>
      <c r="G42" s="7" t="s">
        <v>663</v>
      </c>
      <c r="H42" s="7" t="s">
        <v>33</v>
      </c>
      <c r="I42" s="7" t="s">
        <v>664</v>
      </c>
      <c r="J42" s="7" t="s">
        <v>665</v>
      </c>
      <c r="K42" s="7" t="s">
        <v>666</v>
      </c>
      <c r="L42" s="7" t="s">
        <v>667</v>
      </c>
      <c r="M42" s="7" t="s">
        <v>668</v>
      </c>
      <c r="N42" s="8">
        <v>5</v>
      </c>
      <c r="O42" s="7" t="s">
        <v>24</v>
      </c>
      <c r="P42" s="7" t="s">
        <v>669</v>
      </c>
      <c r="Q42" s="7" t="s">
        <v>670</v>
      </c>
      <c r="R42" s="7" t="s">
        <v>671</v>
      </c>
      <c r="S42" s="8">
        <v>5</v>
      </c>
      <c r="T42" s="7" t="s">
        <v>672</v>
      </c>
      <c r="U42" s="7" t="s">
        <v>673</v>
      </c>
      <c r="V42" s="7" t="s">
        <v>674</v>
      </c>
      <c r="W42" s="7"/>
      <c r="X42" t="s">
        <v>274</v>
      </c>
      <c r="Z42" t="s">
        <v>41</v>
      </c>
      <c r="AA42" t="s">
        <v>95</v>
      </c>
    </row>
    <row r="43" spans="1:27" ht="45" customHeight="1" x14ac:dyDescent="0.15">
      <c r="A43" s="7" t="s">
        <v>675</v>
      </c>
      <c r="B43" s="7" t="s">
        <v>676</v>
      </c>
      <c r="C43" s="7" t="s">
        <v>77</v>
      </c>
      <c r="D43" s="7" t="s">
        <v>677</v>
      </c>
      <c r="E43" s="7" t="s">
        <v>678</v>
      </c>
      <c r="F43" s="7" t="s">
        <v>679</v>
      </c>
      <c r="G43" s="7" t="s">
        <v>680</v>
      </c>
      <c r="H43" s="7" t="s">
        <v>33</v>
      </c>
      <c r="I43" s="7" t="s">
        <v>681</v>
      </c>
      <c r="J43" s="7" t="s">
        <v>682</v>
      </c>
      <c r="K43" s="7" t="s">
        <v>683</v>
      </c>
      <c r="L43" s="7" t="s">
        <v>684</v>
      </c>
      <c r="M43" s="7" t="s">
        <v>421</v>
      </c>
      <c r="N43" s="8">
        <v>5</v>
      </c>
      <c r="O43" s="7" t="s">
        <v>24</v>
      </c>
      <c r="P43" s="7" t="s">
        <v>669</v>
      </c>
      <c r="Q43" s="7" t="s">
        <v>670</v>
      </c>
      <c r="R43" s="7" t="s">
        <v>671</v>
      </c>
      <c r="S43" s="8">
        <v>5</v>
      </c>
      <c r="T43" s="7" t="s">
        <v>685</v>
      </c>
      <c r="U43" s="7" t="s">
        <v>686</v>
      </c>
      <c r="V43" s="7" t="s">
        <v>687</v>
      </c>
      <c r="W43" s="7"/>
      <c r="X43" t="s">
        <v>274</v>
      </c>
      <c r="Y43" t="s">
        <v>688</v>
      </c>
      <c r="Z43" t="s">
        <v>47</v>
      </c>
    </row>
    <row r="44" spans="1:27" ht="45" customHeight="1" x14ac:dyDescent="0.15">
      <c r="A44" s="7" t="s">
        <v>689</v>
      </c>
      <c r="B44" s="7" t="s">
        <v>661</v>
      </c>
      <c r="C44" s="7" t="s">
        <v>98</v>
      </c>
      <c r="D44" s="7" t="s">
        <v>241</v>
      </c>
      <c r="E44" s="7" t="s">
        <v>278</v>
      </c>
      <c r="F44" s="7" t="s">
        <v>662</v>
      </c>
      <c r="G44" s="7" t="s">
        <v>690</v>
      </c>
      <c r="H44" s="7" t="s">
        <v>33</v>
      </c>
      <c r="I44" s="7" t="s">
        <v>691</v>
      </c>
      <c r="J44" s="7" t="s">
        <v>692</v>
      </c>
      <c r="K44" s="7" t="s">
        <v>693</v>
      </c>
      <c r="L44" s="7" t="s">
        <v>694</v>
      </c>
      <c r="M44" s="7" t="s">
        <v>668</v>
      </c>
      <c r="N44" s="8">
        <v>5</v>
      </c>
      <c r="O44" s="7" t="s">
        <v>24</v>
      </c>
      <c r="P44" s="7" t="s">
        <v>669</v>
      </c>
      <c r="Q44" s="7" t="s">
        <v>670</v>
      </c>
      <c r="R44" s="7" t="s">
        <v>671</v>
      </c>
      <c r="S44" s="8">
        <v>5</v>
      </c>
      <c r="T44" s="7" t="s">
        <v>695</v>
      </c>
      <c r="U44" s="7" t="s">
        <v>696</v>
      </c>
      <c r="V44" s="7" t="s">
        <v>697</v>
      </c>
      <c r="W44" s="7"/>
      <c r="X44" t="s">
        <v>274</v>
      </c>
      <c r="Y44" t="s">
        <v>698</v>
      </c>
      <c r="Z44" t="s">
        <v>41</v>
      </c>
    </row>
    <row r="45" spans="1:27" ht="30" customHeight="1" x14ac:dyDescent="0.15">
      <c r="A45" s="7" t="s">
        <v>699</v>
      </c>
      <c r="B45" s="7" t="s">
        <v>700</v>
      </c>
      <c r="C45" s="7" t="s">
        <v>98</v>
      </c>
      <c r="D45" s="7" t="s">
        <v>241</v>
      </c>
      <c r="E45" s="7" t="s">
        <v>278</v>
      </c>
      <c r="F45" s="7" t="s">
        <v>662</v>
      </c>
      <c r="G45" s="7" t="s">
        <v>701</v>
      </c>
      <c r="H45" s="7" t="s">
        <v>33</v>
      </c>
      <c r="I45" s="7" t="s">
        <v>702</v>
      </c>
      <c r="J45" s="7" t="s">
        <v>703</v>
      </c>
      <c r="K45" s="7" t="s">
        <v>704</v>
      </c>
      <c r="L45" s="7" t="s">
        <v>705</v>
      </c>
      <c r="M45" s="7" t="s">
        <v>301</v>
      </c>
      <c r="N45" s="8">
        <v>4</v>
      </c>
      <c r="O45" s="7" t="s">
        <v>24</v>
      </c>
      <c r="P45" s="7" t="s">
        <v>669</v>
      </c>
      <c r="Q45" s="7" t="s">
        <v>670</v>
      </c>
      <c r="R45" s="7" t="s">
        <v>671</v>
      </c>
      <c r="S45" s="8">
        <v>5</v>
      </c>
      <c r="T45" s="7" t="s">
        <v>706</v>
      </c>
      <c r="U45" s="7" t="s">
        <v>707</v>
      </c>
      <c r="V45" s="7" t="s">
        <v>708</v>
      </c>
      <c r="W45" s="7"/>
      <c r="X45" t="s">
        <v>274</v>
      </c>
      <c r="Y45" t="s">
        <v>709</v>
      </c>
      <c r="Z45" t="s">
        <v>42</v>
      </c>
    </row>
    <row r="46" spans="1:27" ht="30" customHeight="1" x14ac:dyDescent="0.15">
      <c r="A46" s="7" t="s">
        <v>710</v>
      </c>
      <c r="B46" s="7" t="s">
        <v>711</v>
      </c>
      <c r="C46" s="7" t="s">
        <v>176</v>
      </c>
      <c r="D46" s="7" t="s">
        <v>712</v>
      </c>
      <c r="E46" s="7" t="s">
        <v>713</v>
      </c>
      <c r="F46" s="7" t="s">
        <v>714</v>
      </c>
      <c r="G46" s="7" t="s">
        <v>715</v>
      </c>
      <c r="H46" s="7" t="s">
        <v>35</v>
      </c>
      <c r="I46" s="7" t="s">
        <v>716</v>
      </c>
      <c r="J46" s="7" t="s">
        <v>717</v>
      </c>
      <c r="K46" s="7" t="s">
        <v>718</v>
      </c>
      <c r="L46" s="7" t="s">
        <v>719</v>
      </c>
      <c r="M46" s="7" t="s">
        <v>404</v>
      </c>
      <c r="N46" s="8">
        <v>4</v>
      </c>
      <c r="O46" s="7" t="s">
        <v>24</v>
      </c>
      <c r="P46" s="7" t="s">
        <v>720</v>
      </c>
      <c r="Q46" s="7" t="s">
        <v>721</v>
      </c>
      <c r="R46" s="7" t="s">
        <v>722</v>
      </c>
      <c r="S46" s="8">
        <v>4</v>
      </c>
      <c r="T46" s="7" t="s">
        <v>723</v>
      </c>
      <c r="U46" s="7" t="s">
        <v>724</v>
      </c>
      <c r="V46" s="7" t="s">
        <v>725</v>
      </c>
      <c r="W46" s="7"/>
      <c r="X46" t="s">
        <v>274</v>
      </c>
      <c r="Y46" t="s">
        <v>726</v>
      </c>
      <c r="Z46" t="s">
        <v>41</v>
      </c>
    </row>
    <row r="47" spans="1:27" ht="30" customHeight="1" x14ac:dyDescent="0.15">
      <c r="A47" s="7" t="s">
        <v>727</v>
      </c>
      <c r="B47" s="7" t="s">
        <v>728</v>
      </c>
      <c r="C47" s="7" t="s">
        <v>98</v>
      </c>
      <c r="D47" s="7" t="s">
        <v>512</v>
      </c>
      <c r="E47" s="7" t="s">
        <v>598</v>
      </c>
      <c r="F47" s="7" t="s">
        <v>729</v>
      </c>
      <c r="G47" s="7" t="s">
        <v>730</v>
      </c>
      <c r="H47" s="7" t="s">
        <v>35</v>
      </c>
      <c r="I47" s="7" t="s">
        <v>731</v>
      </c>
      <c r="J47" s="7" t="s">
        <v>732</v>
      </c>
      <c r="K47" s="7" t="s">
        <v>733</v>
      </c>
      <c r="L47" s="7" t="s">
        <v>734</v>
      </c>
      <c r="M47" s="7" t="s">
        <v>404</v>
      </c>
      <c r="N47" s="8">
        <v>3</v>
      </c>
      <c r="O47" s="7" t="s">
        <v>24</v>
      </c>
      <c r="P47" s="7" t="s">
        <v>720</v>
      </c>
      <c r="Q47" s="7" t="s">
        <v>721</v>
      </c>
      <c r="R47" s="7" t="s">
        <v>722</v>
      </c>
      <c r="S47" s="8">
        <v>5</v>
      </c>
      <c r="T47" s="7" t="s">
        <v>735</v>
      </c>
      <c r="U47" s="7" t="s">
        <v>736</v>
      </c>
      <c r="V47" s="7" t="s">
        <v>737</v>
      </c>
      <c r="W47" s="7"/>
      <c r="X47" t="s">
        <v>608</v>
      </c>
      <c r="Y47" t="s">
        <v>726</v>
      </c>
      <c r="Z47" t="s">
        <v>41</v>
      </c>
    </row>
    <row r="48" spans="1:27" ht="45" customHeight="1" x14ac:dyDescent="0.15">
      <c r="A48" s="7" t="s">
        <v>738</v>
      </c>
      <c r="B48" s="7" t="s">
        <v>739</v>
      </c>
      <c r="C48" s="7" t="s">
        <v>77</v>
      </c>
      <c r="D48" s="7" t="s">
        <v>740</v>
      </c>
      <c r="E48" s="7" t="s">
        <v>741</v>
      </c>
      <c r="F48" s="7" t="s">
        <v>679</v>
      </c>
      <c r="G48" s="7" t="s">
        <v>742</v>
      </c>
      <c r="H48" s="7" t="s">
        <v>33</v>
      </c>
      <c r="I48" s="7" t="s">
        <v>743</v>
      </c>
      <c r="J48" s="7" t="s">
        <v>744</v>
      </c>
      <c r="K48" s="7" t="s">
        <v>745</v>
      </c>
      <c r="L48" s="7" t="s">
        <v>746</v>
      </c>
      <c r="M48" s="7" t="s">
        <v>668</v>
      </c>
      <c r="N48" s="8">
        <v>5</v>
      </c>
      <c r="O48" s="7" t="s">
        <v>24</v>
      </c>
      <c r="P48" s="7" t="s">
        <v>546</v>
      </c>
      <c r="Q48" s="7" t="s">
        <v>547</v>
      </c>
      <c r="R48" s="7" t="s">
        <v>548</v>
      </c>
      <c r="S48" s="8">
        <v>5</v>
      </c>
      <c r="T48" s="7" t="s">
        <v>747</v>
      </c>
      <c r="U48" s="7" t="s">
        <v>748</v>
      </c>
      <c r="V48" s="7" t="s">
        <v>749</v>
      </c>
      <c r="W48" s="7"/>
      <c r="Y48" t="s">
        <v>750</v>
      </c>
      <c r="Z48" t="s">
        <v>46</v>
      </c>
    </row>
    <row r="49" spans="1:27" ht="45" customHeight="1" x14ac:dyDescent="0.15">
      <c r="A49" s="7" t="s">
        <v>751</v>
      </c>
      <c r="B49" s="7" t="s">
        <v>752</v>
      </c>
      <c r="C49" s="7" t="s">
        <v>98</v>
      </c>
      <c r="D49" s="7" t="s">
        <v>753</v>
      </c>
      <c r="E49" s="7" t="s">
        <v>753</v>
      </c>
      <c r="F49" s="7" t="s">
        <v>754</v>
      </c>
      <c r="G49" s="7" t="s">
        <v>755</v>
      </c>
      <c r="H49" s="7" t="s">
        <v>35</v>
      </c>
      <c r="I49" s="7" t="s">
        <v>756</v>
      </c>
      <c r="J49" s="7" t="s">
        <v>757</v>
      </c>
      <c r="K49" s="7" t="s">
        <v>758</v>
      </c>
      <c r="L49" s="7" t="s">
        <v>759</v>
      </c>
      <c r="M49" s="7" t="s">
        <v>760</v>
      </c>
      <c r="N49" s="8">
        <v>3</v>
      </c>
      <c r="O49" s="7" t="s">
        <v>24</v>
      </c>
      <c r="P49" s="7" t="s">
        <v>720</v>
      </c>
      <c r="Q49" s="7" t="s">
        <v>721</v>
      </c>
      <c r="R49" s="7" t="s">
        <v>722</v>
      </c>
      <c r="S49" s="8">
        <v>4</v>
      </c>
      <c r="T49" s="7" t="s">
        <v>761</v>
      </c>
      <c r="U49" s="7" t="s">
        <v>762</v>
      </c>
      <c r="V49" s="7" t="s">
        <v>763</v>
      </c>
      <c r="W49" s="7" t="s">
        <v>764</v>
      </c>
      <c r="Y49" t="s">
        <v>765</v>
      </c>
      <c r="Z49" t="s">
        <v>41</v>
      </c>
    </row>
    <row r="50" spans="1:27" ht="45.75" customHeight="1" x14ac:dyDescent="0.15">
      <c r="A50" s="5" t="s">
        <v>766</v>
      </c>
      <c r="B50" s="5" t="s">
        <v>767</v>
      </c>
      <c r="C50" s="5" t="s">
        <v>98</v>
      </c>
      <c r="D50" s="5" t="s">
        <v>241</v>
      </c>
      <c r="E50" s="5" t="s">
        <v>768</v>
      </c>
      <c r="F50" s="5" t="s">
        <v>769</v>
      </c>
      <c r="G50" s="5" t="s">
        <v>770</v>
      </c>
      <c r="H50" s="5" t="s">
        <v>27</v>
      </c>
      <c r="I50" s="5" t="s">
        <v>771</v>
      </c>
      <c r="J50" s="5" t="s">
        <v>772</v>
      </c>
      <c r="K50" s="5" t="s">
        <v>773</v>
      </c>
      <c r="L50" s="5" t="s">
        <v>774</v>
      </c>
      <c r="M50" s="5" t="s">
        <v>333</v>
      </c>
      <c r="N50" s="5">
        <v>5</v>
      </c>
      <c r="O50" s="5" t="s">
        <v>26</v>
      </c>
      <c r="P50" s="5" t="s">
        <v>775</v>
      </c>
      <c r="Q50" s="5" t="s">
        <v>776</v>
      </c>
      <c r="R50" s="5" t="s">
        <v>777</v>
      </c>
      <c r="S50" s="5">
        <v>5</v>
      </c>
      <c r="T50" s="5" t="s">
        <v>778</v>
      </c>
      <c r="U50" s="5" t="s">
        <v>779</v>
      </c>
      <c r="V50" s="5" t="s">
        <v>780</v>
      </c>
      <c r="W50" s="5" t="s">
        <v>781</v>
      </c>
      <c r="X50" s="5" t="s">
        <v>274</v>
      </c>
      <c r="Y50" s="5" t="s">
        <v>782</v>
      </c>
      <c r="Z50" s="5" t="s">
        <v>41</v>
      </c>
      <c r="AA50" t="s">
        <v>95</v>
      </c>
    </row>
    <row r="51" spans="1:27" ht="45.75" customHeight="1" x14ac:dyDescent="0.15">
      <c r="A51" s="5" t="s">
        <v>783</v>
      </c>
      <c r="B51" s="5" t="s">
        <v>784</v>
      </c>
      <c r="C51" s="5" t="s">
        <v>98</v>
      </c>
      <c r="D51" s="5" t="s">
        <v>241</v>
      </c>
      <c r="E51" s="5" t="s">
        <v>785</v>
      </c>
      <c r="F51" s="5" t="s">
        <v>786</v>
      </c>
      <c r="G51" s="5" t="s">
        <v>787</v>
      </c>
      <c r="H51" s="5" t="s">
        <v>27</v>
      </c>
      <c r="I51" s="5" t="s">
        <v>788</v>
      </c>
      <c r="J51" s="5" t="s">
        <v>789</v>
      </c>
      <c r="K51" s="5" t="s">
        <v>790</v>
      </c>
      <c r="L51" s="5" t="s">
        <v>791</v>
      </c>
      <c r="M51" s="5" t="s">
        <v>47</v>
      </c>
      <c r="N51" s="5">
        <v>4</v>
      </c>
      <c r="O51" s="5" t="s">
        <v>26</v>
      </c>
      <c r="P51" s="5" t="s">
        <v>775</v>
      </c>
      <c r="Q51" s="5" t="s">
        <v>776</v>
      </c>
      <c r="R51" s="5" t="s">
        <v>777</v>
      </c>
      <c r="S51" s="5">
        <v>4</v>
      </c>
      <c r="T51" s="5" t="s">
        <v>792</v>
      </c>
      <c r="U51" s="5" t="s">
        <v>793</v>
      </c>
      <c r="V51" s="5" t="s">
        <v>794</v>
      </c>
      <c r="W51" s="5" t="s">
        <v>795</v>
      </c>
      <c r="X51" s="5" t="s">
        <v>796</v>
      </c>
      <c r="Y51" s="5" t="s">
        <v>797</v>
      </c>
      <c r="Z51" s="5" t="s">
        <v>47</v>
      </c>
    </row>
    <row r="52" spans="1:27" ht="34.5" customHeight="1" x14ac:dyDescent="0.15">
      <c r="A52" s="5" t="s">
        <v>798</v>
      </c>
      <c r="B52" s="5" t="s">
        <v>799</v>
      </c>
      <c r="C52" s="5" t="s">
        <v>98</v>
      </c>
      <c r="D52" s="5" t="s">
        <v>241</v>
      </c>
      <c r="E52" s="5" t="s">
        <v>278</v>
      </c>
      <c r="F52" s="5" t="s">
        <v>800</v>
      </c>
      <c r="G52" s="5" t="s">
        <v>801</v>
      </c>
      <c r="H52" s="5" t="s">
        <v>27</v>
      </c>
      <c r="I52" s="5" t="s">
        <v>802</v>
      </c>
      <c r="J52" s="5" t="s">
        <v>803</v>
      </c>
      <c r="K52" s="5" t="s">
        <v>804</v>
      </c>
      <c r="L52" s="5" t="s">
        <v>805</v>
      </c>
      <c r="M52" s="5" t="s">
        <v>333</v>
      </c>
      <c r="N52" s="5">
        <v>5</v>
      </c>
      <c r="O52" s="5" t="s">
        <v>26</v>
      </c>
      <c r="P52" s="5" t="s">
        <v>806</v>
      </c>
      <c r="Q52" s="5" t="s">
        <v>807</v>
      </c>
      <c r="R52" s="5" t="s">
        <v>808</v>
      </c>
      <c r="S52" s="5">
        <v>5</v>
      </c>
      <c r="T52" s="5" t="s">
        <v>809</v>
      </c>
      <c r="U52" s="5" t="s">
        <v>810</v>
      </c>
      <c r="V52" s="5" t="s">
        <v>811</v>
      </c>
      <c r="W52" s="5"/>
      <c r="X52" s="5" t="s">
        <v>274</v>
      </c>
      <c r="Y52" s="5" t="s">
        <v>812</v>
      </c>
      <c r="Z52" s="5" t="s">
        <v>41</v>
      </c>
    </row>
    <row r="53" spans="1:27" ht="34.5" customHeight="1" x14ac:dyDescent="0.15">
      <c r="A53" s="5" t="s">
        <v>813</v>
      </c>
      <c r="B53" s="5" t="s">
        <v>799</v>
      </c>
      <c r="C53" s="5" t="s">
        <v>98</v>
      </c>
      <c r="D53" s="5" t="s">
        <v>814</v>
      </c>
      <c r="E53" s="5" t="s">
        <v>815</v>
      </c>
      <c r="F53" s="5" t="s">
        <v>816</v>
      </c>
      <c r="G53" s="5" t="s">
        <v>817</v>
      </c>
      <c r="H53" s="5" t="s">
        <v>27</v>
      </c>
      <c r="I53" s="5" t="s">
        <v>818</v>
      </c>
      <c r="J53" s="5" t="s">
        <v>819</v>
      </c>
      <c r="K53" s="5" t="s">
        <v>820</v>
      </c>
      <c r="L53" s="5" t="s">
        <v>821</v>
      </c>
      <c r="M53" s="5" t="s">
        <v>668</v>
      </c>
      <c r="N53" s="5">
        <v>5</v>
      </c>
      <c r="O53" s="5" t="s">
        <v>26</v>
      </c>
      <c r="P53" s="5" t="s">
        <v>822</v>
      </c>
      <c r="Q53" s="5" t="s">
        <v>823</v>
      </c>
      <c r="R53" s="5" t="s">
        <v>824</v>
      </c>
      <c r="S53" s="5">
        <v>5</v>
      </c>
      <c r="T53" s="5" t="s">
        <v>825</v>
      </c>
      <c r="U53" s="5" t="s">
        <v>826</v>
      </c>
      <c r="V53" s="5" t="s">
        <v>827</v>
      </c>
      <c r="W53" s="5"/>
      <c r="X53" s="5" t="s">
        <v>274</v>
      </c>
      <c r="Y53" s="5" t="s">
        <v>828</v>
      </c>
      <c r="Z53" s="5" t="s">
        <v>45</v>
      </c>
    </row>
    <row r="54" spans="1:27" ht="45.75" customHeight="1" x14ac:dyDescent="0.15">
      <c r="A54" s="5" t="s">
        <v>829</v>
      </c>
      <c r="B54" s="5" t="s">
        <v>830</v>
      </c>
      <c r="C54" s="5" t="s">
        <v>77</v>
      </c>
      <c r="D54" s="5" t="s">
        <v>740</v>
      </c>
      <c r="E54" s="5" t="s">
        <v>831</v>
      </c>
      <c r="F54" s="5" t="s">
        <v>832</v>
      </c>
      <c r="G54" s="5" t="s">
        <v>833</v>
      </c>
      <c r="H54" s="5" t="s">
        <v>27</v>
      </c>
      <c r="I54" s="5" t="s">
        <v>834</v>
      </c>
      <c r="J54" s="5" t="s">
        <v>835</v>
      </c>
      <c r="K54" s="5" t="s">
        <v>836</v>
      </c>
      <c r="L54" s="5" t="s">
        <v>837</v>
      </c>
      <c r="M54" s="5" t="s">
        <v>333</v>
      </c>
      <c r="N54" s="5">
        <v>4</v>
      </c>
      <c r="O54" s="5" t="s">
        <v>26</v>
      </c>
      <c r="P54" s="5" t="s">
        <v>838</v>
      </c>
      <c r="Q54" s="5" t="s">
        <v>839</v>
      </c>
      <c r="R54" s="5" t="s">
        <v>840</v>
      </c>
      <c r="S54" s="5">
        <v>4</v>
      </c>
      <c r="T54" s="5" t="s">
        <v>841</v>
      </c>
      <c r="U54" s="5" t="s">
        <v>842</v>
      </c>
      <c r="V54" s="5" t="s">
        <v>843</v>
      </c>
      <c r="W54" s="5"/>
      <c r="X54" s="5"/>
      <c r="Y54" s="5" t="s">
        <v>844</v>
      </c>
      <c r="Z54" s="5" t="s">
        <v>49</v>
      </c>
    </row>
    <row r="55" spans="1:27" ht="34.5" customHeight="1" x14ac:dyDescent="0.15">
      <c r="A55" s="5" t="s">
        <v>845</v>
      </c>
      <c r="B55" s="5" t="s">
        <v>846</v>
      </c>
      <c r="C55" s="5" t="s">
        <v>98</v>
      </c>
      <c r="D55" s="5" t="s">
        <v>512</v>
      </c>
      <c r="E55" s="5" t="s">
        <v>847</v>
      </c>
      <c r="F55" s="5" t="s">
        <v>848</v>
      </c>
      <c r="G55" s="5" t="s">
        <v>849</v>
      </c>
      <c r="H55" s="5" t="s">
        <v>27</v>
      </c>
      <c r="I55" s="5" t="s">
        <v>850</v>
      </c>
      <c r="J55" s="5" t="s">
        <v>851</v>
      </c>
      <c r="K55" s="5" t="s">
        <v>852</v>
      </c>
      <c r="L55" s="5" t="s">
        <v>853</v>
      </c>
      <c r="M55" s="5" t="s">
        <v>47</v>
      </c>
      <c r="N55" s="5">
        <v>4</v>
      </c>
      <c r="O55" s="5" t="s">
        <v>26</v>
      </c>
      <c r="P55" s="5" t="s">
        <v>854</v>
      </c>
      <c r="Q55" s="5" t="s">
        <v>855</v>
      </c>
      <c r="R55" s="5" t="s">
        <v>856</v>
      </c>
      <c r="S55" s="5">
        <v>5</v>
      </c>
      <c r="T55" s="5" t="s">
        <v>857</v>
      </c>
      <c r="U55" s="5" t="s">
        <v>858</v>
      </c>
      <c r="V55" s="5" t="s">
        <v>859</v>
      </c>
      <c r="W55" s="5"/>
      <c r="X55" s="5" t="s">
        <v>860</v>
      </c>
      <c r="Y55" s="5" t="s">
        <v>861</v>
      </c>
      <c r="Z55" s="5" t="s">
        <v>47</v>
      </c>
    </row>
    <row r="56" spans="1:27" ht="34.5" customHeight="1" x14ac:dyDescent="0.15">
      <c r="A56" s="5" t="s">
        <v>862</v>
      </c>
      <c r="B56" s="5" t="s">
        <v>863</v>
      </c>
      <c r="C56" s="5" t="s">
        <v>414</v>
      </c>
      <c r="D56" s="5" t="s">
        <v>512</v>
      </c>
      <c r="E56" s="5" t="s">
        <v>847</v>
      </c>
      <c r="F56" s="5" t="s">
        <v>864</v>
      </c>
      <c r="G56" s="5" t="s">
        <v>865</v>
      </c>
      <c r="H56" s="5" t="s">
        <v>27</v>
      </c>
      <c r="I56" s="5" t="s">
        <v>866</v>
      </c>
      <c r="J56" s="5" t="s">
        <v>867</v>
      </c>
      <c r="K56" s="5" t="s">
        <v>868</v>
      </c>
      <c r="L56" s="5" t="s">
        <v>869</v>
      </c>
      <c r="M56" s="5" t="s">
        <v>47</v>
      </c>
      <c r="N56" s="5">
        <v>4</v>
      </c>
      <c r="O56" s="5" t="s">
        <v>26</v>
      </c>
      <c r="P56" s="5" t="s">
        <v>870</v>
      </c>
      <c r="Q56" s="5" t="s">
        <v>871</v>
      </c>
      <c r="R56" s="5" t="s">
        <v>872</v>
      </c>
      <c r="S56" s="5">
        <v>5</v>
      </c>
      <c r="T56" s="5" t="s">
        <v>873</v>
      </c>
      <c r="U56" s="5" t="s">
        <v>874</v>
      </c>
      <c r="V56" s="5" t="s">
        <v>875</v>
      </c>
      <c r="W56" s="5"/>
      <c r="X56" s="5" t="s">
        <v>860</v>
      </c>
      <c r="Y56" s="5" t="s">
        <v>876</v>
      </c>
      <c r="Z56" s="5" t="s">
        <v>47</v>
      </c>
    </row>
    <row r="57" spans="1:27" ht="34.5" customHeight="1" x14ac:dyDescent="0.15">
      <c r="A57" s="5" t="s">
        <v>877</v>
      </c>
      <c r="B57" s="5" t="s">
        <v>878</v>
      </c>
      <c r="C57" s="5" t="s">
        <v>77</v>
      </c>
      <c r="D57" s="5" t="s">
        <v>740</v>
      </c>
      <c r="E57" s="5" t="s">
        <v>831</v>
      </c>
      <c r="F57" s="5" t="s">
        <v>879</v>
      </c>
      <c r="G57" s="5" t="s">
        <v>880</v>
      </c>
      <c r="H57" s="5" t="s">
        <v>27</v>
      </c>
      <c r="I57" s="5" t="s">
        <v>881</v>
      </c>
      <c r="J57" s="5" t="s">
        <v>882</v>
      </c>
      <c r="K57" s="5" t="s">
        <v>883</v>
      </c>
      <c r="L57" s="5" t="s">
        <v>884</v>
      </c>
      <c r="M57" s="5" t="s">
        <v>668</v>
      </c>
      <c r="N57" s="5">
        <v>4</v>
      </c>
      <c r="O57" s="5" t="s">
        <v>26</v>
      </c>
      <c r="P57" s="5" t="s">
        <v>885</v>
      </c>
      <c r="Q57" s="5" t="s">
        <v>886</v>
      </c>
      <c r="R57" s="5" t="s">
        <v>887</v>
      </c>
      <c r="S57" s="5">
        <v>5</v>
      </c>
      <c r="T57" s="5" t="s">
        <v>888</v>
      </c>
      <c r="U57" s="5" t="s">
        <v>889</v>
      </c>
      <c r="V57" s="5" t="s">
        <v>890</v>
      </c>
      <c r="W57" s="5"/>
      <c r="X57" s="5"/>
      <c r="Y57" s="5" t="s">
        <v>891</v>
      </c>
      <c r="Z57" s="5" t="s">
        <v>50</v>
      </c>
    </row>
    <row r="58" spans="1:27" ht="45.75" customHeight="1" x14ac:dyDescent="0.15">
      <c r="A58" s="5" t="s">
        <v>892</v>
      </c>
      <c r="B58" s="5" t="s">
        <v>893</v>
      </c>
      <c r="C58" s="5" t="s">
        <v>77</v>
      </c>
      <c r="D58" s="5" t="s">
        <v>740</v>
      </c>
      <c r="E58" s="5" t="s">
        <v>831</v>
      </c>
      <c r="F58" s="5" t="s">
        <v>894</v>
      </c>
      <c r="G58" s="5" t="s">
        <v>895</v>
      </c>
      <c r="H58" s="5" t="s">
        <v>27</v>
      </c>
      <c r="I58" s="5" t="s">
        <v>896</v>
      </c>
      <c r="J58" s="5" t="s">
        <v>897</v>
      </c>
      <c r="K58" s="5" t="s">
        <v>898</v>
      </c>
      <c r="L58" s="5" t="s">
        <v>899</v>
      </c>
      <c r="M58" s="5" t="s">
        <v>333</v>
      </c>
      <c r="N58" s="5">
        <v>5</v>
      </c>
      <c r="O58" s="5" t="s">
        <v>26</v>
      </c>
      <c r="P58" s="5" t="s">
        <v>900</v>
      </c>
      <c r="Q58" s="5" t="s">
        <v>901</v>
      </c>
      <c r="R58" s="5" t="s">
        <v>902</v>
      </c>
      <c r="S58" s="5">
        <v>5</v>
      </c>
      <c r="T58" s="5" t="s">
        <v>903</v>
      </c>
      <c r="U58" s="5" t="s">
        <v>904</v>
      </c>
      <c r="V58" s="5" t="s">
        <v>905</v>
      </c>
      <c r="W58" s="5"/>
      <c r="X58" s="5"/>
      <c r="Y58" s="5" t="s">
        <v>906</v>
      </c>
      <c r="Z58" s="5" t="s">
        <v>45</v>
      </c>
    </row>
    <row r="59" spans="1:27" ht="45.75" customHeight="1" x14ac:dyDescent="0.15">
      <c r="A59" s="5" t="s">
        <v>907</v>
      </c>
      <c r="B59" s="5" t="s">
        <v>893</v>
      </c>
      <c r="C59" s="5" t="s">
        <v>77</v>
      </c>
      <c r="D59" s="5" t="s">
        <v>753</v>
      </c>
      <c r="E59" s="5" t="s">
        <v>908</v>
      </c>
      <c r="F59" s="5" t="s">
        <v>909</v>
      </c>
      <c r="G59" s="5" t="s">
        <v>910</v>
      </c>
      <c r="H59" s="5" t="s">
        <v>27</v>
      </c>
      <c r="I59" s="5" t="s">
        <v>911</v>
      </c>
      <c r="J59" s="5" t="s">
        <v>912</v>
      </c>
      <c r="K59" s="5" t="s">
        <v>913</v>
      </c>
      <c r="L59" s="5" t="s">
        <v>914</v>
      </c>
      <c r="M59" s="5" t="s">
        <v>45</v>
      </c>
      <c r="N59" s="5">
        <v>5</v>
      </c>
      <c r="O59" s="5" t="s">
        <v>26</v>
      </c>
      <c r="P59" s="5" t="s">
        <v>854</v>
      </c>
      <c r="Q59" s="5" t="s">
        <v>855</v>
      </c>
      <c r="R59" s="5" t="s">
        <v>856</v>
      </c>
      <c r="S59" s="5">
        <v>4</v>
      </c>
      <c r="T59" s="5" t="s">
        <v>915</v>
      </c>
      <c r="U59" s="5" t="s">
        <v>916</v>
      </c>
      <c r="V59" s="5" t="s">
        <v>917</v>
      </c>
      <c r="W59" s="5" t="s">
        <v>918</v>
      </c>
      <c r="X59" s="5" t="s">
        <v>860</v>
      </c>
      <c r="Y59" s="5" t="s">
        <v>919</v>
      </c>
      <c r="Z59" s="5" t="s">
        <v>45</v>
      </c>
    </row>
    <row r="60" spans="1:27" ht="12.75" customHeight="1" x14ac:dyDescent="0.15">
      <c r="A60" s="11" t="s">
        <v>920</v>
      </c>
      <c r="B60" s="11" t="s">
        <v>921</v>
      </c>
      <c r="C60" s="11" t="s">
        <v>98</v>
      </c>
      <c r="D60" s="11" t="s">
        <v>512</v>
      </c>
      <c r="E60" s="11" t="s">
        <v>847</v>
      </c>
      <c r="F60" s="11" t="s">
        <v>922</v>
      </c>
      <c r="G60" s="11" t="s">
        <v>923</v>
      </c>
      <c r="H60" s="11" t="s">
        <v>27</v>
      </c>
      <c r="I60" s="11" t="s">
        <v>924</v>
      </c>
      <c r="J60" s="11" t="s">
        <v>925</v>
      </c>
      <c r="K60" s="11" t="s">
        <v>926</v>
      </c>
      <c r="L60" s="11" t="s">
        <v>927</v>
      </c>
      <c r="M60" s="11" t="s">
        <v>45</v>
      </c>
      <c r="N60" s="11">
        <v>4</v>
      </c>
      <c r="O60" s="11" t="s">
        <v>28</v>
      </c>
      <c r="P60" s="11" t="s">
        <v>854</v>
      </c>
      <c r="Q60" s="11" t="s">
        <v>855</v>
      </c>
      <c r="R60" s="11" t="s">
        <v>856</v>
      </c>
      <c r="S60" s="11">
        <v>4</v>
      </c>
      <c r="T60" s="11" t="s">
        <v>928</v>
      </c>
      <c r="U60" s="11" t="s">
        <v>929</v>
      </c>
      <c r="V60" s="11" t="s">
        <v>930</v>
      </c>
      <c r="W60" s="11" t="s">
        <v>931</v>
      </c>
      <c r="X60" s="11" t="s">
        <v>860</v>
      </c>
      <c r="Y60" s="11" t="s">
        <v>932</v>
      </c>
      <c r="Z60" s="11" t="s">
        <v>45</v>
      </c>
      <c r="AA60" s="11"/>
    </row>
    <row r="61" spans="1:27" ht="12.75" customHeight="1" x14ac:dyDescent="0.15">
      <c r="A61" s="11" t="s">
        <v>933</v>
      </c>
      <c r="B61" s="11" t="s">
        <v>934</v>
      </c>
      <c r="C61" s="11" t="s">
        <v>98</v>
      </c>
      <c r="D61" s="11" t="s">
        <v>512</v>
      </c>
      <c r="E61" s="11" t="s">
        <v>847</v>
      </c>
      <c r="F61" s="11" t="s">
        <v>935</v>
      </c>
      <c r="G61" s="11" t="s">
        <v>936</v>
      </c>
      <c r="H61" s="11" t="s">
        <v>27</v>
      </c>
      <c r="I61" s="11" t="s">
        <v>937</v>
      </c>
      <c r="J61" s="11" t="s">
        <v>938</v>
      </c>
      <c r="K61" s="11" t="s">
        <v>939</v>
      </c>
      <c r="L61" s="11" t="s">
        <v>940</v>
      </c>
      <c r="M61" s="11" t="s">
        <v>333</v>
      </c>
      <c r="N61" s="11">
        <v>5</v>
      </c>
      <c r="O61" s="11" t="s">
        <v>28</v>
      </c>
      <c r="P61" s="11" t="s">
        <v>941</v>
      </c>
      <c r="Q61" s="11" t="s">
        <v>942</v>
      </c>
      <c r="R61" s="11" t="s">
        <v>943</v>
      </c>
      <c r="S61" s="11">
        <v>5</v>
      </c>
      <c r="T61" s="11" t="s">
        <v>944</v>
      </c>
      <c r="U61" s="11" t="s">
        <v>945</v>
      </c>
      <c r="V61" s="11" t="s">
        <v>946</v>
      </c>
      <c r="W61" s="11"/>
      <c r="X61" s="11" t="s">
        <v>860</v>
      </c>
      <c r="Y61" s="11" t="s">
        <v>947</v>
      </c>
      <c r="Z61" s="11" t="s">
        <v>42</v>
      </c>
      <c r="AA61" s="11"/>
    </row>
    <row r="62" spans="1:27" ht="12.75" customHeight="1" x14ac:dyDescent="0.15">
      <c r="A62" s="11" t="s">
        <v>948</v>
      </c>
      <c r="B62" s="11" t="s">
        <v>934</v>
      </c>
      <c r="C62" s="11" t="s">
        <v>98</v>
      </c>
      <c r="D62" s="11" t="s">
        <v>512</v>
      </c>
      <c r="E62" s="11" t="s">
        <v>847</v>
      </c>
      <c r="F62" s="11" t="s">
        <v>922</v>
      </c>
      <c r="G62" s="11" t="s">
        <v>949</v>
      </c>
      <c r="H62" s="11" t="s">
        <v>27</v>
      </c>
      <c r="I62" s="11" t="s">
        <v>950</v>
      </c>
      <c r="J62" s="11" t="s">
        <v>951</v>
      </c>
      <c r="K62" s="11" t="s">
        <v>937</v>
      </c>
      <c r="L62" s="11" t="s">
        <v>952</v>
      </c>
      <c r="M62" s="11" t="s">
        <v>301</v>
      </c>
      <c r="N62" s="11">
        <v>4</v>
      </c>
      <c r="O62" s="11" t="s">
        <v>28</v>
      </c>
      <c r="P62" s="11" t="s">
        <v>953</v>
      </c>
      <c r="Q62" s="11" t="s">
        <v>954</v>
      </c>
      <c r="R62" s="11" t="s">
        <v>955</v>
      </c>
      <c r="S62" s="11">
        <v>5</v>
      </c>
      <c r="T62" s="11" t="s">
        <v>956</v>
      </c>
      <c r="U62" s="11" t="s">
        <v>957</v>
      </c>
      <c r="V62" s="11" t="s">
        <v>958</v>
      </c>
      <c r="W62" s="11"/>
      <c r="X62" s="11" t="s">
        <v>860</v>
      </c>
      <c r="Y62" s="11" t="s">
        <v>959</v>
      </c>
      <c r="Z62" s="11" t="s">
        <v>41</v>
      </c>
      <c r="AA62" s="11"/>
    </row>
    <row r="63" spans="1:27" ht="12.75" customHeight="1" x14ac:dyDescent="0.15">
      <c r="A63" s="11" t="s">
        <v>960</v>
      </c>
      <c r="B63" s="11" t="s">
        <v>961</v>
      </c>
      <c r="C63" s="11" t="s">
        <v>98</v>
      </c>
      <c r="D63" s="11" t="s">
        <v>512</v>
      </c>
      <c r="E63" s="11" t="s">
        <v>962</v>
      </c>
      <c r="F63" s="11" t="s">
        <v>963</v>
      </c>
      <c r="G63" s="11" t="s">
        <v>964</v>
      </c>
      <c r="H63" s="11" t="s">
        <v>27</v>
      </c>
      <c r="I63" s="11" t="s">
        <v>965</v>
      </c>
      <c r="J63" s="11" t="s">
        <v>966</v>
      </c>
      <c r="K63" s="11" t="s">
        <v>967</v>
      </c>
      <c r="L63" s="11" t="s">
        <v>968</v>
      </c>
      <c r="M63" s="11" t="s">
        <v>404</v>
      </c>
      <c r="N63" s="11">
        <v>4</v>
      </c>
      <c r="O63" s="11" t="s">
        <v>28</v>
      </c>
      <c r="P63" s="11" t="s">
        <v>969</v>
      </c>
      <c r="Q63" s="11" t="s">
        <v>970</v>
      </c>
      <c r="R63" s="11" t="s">
        <v>971</v>
      </c>
      <c r="S63" s="11">
        <v>4</v>
      </c>
      <c r="T63" s="11" t="s">
        <v>972</v>
      </c>
      <c r="U63" s="11" t="s">
        <v>973</v>
      </c>
      <c r="V63" s="11" t="s">
        <v>974</v>
      </c>
      <c r="W63" s="11" t="s">
        <v>975</v>
      </c>
      <c r="X63" s="11" t="s">
        <v>976</v>
      </c>
      <c r="Y63" s="11" t="s">
        <v>977</v>
      </c>
      <c r="Z63" s="11" t="s">
        <v>41</v>
      </c>
      <c r="AA63" s="11"/>
    </row>
    <row r="64" spans="1:27" ht="12.75" customHeight="1" x14ac:dyDescent="0.15">
      <c r="A64" s="11" t="s">
        <v>978</v>
      </c>
      <c r="B64" s="11" t="s">
        <v>979</v>
      </c>
      <c r="C64" s="11" t="s">
        <v>98</v>
      </c>
      <c r="D64" s="11" t="s">
        <v>512</v>
      </c>
      <c r="E64" s="11" t="s">
        <v>847</v>
      </c>
      <c r="F64" s="11" t="s">
        <v>980</v>
      </c>
      <c r="G64" s="11" t="s">
        <v>981</v>
      </c>
      <c r="H64" s="11" t="s">
        <v>27</v>
      </c>
      <c r="I64" s="11" t="s">
        <v>982</v>
      </c>
      <c r="J64" s="11" t="s">
        <v>983</v>
      </c>
      <c r="K64" s="11" t="s">
        <v>984</v>
      </c>
      <c r="L64" s="11" t="s">
        <v>985</v>
      </c>
      <c r="M64" s="11" t="s">
        <v>333</v>
      </c>
      <c r="N64" s="11">
        <v>5</v>
      </c>
      <c r="O64" s="11" t="s">
        <v>28</v>
      </c>
      <c r="P64" s="11" t="s">
        <v>986</v>
      </c>
      <c r="Q64" s="11" t="s">
        <v>987</v>
      </c>
      <c r="R64" s="11" t="s">
        <v>988</v>
      </c>
      <c r="S64" s="11">
        <v>5</v>
      </c>
      <c r="T64" s="11" t="s">
        <v>989</v>
      </c>
      <c r="U64" s="11" t="s">
        <v>990</v>
      </c>
      <c r="V64" s="11" t="s">
        <v>991</v>
      </c>
      <c r="W64" s="11"/>
      <c r="X64" s="11" t="s">
        <v>860</v>
      </c>
      <c r="Y64" s="11" t="s">
        <v>992</v>
      </c>
      <c r="Z64" s="11" t="s">
        <v>50</v>
      </c>
      <c r="AA64" s="11" t="s">
        <v>95</v>
      </c>
    </row>
    <row r="65" spans="1:27" ht="12.75" customHeight="1" x14ac:dyDescent="0.15">
      <c r="A65" s="11" t="s">
        <v>993</v>
      </c>
      <c r="B65" s="11" t="s">
        <v>979</v>
      </c>
      <c r="C65" s="11" t="s">
        <v>98</v>
      </c>
      <c r="D65" s="11" t="s">
        <v>512</v>
      </c>
      <c r="E65" s="11" t="s">
        <v>847</v>
      </c>
      <c r="F65" s="11" t="s">
        <v>980</v>
      </c>
      <c r="G65" s="11" t="s">
        <v>994</v>
      </c>
      <c r="H65" s="11" t="s">
        <v>27</v>
      </c>
      <c r="I65" s="11" t="s">
        <v>995</v>
      </c>
      <c r="J65" s="11" t="s">
        <v>996</v>
      </c>
      <c r="K65" s="11" t="s">
        <v>997</v>
      </c>
      <c r="L65" s="11" t="s">
        <v>998</v>
      </c>
      <c r="M65" s="11" t="s">
        <v>47</v>
      </c>
      <c r="N65" s="11">
        <v>5</v>
      </c>
      <c r="O65" s="11" t="s">
        <v>28</v>
      </c>
      <c r="P65" s="11" t="s">
        <v>999</v>
      </c>
      <c r="Q65" s="11" t="s">
        <v>1000</v>
      </c>
      <c r="R65" s="11" t="s">
        <v>1001</v>
      </c>
      <c r="S65" s="11">
        <v>5</v>
      </c>
      <c r="T65" s="11" t="s">
        <v>1002</v>
      </c>
      <c r="U65" s="11" t="s">
        <v>1003</v>
      </c>
      <c r="V65" s="11" t="s">
        <v>1004</v>
      </c>
      <c r="W65" s="11"/>
      <c r="X65" s="11" t="s">
        <v>860</v>
      </c>
      <c r="Y65" s="11" t="s">
        <v>1005</v>
      </c>
      <c r="Z65" s="11" t="s">
        <v>47</v>
      </c>
      <c r="AA65" s="11"/>
    </row>
    <row r="66" spans="1:27" ht="12.75" customHeight="1" x14ac:dyDescent="0.15">
      <c r="A66" s="11" t="s">
        <v>1006</v>
      </c>
      <c r="B66" s="11" t="s">
        <v>1007</v>
      </c>
      <c r="C66" s="11" t="s">
        <v>414</v>
      </c>
      <c r="D66" s="11" t="s">
        <v>512</v>
      </c>
      <c r="E66" s="11" t="s">
        <v>847</v>
      </c>
      <c r="F66" s="11" t="s">
        <v>980</v>
      </c>
      <c r="G66" s="11" t="s">
        <v>1008</v>
      </c>
      <c r="H66" s="11" t="s">
        <v>27</v>
      </c>
      <c r="I66" s="11" t="s">
        <v>1009</v>
      </c>
      <c r="J66" s="11" t="s">
        <v>1010</v>
      </c>
      <c r="K66" s="11" t="s">
        <v>997</v>
      </c>
      <c r="L66" s="11" t="s">
        <v>1011</v>
      </c>
      <c r="M66" s="11" t="s">
        <v>47</v>
      </c>
      <c r="N66" s="11">
        <v>4</v>
      </c>
      <c r="O66" s="11" t="s">
        <v>28</v>
      </c>
      <c r="P66" s="11" t="s">
        <v>1012</v>
      </c>
      <c r="Q66" s="11" t="s">
        <v>1013</v>
      </c>
      <c r="R66" s="11" t="s">
        <v>1014</v>
      </c>
      <c r="S66" s="11">
        <v>5</v>
      </c>
      <c r="T66" s="11" t="s">
        <v>1015</v>
      </c>
      <c r="U66" s="11" t="s">
        <v>1016</v>
      </c>
      <c r="V66" s="11" t="s">
        <v>1017</v>
      </c>
      <c r="W66" s="11"/>
      <c r="X66" s="11" t="s">
        <v>860</v>
      </c>
      <c r="Y66" s="11" t="s">
        <v>1018</v>
      </c>
      <c r="Z66" s="11" t="s">
        <v>43</v>
      </c>
      <c r="AA66" s="11"/>
    </row>
    <row r="67" spans="1:27" ht="12.75" customHeight="1" x14ac:dyDescent="0.15">
      <c r="A67" s="11" t="s">
        <v>1019</v>
      </c>
      <c r="B67" s="11" t="s">
        <v>1020</v>
      </c>
      <c r="C67" s="11" t="s">
        <v>98</v>
      </c>
      <c r="D67" s="11" t="s">
        <v>512</v>
      </c>
      <c r="E67" s="11" t="s">
        <v>847</v>
      </c>
      <c r="F67" s="11" t="s">
        <v>1021</v>
      </c>
      <c r="G67" s="11" t="s">
        <v>1022</v>
      </c>
      <c r="H67" s="11" t="s">
        <v>27</v>
      </c>
      <c r="I67" s="11" t="s">
        <v>1023</v>
      </c>
      <c r="J67" s="11" t="s">
        <v>1024</v>
      </c>
      <c r="K67" s="11" t="s">
        <v>1025</v>
      </c>
      <c r="L67" s="11" t="s">
        <v>1026</v>
      </c>
      <c r="M67" s="11" t="s">
        <v>333</v>
      </c>
      <c r="N67" s="11">
        <v>5</v>
      </c>
      <c r="O67" s="11" t="s">
        <v>28</v>
      </c>
      <c r="P67" s="11" t="s">
        <v>1027</v>
      </c>
      <c r="Q67" s="11" t="s">
        <v>1028</v>
      </c>
      <c r="R67" s="11" t="s">
        <v>1029</v>
      </c>
      <c r="S67" s="11">
        <v>5</v>
      </c>
      <c r="T67" s="11" t="s">
        <v>1030</v>
      </c>
      <c r="U67" s="11" t="s">
        <v>1031</v>
      </c>
      <c r="V67" s="11" t="s">
        <v>1032</v>
      </c>
      <c r="W67" s="11"/>
      <c r="X67" s="11" t="s">
        <v>860</v>
      </c>
      <c r="Y67" s="11" t="s">
        <v>1033</v>
      </c>
      <c r="Z67" s="11" t="s">
        <v>41</v>
      </c>
      <c r="AA67" s="11"/>
    </row>
    <row r="68" spans="1:27" ht="12.75" customHeight="1" x14ac:dyDescent="0.15">
      <c r="A68" s="11" t="s">
        <v>1034</v>
      </c>
      <c r="B68" s="11" t="s">
        <v>1035</v>
      </c>
      <c r="C68" s="11" t="s">
        <v>98</v>
      </c>
      <c r="D68" s="11" t="s">
        <v>512</v>
      </c>
      <c r="E68" s="11" t="s">
        <v>847</v>
      </c>
      <c r="F68" s="11" t="s">
        <v>1036</v>
      </c>
      <c r="G68" s="11" t="s">
        <v>1037</v>
      </c>
      <c r="H68" s="11" t="s">
        <v>27</v>
      </c>
      <c r="I68" s="11" t="s">
        <v>1038</v>
      </c>
      <c r="J68" s="11" t="s">
        <v>1039</v>
      </c>
      <c r="K68" s="11" t="s">
        <v>1040</v>
      </c>
      <c r="L68" s="11" t="s">
        <v>1041</v>
      </c>
      <c r="M68" s="11" t="s">
        <v>333</v>
      </c>
      <c r="N68" s="11">
        <v>4</v>
      </c>
      <c r="O68" s="11" t="s">
        <v>28</v>
      </c>
      <c r="P68" s="11" t="s">
        <v>1042</v>
      </c>
      <c r="Q68" s="11" t="s">
        <v>1043</v>
      </c>
      <c r="R68" s="11" t="s">
        <v>1044</v>
      </c>
      <c r="S68" s="11">
        <v>5</v>
      </c>
      <c r="T68" s="11" t="s">
        <v>1045</v>
      </c>
      <c r="U68" s="11" t="s">
        <v>1046</v>
      </c>
      <c r="V68" s="11" t="s">
        <v>1047</v>
      </c>
      <c r="W68" s="11"/>
      <c r="X68" s="11" t="s">
        <v>860</v>
      </c>
      <c r="Y68" s="11" t="s">
        <v>1048</v>
      </c>
      <c r="Z68" s="11" t="s">
        <v>41</v>
      </c>
      <c r="AA68" s="11"/>
    </row>
    <row r="69" spans="1:27" ht="12.75" customHeight="1" x14ac:dyDescent="0.15">
      <c r="A69" s="11" t="s">
        <v>1049</v>
      </c>
      <c r="B69" s="11" t="s">
        <v>1050</v>
      </c>
      <c r="C69" s="11" t="s">
        <v>98</v>
      </c>
      <c r="D69" s="11" t="s">
        <v>512</v>
      </c>
      <c r="E69" s="11" t="s">
        <v>847</v>
      </c>
      <c r="F69" s="11" t="s">
        <v>1051</v>
      </c>
      <c r="G69" s="11" t="s">
        <v>1052</v>
      </c>
      <c r="H69" s="11" t="s">
        <v>27</v>
      </c>
      <c r="I69" s="11" t="s">
        <v>1053</v>
      </c>
      <c r="J69" s="11" t="s">
        <v>1054</v>
      </c>
      <c r="K69" s="11" t="s">
        <v>1055</v>
      </c>
      <c r="L69" s="11" t="s">
        <v>1056</v>
      </c>
      <c r="M69" s="11" t="s">
        <v>45</v>
      </c>
      <c r="N69" s="11">
        <v>4</v>
      </c>
      <c r="O69" s="11" t="s">
        <v>28</v>
      </c>
      <c r="P69" s="11" t="s">
        <v>1057</v>
      </c>
      <c r="Q69" s="11" t="s">
        <v>1058</v>
      </c>
      <c r="R69" s="11" t="s">
        <v>1059</v>
      </c>
      <c r="S69" s="11">
        <v>5</v>
      </c>
      <c r="T69" s="11" t="s">
        <v>1060</v>
      </c>
      <c r="U69" s="11" t="s">
        <v>1061</v>
      </c>
      <c r="V69" s="11" t="s">
        <v>1062</v>
      </c>
      <c r="W69" s="11"/>
      <c r="X69" s="11" t="s">
        <v>860</v>
      </c>
      <c r="Y69" s="11" t="s">
        <v>1063</v>
      </c>
      <c r="Z69" s="11" t="s">
        <v>45</v>
      </c>
      <c r="AA69" s="11"/>
    </row>
    <row r="70" spans="1:27" ht="12.75" customHeight="1" x14ac:dyDescent="0.15">
      <c r="A70" s="11" t="s">
        <v>1064</v>
      </c>
      <c r="B70" s="11" t="s">
        <v>1050</v>
      </c>
      <c r="C70" s="11" t="s">
        <v>98</v>
      </c>
      <c r="D70" s="11" t="s">
        <v>512</v>
      </c>
      <c r="E70" s="11" t="s">
        <v>847</v>
      </c>
      <c r="F70" s="11" t="s">
        <v>1051</v>
      </c>
      <c r="G70" s="11" t="s">
        <v>1065</v>
      </c>
      <c r="H70" s="11" t="s">
        <v>27</v>
      </c>
      <c r="I70" s="11" t="s">
        <v>1066</v>
      </c>
      <c r="J70" s="11" t="s">
        <v>1067</v>
      </c>
      <c r="K70" s="11" t="s">
        <v>1068</v>
      </c>
      <c r="L70" s="11" t="s">
        <v>1069</v>
      </c>
      <c r="M70" s="11" t="s">
        <v>333</v>
      </c>
      <c r="N70" s="11">
        <v>5</v>
      </c>
      <c r="O70" s="11" t="s">
        <v>30</v>
      </c>
      <c r="P70" s="11" t="s">
        <v>1070</v>
      </c>
      <c r="Q70" s="11" t="s">
        <v>1071</v>
      </c>
      <c r="R70" s="11" t="s">
        <v>1072</v>
      </c>
      <c r="S70" s="11">
        <v>5</v>
      </c>
      <c r="T70" s="11" t="s">
        <v>1073</v>
      </c>
      <c r="U70" s="11" t="s">
        <v>1074</v>
      </c>
      <c r="V70" s="11" t="s">
        <v>1075</v>
      </c>
      <c r="W70" s="11"/>
      <c r="X70" s="11" t="s">
        <v>860</v>
      </c>
      <c r="Y70" s="11" t="s">
        <v>1076</v>
      </c>
      <c r="Z70" s="11" t="s">
        <v>50</v>
      </c>
      <c r="AA70" s="11" t="s">
        <v>95</v>
      </c>
    </row>
    <row r="71" spans="1:27" ht="12.75" customHeight="1" x14ac:dyDescent="0.15">
      <c r="A71" s="11" t="s">
        <v>1077</v>
      </c>
      <c r="B71" s="11" t="s">
        <v>1050</v>
      </c>
      <c r="C71" s="11" t="s">
        <v>98</v>
      </c>
      <c r="D71" s="11" t="s">
        <v>512</v>
      </c>
      <c r="E71" s="11" t="s">
        <v>847</v>
      </c>
      <c r="F71" s="11" t="s">
        <v>1078</v>
      </c>
      <c r="G71" s="11" t="s">
        <v>1079</v>
      </c>
      <c r="H71" s="11" t="s">
        <v>27</v>
      </c>
      <c r="I71" s="11" t="s">
        <v>1080</v>
      </c>
      <c r="J71" s="11" t="s">
        <v>1081</v>
      </c>
      <c r="K71" s="11" t="s">
        <v>1082</v>
      </c>
      <c r="L71" s="11" t="s">
        <v>1083</v>
      </c>
      <c r="M71" s="11" t="s">
        <v>47</v>
      </c>
      <c r="N71" s="11">
        <v>5</v>
      </c>
      <c r="O71" s="11" t="s">
        <v>30</v>
      </c>
      <c r="P71" s="11" t="s">
        <v>1084</v>
      </c>
      <c r="Q71" s="11" t="s">
        <v>1085</v>
      </c>
      <c r="R71" s="11" t="s">
        <v>1086</v>
      </c>
      <c r="S71" s="11">
        <v>5</v>
      </c>
      <c r="T71" s="11" t="s">
        <v>1087</v>
      </c>
      <c r="U71" s="11" t="s">
        <v>1088</v>
      </c>
      <c r="V71" s="11" t="s">
        <v>1089</v>
      </c>
      <c r="W71" s="11"/>
      <c r="X71" s="11" t="s">
        <v>860</v>
      </c>
      <c r="Y71" s="11" t="s">
        <v>1090</v>
      </c>
      <c r="Z71" s="11" t="s">
        <v>47</v>
      </c>
      <c r="AA71" s="11"/>
    </row>
    <row r="72" spans="1:27" ht="12.75" customHeight="1" x14ac:dyDescent="0.15">
      <c r="A72" s="11" t="s">
        <v>1091</v>
      </c>
      <c r="B72" s="11" t="s">
        <v>1092</v>
      </c>
      <c r="C72" s="11" t="s">
        <v>77</v>
      </c>
      <c r="D72" s="11" t="s">
        <v>753</v>
      </c>
      <c r="E72" s="11" t="s">
        <v>1093</v>
      </c>
      <c r="F72" s="11" t="s">
        <v>1094</v>
      </c>
      <c r="G72" s="11" t="s">
        <v>1095</v>
      </c>
      <c r="H72" s="11" t="s">
        <v>27</v>
      </c>
      <c r="I72" s="11" t="s">
        <v>1096</v>
      </c>
      <c r="J72" s="11" t="s">
        <v>1097</v>
      </c>
      <c r="K72" s="11" t="s">
        <v>1098</v>
      </c>
      <c r="L72" s="11" t="s">
        <v>1099</v>
      </c>
      <c r="M72" s="11" t="s">
        <v>47</v>
      </c>
      <c r="N72" s="11">
        <v>4</v>
      </c>
      <c r="O72" s="11" t="s">
        <v>30</v>
      </c>
      <c r="P72" s="11" t="s">
        <v>1100</v>
      </c>
      <c r="Q72" s="11" t="s">
        <v>1101</v>
      </c>
      <c r="R72" s="11" t="s">
        <v>1102</v>
      </c>
      <c r="S72" s="11">
        <v>5</v>
      </c>
      <c r="T72" s="11" t="s">
        <v>1103</v>
      </c>
      <c r="U72" s="11" t="s">
        <v>1104</v>
      </c>
      <c r="V72" s="11" t="s">
        <v>1105</v>
      </c>
      <c r="W72" s="11"/>
      <c r="X72" s="11" t="s">
        <v>860</v>
      </c>
      <c r="Y72" s="11" t="s">
        <v>1106</v>
      </c>
      <c r="Z72" s="11" t="s">
        <v>47</v>
      </c>
      <c r="AA72" s="11"/>
    </row>
    <row r="73" spans="1:27" ht="12.75" customHeight="1" x14ac:dyDescent="0.15">
      <c r="A73" s="11" t="s">
        <v>1107</v>
      </c>
      <c r="B73" s="11" t="s">
        <v>1108</v>
      </c>
      <c r="C73" s="11" t="s">
        <v>98</v>
      </c>
      <c r="D73" s="11" t="s">
        <v>241</v>
      </c>
      <c r="E73" s="11" t="s">
        <v>278</v>
      </c>
      <c r="F73" s="11" t="s">
        <v>1109</v>
      </c>
      <c r="G73" s="11" t="s">
        <v>1110</v>
      </c>
      <c r="H73" s="11" t="s">
        <v>27</v>
      </c>
      <c r="I73" s="11" t="s">
        <v>1111</v>
      </c>
      <c r="J73" s="11" t="s">
        <v>1112</v>
      </c>
      <c r="K73" s="11" t="s">
        <v>1113</v>
      </c>
      <c r="L73" s="11" t="s">
        <v>1114</v>
      </c>
      <c r="M73" s="11" t="s">
        <v>333</v>
      </c>
      <c r="N73" s="11">
        <v>4</v>
      </c>
      <c r="O73" s="11" t="s">
        <v>30</v>
      </c>
      <c r="P73" s="11" t="s">
        <v>1115</v>
      </c>
      <c r="Q73" s="11" t="s">
        <v>1116</v>
      </c>
      <c r="R73" s="11" t="s">
        <v>1117</v>
      </c>
      <c r="S73" s="11">
        <v>4</v>
      </c>
      <c r="T73" s="11" t="s">
        <v>1118</v>
      </c>
      <c r="U73" s="11" t="s">
        <v>1119</v>
      </c>
      <c r="V73" s="11" t="s">
        <v>1120</v>
      </c>
      <c r="W73" s="11" t="s">
        <v>1121</v>
      </c>
      <c r="X73" s="11" t="s">
        <v>274</v>
      </c>
      <c r="Y73" s="11" t="s">
        <v>1122</v>
      </c>
      <c r="Z73" s="11" t="s">
        <v>41</v>
      </c>
      <c r="AA73" s="11"/>
    </row>
    <row r="74" spans="1:27" ht="12.75" customHeight="1" x14ac:dyDescent="0.15">
      <c r="A74" s="11" t="s">
        <v>1123</v>
      </c>
      <c r="B74" s="11" t="s">
        <v>1124</v>
      </c>
      <c r="C74" s="11" t="s">
        <v>77</v>
      </c>
      <c r="D74" s="11" t="s">
        <v>753</v>
      </c>
      <c r="E74" s="11" t="s">
        <v>831</v>
      </c>
      <c r="F74" s="11" t="s">
        <v>1125</v>
      </c>
      <c r="G74" s="11" t="s">
        <v>1126</v>
      </c>
      <c r="H74" s="11" t="s">
        <v>31</v>
      </c>
      <c r="I74" s="11" t="s">
        <v>1127</v>
      </c>
      <c r="J74" s="11" t="s">
        <v>1128</v>
      </c>
      <c r="K74" s="11" t="s">
        <v>1129</v>
      </c>
      <c r="L74" s="11" t="s">
        <v>1130</v>
      </c>
      <c r="M74" s="11" t="s">
        <v>333</v>
      </c>
      <c r="N74" s="11">
        <v>5</v>
      </c>
      <c r="O74" s="11" t="s">
        <v>30</v>
      </c>
      <c r="P74" s="11" t="s">
        <v>1131</v>
      </c>
      <c r="Q74" s="11" t="s">
        <v>1132</v>
      </c>
      <c r="R74" s="11" t="s">
        <v>1133</v>
      </c>
      <c r="S74" s="11">
        <v>5</v>
      </c>
      <c r="T74" s="11" t="s">
        <v>1134</v>
      </c>
      <c r="U74" s="11" t="s">
        <v>1135</v>
      </c>
      <c r="V74" s="11" t="s">
        <v>1136</v>
      </c>
      <c r="W74" s="11"/>
      <c r="X74" s="11"/>
      <c r="Y74" s="11" t="s">
        <v>1137</v>
      </c>
      <c r="Z74" s="11" t="s">
        <v>49</v>
      </c>
      <c r="AA74" s="11"/>
    </row>
    <row r="75" spans="1:27" ht="12.75" customHeight="1" x14ac:dyDescent="0.15">
      <c r="A75" s="11" t="s">
        <v>1138</v>
      </c>
      <c r="B75" s="11" t="s">
        <v>1124</v>
      </c>
      <c r="C75" s="11" t="s">
        <v>77</v>
      </c>
      <c r="D75" s="11" t="s">
        <v>512</v>
      </c>
      <c r="E75" s="11" t="s">
        <v>831</v>
      </c>
      <c r="F75" s="11" t="s">
        <v>1139</v>
      </c>
      <c r="G75" s="11" t="s">
        <v>1140</v>
      </c>
      <c r="H75" s="11" t="s">
        <v>31</v>
      </c>
      <c r="I75" s="11" t="s">
        <v>1141</v>
      </c>
      <c r="J75" s="11" t="s">
        <v>1142</v>
      </c>
      <c r="K75" s="11" t="s">
        <v>1143</v>
      </c>
      <c r="L75" s="11" t="s">
        <v>1144</v>
      </c>
      <c r="M75" s="11" t="s">
        <v>333</v>
      </c>
      <c r="N75" s="11">
        <v>5</v>
      </c>
      <c r="O75" s="11" t="s">
        <v>30</v>
      </c>
      <c r="P75" s="11" t="s">
        <v>999</v>
      </c>
      <c r="Q75" s="11" t="s">
        <v>1000</v>
      </c>
      <c r="R75" s="11" t="s">
        <v>1001</v>
      </c>
      <c r="S75" s="11">
        <v>5</v>
      </c>
      <c r="T75" s="11" t="s">
        <v>1145</v>
      </c>
      <c r="U75" s="11" t="s">
        <v>1146</v>
      </c>
      <c r="V75" s="11" t="s">
        <v>1147</v>
      </c>
      <c r="W75" s="11"/>
      <c r="X75" s="11"/>
      <c r="Y75" s="11" t="s">
        <v>1148</v>
      </c>
      <c r="Z75" s="11" t="s">
        <v>49</v>
      </c>
      <c r="AA75" s="11"/>
    </row>
    <row r="76" spans="1:27" ht="12.75" customHeight="1" x14ac:dyDescent="0.15">
      <c r="A76" s="11" t="s">
        <v>1149</v>
      </c>
      <c r="B76" s="11" t="s">
        <v>1124</v>
      </c>
      <c r="C76" s="11" t="s">
        <v>77</v>
      </c>
      <c r="D76" s="11" t="s">
        <v>512</v>
      </c>
      <c r="E76" s="11" t="s">
        <v>1150</v>
      </c>
      <c r="F76" s="11" t="s">
        <v>1151</v>
      </c>
      <c r="G76" s="11" t="s">
        <v>1152</v>
      </c>
      <c r="H76" s="11" t="s">
        <v>31</v>
      </c>
      <c r="I76" s="11" t="s">
        <v>1153</v>
      </c>
      <c r="J76" s="11" t="s">
        <v>1154</v>
      </c>
      <c r="K76" s="11" t="s">
        <v>1155</v>
      </c>
      <c r="L76" s="11" t="s">
        <v>1156</v>
      </c>
      <c r="M76" s="11" t="s">
        <v>47</v>
      </c>
      <c r="N76" s="11">
        <v>4</v>
      </c>
      <c r="O76" s="11" t="s">
        <v>30</v>
      </c>
      <c r="P76" s="11" t="s">
        <v>999</v>
      </c>
      <c r="Q76" s="11" t="s">
        <v>1000</v>
      </c>
      <c r="R76" s="11" t="s">
        <v>1001</v>
      </c>
      <c r="S76" s="11">
        <v>5</v>
      </c>
      <c r="T76" s="11" t="s">
        <v>1157</v>
      </c>
      <c r="U76" s="11" t="s">
        <v>1158</v>
      </c>
      <c r="V76" s="11" t="s">
        <v>1159</v>
      </c>
      <c r="W76" s="11"/>
      <c r="X76" s="11" t="s">
        <v>860</v>
      </c>
      <c r="Y76" s="11" t="s">
        <v>1160</v>
      </c>
      <c r="Z76" s="11" t="s">
        <v>47</v>
      </c>
      <c r="AA76" s="11"/>
    </row>
    <row r="77" spans="1:27" ht="12.75" customHeight="1" x14ac:dyDescent="0.15">
      <c r="A77" s="11" t="s">
        <v>1161</v>
      </c>
      <c r="B77" s="11" t="s">
        <v>1162</v>
      </c>
      <c r="C77" s="11" t="s">
        <v>77</v>
      </c>
      <c r="D77" s="11" t="s">
        <v>1163</v>
      </c>
      <c r="E77" s="11" t="s">
        <v>831</v>
      </c>
      <c r="F77" s="11" t="s">
        <v>1164</v>
      </c>
      <c r="G77" s="11" t="s">
        <v>1165</v>
      </c>
      <c r="H77" s="11" t="s">
        <v>27</v>
      </c>
      <c r="I77" s="11" t="s">
        <v>1166</v>
      </c>
      <c r="J77" s="11" t="s">
        <v>1167</v>
      </c>
      <c r="K77" s="11" t="s">
        <v>1168</v>
      </c>
      <c r="L77" s="11" t="s">
        <v>1169</v>
      </c>
      <c r="M77" s="11" t="s">
        <v>421</v>
      </c>
      <c r="N77" s="11">
        <v>4</v>
      </c>
      <c r="O77" s="11" t="s">
        <v>30</v>
      </c>
      <c r="P77" s="11" t="s">
        <v>1100</v>
      </c>
      <c r="Q77" s="11" t="s">
        <v>1101</v>
      </c>
      <c r="R77" s="11" t="s">
        <v>1102</v>
      </c>
      <c r="S77" s="11">
        <v>4</v>
      </c>
      <c r="T77" s="11" t="s">
        <v>1170</v>
      </c>
      <c r="U77" s="11" t="s">
        <v>1171</v>
      </c>
      <c r="V77" s="11" t="s">
        <v>1172</v>
      </c>
      <c r="W77" s="11" t="s">
        <v>1173</v>
      </c>
      <c r="X77" s="11"/>
      <c r="Y77" s="11" t="s">
        <v>1174</v>
      </c>
      <c r="Z77" s="11" t="s">
        <v>47</v>
      </c>
      <c r="AA77" s="11"/>
    </row>
    <row r="78" spans="1:27" ht="12.75" customHeight="1" x14ac:dyDescent="0.15">
      <c r="A78" s="11" t="s">
        <v>1175</v>
      </c>
      <c r="B78" s="11" t="s">
        <v>1176</v>
      </c>
      <c r="C78" s="11" t="s">
        <v>77</v>
      </c>
      <c r="D78" s="11" t="s">
        <v>512</v>
      </c>
      <c r="E78" s="11" t="s">
        <v>1177</v>
      </c>
      <c r="F78" s="11" t="s">
        <v>1178</v>
      </c>
      <c r="G78" s="11" t="s">
        <v>1179</v>
      </c>
      <c r="H78" s="11" t="s">
        <v>31</v>
      </c>
      <c r="I78" s="11" t="s">
        <v>1180</v>
      </c>
      <c r="J78" s="11" t="s">
        <v>1181</v>
      </c>
      <c r="K78" s="11" t="s">
        <v>1182</v>
      </c>
      <c r="L78" s="11" t="s">
        <v>1183</v>
      </c>
      <c r="M78" s="11" t="s">
        <v>301</v>
      </c>
      <c r="N78" s="11">
        <v>3</v>
      </c>
      <c r="O78" s="11" t="s">
        <v>30</v>
      </c>
      <c r="P78" s="11" t="s">
        <v>1131</v>
      </c>
      <c r="Q78" s="11" t="s">
        <v>1132</v>
      </c>
      <c r="R78" s="11" t="s">
        <v>1133</v>
      </c>
      <c r="S78" s="11">
        <v>5</v>
      </c>
      <c r="T78" s="11" t="s">
        <v>1184</v>
      </c>
      <c r="U78" s="11" t="s">
        <v>1185</v>
      </c>
      <c r="V78" s="11" t="s">
        <v>1186</v>
      </c>
      <c r="W78" s="11"/>
      <c r="X78" s="11"/>
      <c r="Y78" s="11" t="s">
        <v>1187</v>
      </c>
      <c r="Z78" s="11" t="s">
        <v>49</v>
      </c>
      <c r="AA78" s="11"/>
    </row>
    <row r="79" spans="1:27" ht="12.75" customHeight="1" x14ac:dyDescent="0.15">
      <c r="A79" s="11" t="s">
        <v>1188</v>
      </c>
      <c r="B79" s="11" t="s">
        <v>1189</v>
      </c>
      <c r="C79" s="11" t="s">
        <v>77</v>
      </c>
      <c r="D79" s="11" t="s">
        <v>147</v>
      </c>
      <c r="E79" s="11" t="s">
        <v>1190</v>
      </c>
      <c r="F79" s="11" t="s">
        <v>1191</v>
      </c>
      <c r="G79" s="11" t="s">
        <v>1192</v>
      </c>
      <c r="H79" s="11" t="s">
        <v>27</v>
      </c>
      <c r="I79" s="11" t="s">
        <v>1193</v>
      </c>
      <c r="J79" s="11" t="s">
        <v>1194</v>
      </c>
      <c r="K79" s="11" t="s">
        <v>1195</v>
      </c>
      <c r="L79" s="11" t="s">
        <v>1196</v>
      </c>
      <c r="M79" s="11" t="s">
        <v>45</v>
      </c>
      <c r="N79" s="11">
        <v>5</v>
      </c>
      <c r="O79" s="11" t="s">
        <v>30</v>
      </c>
      <c r="P79" s="11" t="s">
        <v>1197</v>
      </c>
      <c r="Q79" s="11" t="s">
        <v>1198</v>
      </c>
      <c r="R79" s="11" t="s">
        <v>1199</v>
      </c>
      <c r="S79" s="11">
        <v>5</v>
      </c>
      <c r="T79" s="11" t="s">
        <v>1200</v>
      </c>
      <c r="U79" s="11" t="s">
        <v>1201</v>
      </c>
      <c r="V79" s="11" t="s">
        <v>1202</v>
      </c>
      <c r="W79" s="11" t="s">
        <v>1203</v>
      </c>
      <c r="X79" s="11" t="s">
        <v>1204</v>
      </c>
      <c r="Y79" s="11" t="s">
        <v>1205</v>
      </c>
      <c r="Z79" s="11" t="s">
        <v>45</v>
      </c>
      <c r="AA79" s="11"/>
    </row>
    <row r="80" spans="1:27" ht="12.75" customHeight="1" x14ac:dyDescent="0.15"/>
    <row r="81" ht="12.75" customHeight="1" x14ac:dyDescent="0.15"/>
    <row r="82" ht="12.75" customHeight="1" x14ac:dyDescent="0.15"/>
    <row r="83" ht="12.75" customHeight="1" x14ac:dyDescent="0.15"/>
    <row r="84" ht="12.75" customHeight="1" x14ac:dyDescent="0.15"/>
    <row r="85" ht="12.75" customHeight="1" x14ac:dyDescent="0.15"/>
    <row r="86" ht="12.75" customHeight="1" x14ac:dyDescent="0.15"/>
    <row r="87" ht="12.75" customHeight="1" x14ac:dyDescent="0.15"/>
    <row r="88" ht="12.75" customHeight="1" x14ac:dyDescent="0.15"/>
    <row r="89" ht="12.75" customHeight="1" x14ac:dyDescent="0.15"/>
    <row r="90" ht="12.75" customHeight="1" x14ac:dyDescent="0.15"/>
    <row r="91" ht="12.75" customHeight="1" x14ac:dyDescent="0.15"/>
    <row r="92" ht="12.75" customHeight="1" x14ac:dyDescent="0.15"/>
    <row r="93" ht="12.75" customHeight="1" x14ac:dyDescent="0.15"/>
    <row r="94" ht="12.75" customHeight="1" x14ac:dyDescent="0.15"/>
    <row r="95" ht="12.75" customHeight="1" x14ac:dyDescent="0.15"/>
    <row r="96" ht="12.75" customHeight="1" x14ac:dyDescent="0.15"/>
    <row r="97" ht="12.75" customHeight="1" x14ac:dyDescent="0.15"/>
    <row r="98" ht="12.75" customHeight="1" x14ac:dyDescent="0.15"/>
    <row r="99" ht="12.75" customHeight="1" x14ac:dyDescent="0.15"/>
    <row r="100" ht="12.75" customHeight="1" x14ac:dyDescent="0.15"/>
    <row r="101" ht="12.75" customHeight="1" x14ac:dyDescent="0.15"/>
    <row r="102" ht="12.75" customHeight="1" x14ac:dyDescent="0.15"/>
    <row r="103" ht="12.75" customHeight="1" x14ac:dyDescent="0.15"/>
    <row r="104" ht="12.75" customHeight="1" x14ac:dyDescent="0.15"/>
    <row r="105" ht="12.75" customHeight="1" x14ac:dyDescent="0.15"/>
    <row r="106" ht="12.75" customHeight="1" x14ac:dyDescent="0.15"/>
    <row r="107" ht="12.75" customHeight="1" x14ac:dyDescent="0.15"/>
    <row r="108" ht="12.75" customHeight="1" x14ac:dyDescent="0.15"/>
    <row r="109" ht="12.75" customHeight="1" x14ac:dyDescent="0.15"/>
    <row r="110" ht="12.75" customHeight="1" x14ac:dyDescent="0.15"/>
    <row r="111" ht="12.75" customHeight="1" x14ac:dyDescent="0.15"/>
    <row r="112" ht="12.75" customHeight="1" x14ac:dyDescent="0.15"/>
    <row r="113" ht="12.75" customHeight="1" x14ac:dyDescent="0.15"/>
    <row r="114" ht="12.75" customHeight="1" x14ac:dyDescent="0.15"/>
    <row r="115" ht="12.75" customHeight="1" x14ac:dyDescent="0.15"/>
    <row r="116" ht="12.75" customHeight="1" x14ac:dyDescent="0.15"/>
    <row r="117" ht="12.75" customHeight="1" x14ac:dyDescent="0.15"/>
    <row r="118" ht="12.75" customHeight="1" x14ac:dyDescent="0.15"/>
    <row r="119" ht="12.75" customHeight="1" x14ac:dyDescent="0.15"/>
    <row r="120" ht="12.75" customHeight="1" x14ac:dyDescent="0.15"/>
    <row r="121" ht="12.75" customHeight="1" x14ac:dyDescent="0.15"/>
    <row r="122" ht="12.75" customHeight="1" x14ac:dyDescent="0.15"/>
    <row r="123" ht="12.75" customHeight="1" x14ac:dyDescent="0.15"/>
    <row r="124" ht="12.75" customHeight="1" x14ac:dyDescent="0.15"/>
    <row r="125" ht="12.75" customHeight="1" x14ac:dyDescent="0.15"/>
    <row r="126" ht="12.75" customHeight="1" x14ac:dyDescent="0.15"/>
    <row r="127" ht="12.75" customHeight="1" x14ac:dyDescent="0.15"/>
    <row r="128" ht="12.75" customHeight="1" x14ac:dyDescent="0.15"/>
    <row r="129" ht="12.75" customHeight="1" x14ac:dyDescent="0.15"/>
    <row r="130" ht="12.75" customHeight="1" x14ac:dyDescent="0.15"/>
    <row r="131" ht="12.75" customHeight="1" x14ac:dyDescent="0.15"/>
    <row r="132" ht="12.75" customHeight="1" x14ac:dyDescent="0.15"/>
    <row r="133" ht="12.75" customHeight="1" x14ac:dyDescent="0.15"/>
    <row r="134" ht="12.75" customHeight="1" x14ac:dyDescent="0.15"/>
    <row r="135" ht="12.75" customHeight="1" x14ac:dyDescent="0.15"/>
    <row r="136" ht="12.75" customHeight="1" x14ac:dyDescent="0.15"/>
    <row r="137" ht="12.75" customHeight="1" x14ac:dyDescent="0.15"/>
    <row r="138" ht="12.75" customHeight="1" x14ac:dyDescent="0.15"/>
    <row r="139" ht="12.75" customHeight="1" x14ac:dyDescent="0.15"/>
    <row r="140" ht="12.75" customHeight="1" x14ac:dyDescent="0.15"/>
    <row r="141" ht="12.75" customHeight="1" x14ac:dyDescent="0.15"/>
    <row r="142" ht="12.75" customHeight="1" x14ac:dyDescent="0.15"/>
    <row r="143" ht="12.75" customHeight="1" x14ac:dyDescent="0.15"/>
    <row r="144" ht="12.75" customHeight="1" x14ac:dyDescent="0.15"/>
    <row r="145" ht="12.75" customHeight="1" x14ac:dyDescent="0.15"/>
    <row r="146" ht="12.75" customHeight="1" x14ac:dyDescent="0.15"/>
    <row r="147" ht="12.75" customHeight="1" x14ac:dyDescent="0.15"/>
    <row r="148" ht="12.75" customHeight="1" x14ac:dyDescent="0.15"/>
    <row r="149" ht="12.75" customHeight="1" x14ac:dyDescent="0.15"/>
    <row r="150" ht="12.75" customHeight="1" x14ac:dyDescent="0.15"/>
    <row r="151" ht="12.75" customHeight="1" x14ac:dyDescent="0.15"/>
    <row r="152" ht="12.75" customHeight="1" x14ac:dyDescent="0.15"/>
    <row r="153" ht="12.75" customHeight="1" x14ac:dyDescent="0.15"/>
    <row r="154" ht="12.75" customHeight="1" x14ac:dyDescent="0.15"/>
    <row r="155" ht="12.75" customHeight="1" x14ac:dyDescent="0.15"/>
    <row r="156" ht="12.75" customHeight="1" x14ac:dyDescent="0.15"/>
    <row r="157" ht="12.75" customHeight="1" x14ac:dyDescent="0.15"/>
    <row r="158" ht="12.75" customHeight="1" x14ac:dyDescent="0.15"/>
    <row r="159" ht="12.75" customHeight="1" x14ac:dyDescent="0.15"/>
    <row r="160" ht="12.75" customHeight="1" x14ac:dyDescent="0.15"/>
    <row r="161" ht="12.75" customHeight="1" x14ac:dyDescent="0.15"/>
    <row r="162" ht="12.75" customHeight="1" x14ac:dyDescent="0.15"/>
    <row r="163" ht="12.75" customHeight="1" x14ac:dyDescent="0.15"/>
    <row r="164" ht="12.75" customHeight="1" x14ac:dyDescent="0.15"/>
    <row r="165" ht="12.75" customHeight="1" x14ac:dyDescent="0.15"/>
    <row r="166" ht="12.75" customHeight="1" x14ac:dyDescent="0.15"/>
    <row r="167" ht="12.75" customHeight="1" x14ac:dyDescent="0.15"/>
    <row r="168" ht="12.75" customHeight="1" x14ac:dyDescent="0.15"/>
    <row r="169" ht="12.75" customHeight="1" x14ac:dyDescent="0.15"/>
    <row r="170" ht="12.75" customHeight="1" x14ac:dyDescent="0.15"/>
    <row r="171" ht="12.75" customHeight="1" x14ac:dyDescent="0.15"/>
    <row r="172" ht="12.75" customHeight="1" x14ac:dyDescent="0.15"/>
    <row r="173" ht="12.75" customHeight="1" x14ac:dyDescent="0.15"/>
    <row r="174" ht="12.75" customHeight="1" x14ac:dyDescent="0.15"/>
    <row r="175" ht="12.75" customHeight="1" x14ac:dyDescent="0.15"/>
    <row r="176" ht="12.75" customHeight="1" x14ac:dyDescent="0.15"/>
    <row r="177" ht="12.75" customHeight="1" x14ac:dyDescent="0.15"/>
    <row r="178" ht="12.75" customHeight="1" x14ac:dyDescent="0.15"/>
    <row r="179" ht="12.75" customHeight="1" x14ac:dyDescent="0.15"/>
    <row r="180" ht="12.75" customHeight="1" x14ac:dyDescent="0.15"/>
    <row r="181" ht="12.75" customHeight="1" x14ac:dyDescent="0.15"/>
    <row r="182" ht="12.75" customHeight="1" x14ac:dyDescent="0.15"/>
    <row r="183" ht="12.75" customHeight="1" x14ac:dyDescent="0.15"/>
    <row r="184" ht="12.75" customHeight="1" x14ac:dyDescent="0.15"/>
    <row r="185" ht="12.75" customHeight="1" x14ac:dyDescent="0.15"/>
    <row r="186" ht="12.75" customHeight="1" x14ac:dyDescent="0.15"/>
    <row r="187" ht="12.75" customHeight="1" x14ac:dyDescent="0.15"/>
    <row r="188" ht="12.75" customHeight="1" x14ac:dyDescent="0.15"/>
    <row r="189" ht="12.75" customHeight="1" x14ac:dyDescent="0.15"/>
    <row r="190" ht="12.75" customHeight="1" x14ac:dyDescent="0.15"/>
    <row r="191" ht="12.75" customHeight="1" x14ac:dyDescent="0.15"/>
    <row r="192" ht="12.75" customHeight="1" x14ac:dyDescent="0.15"/>
    <row r="193" ht="12.75" customHeight="1" x14ac:dyDescent="0.15"/>
    <row r="194" ht="12.75" customHeight="1" x14ac:dyDescent="0.15"/>
    <row r="195" ht="12.75" customHeight="1" x14ac:dyDescent="0.15"/>
    <row r="196" ht="12.75" customHeight="1" x14ac:dyDescent="0.15"/>
    <row r="197" ht="12.75" customHeight="1" x14ac:dyDescent="0.15"/>
    <row r="198" ht="12.75" customHeight="1" x14ac:dyDescent="0.15"/>
    <row r="199" ht="12.75" customHeight="1" x14ac:dyDescent="0.15"/>
    <row r="200" ht="12.75" customHeight="1" x14ac:dyDescent="0.15"/>
    <row r="201" ht="12.75" customHeight="1" x14ac:dyDescent="0.15"/>
    <row r="202" ht="12.75" customHeight="1" x14ac:dyDescent="0.15"/>
    <row r="203" ht="12.75" customHeight="1" x14ac:dyDescent="0.15"/>
    <row r="204" ht="12.75" customHeight="1" x14ac:dyDescent="0.15"/>
    <row r="205" ht="12.75" customHeight="1" x14ac:dyDescent="0.15"/>
    <row r="206" ht="12.75" customHeight="1" x14ac:dyDescent="0.15"/>
    <row r="207" ht="12.75" customHeight="1" x14ac:dyDescent="0.15"/>
    <row r="208" ht="12.75" customHeight="1" x14ac:dyDescent="0.15"/>
    <row r="209" ht="12.75" customHeight="1" x14ac:dyDescent="0.15"/>
    <row r="210" ht="12.75" customHeight="1" x14ac:dyDescent="0.15"/>
    <row r="211" ht="12.75" customHeight="1" x14ac:dyDescent="0.15"/>
    <row r="212" ht="12.75" customHeight="1" x14ac:dyDescent="0.15"/>
    <row r="213" ht="12.75" customHeight="1" x14ac:dyDescent="0.15"/>
    <row r="214" ht="12.75" customHeight="1" x14ac:dyDescent="0.15"/>
    <row r="215" ht="12.75" customHeight="1" x14ac:dyDescent="0.15"/>
    <row r="216" ht="12.75" customHeight="1" x14ac:dyDescent="0.15"/>
    <row r="217" ht="12.75" customHeight="1" x14ac:dyDescent="0.15"/>
    <row r="218" ht="12.75" customHeight="1" x14ac:dyDescent="0.15"/>
    <row r="219" ht="12.75" customHeight="1" x14ac:dyDescent="0.15"/>
    <row r="220" ht="12.75" customHeight="1" x14ac:dyDescent="0.15"/>
    <row r="221" ht="12.75" customHeight="1" x14ac:dyDescent="0.15"/>
    <row r="222" ht="12.75" customHeight="1" x14ac:dyDescent="0.15"/>
    <row r="223" ht="12.75" customHeight="1" x14ac:dyDescent="0.15"/>
    <row r="224" ht="12.75" customHeight="1" x14ac:dyDescent="0.15"/>
    <row r="225" ht="12.75" customHeight="1" x14ac:dyDescent="0.15"/>
    <row r="226" ht="12.75" customHeight="1" x14ac:dyDescent="0.15"/>
    <row r="227" ht="12.75" customHeight="1" x14ac:dyDescent="0.15"/>
    <row r="228" ht="12.75" customHeight="1" x14ac:dyDescent="0.15"/>
    <row r="229" ht="12.75" customHeight="1" x14ac:dyDescent="0.15"/>
    <row r="230" ht="12.75" customHeight="1" x14ac:dyDescent="0.15"/>
    <row r="231" ht="12.75" customHeight="1" x14ac:dyDescent="0.15"/>
    <row r="232" ht="12.75" customHeight="1" x14ac:dyDescent="0.15"/>
    <row r="233" ht="12.75" customHeight="1" x14ac:dyDescent="0.15"/>
    <row r="234" ht="12.75" customHeight="1" x14ac:dyDescent="0.15"/>
    <row r="235" ht="12.75" customHeight="1" x14ac:dyDescent="0.15"/>
    <row r="236" ht="12.75" customHeight="1" x14ac:dyDescent="0.15"/>
    <row r="237" ht="12.75" customHeight="1" x14ac:dyDescent="0.15"/>
    <row r="238" ht="12.75" customHeight="1" x14ac:dyDescent="0.15"/>
    <row r="239" ht="12.75" customHeight="1" x14ac:dyDescent="0.15"/>
    <row r="240" ht="12.75" customHeight="1" x14ac:dyDescent="0.15"/>
    <row r="241" ht="12.75" customHeight="1" x14ac:dyDescent="0.15"/>
    <row r="242" ht="12.75" customHeight="1" x14ac:dyDescent="0.15"/>
    <row r="243" ht="12.75" customHeight="1" x14ac:dyDescent="0.15"/>
    <row r="244" ht="12.75" customHeight="1" x14ac:dyDescent="0.15"/>
    <row r="245" ht="12.75" customHeight="1" x14ac:dyDescent="0.15"/>
    <row r="246" ht="12.75" customHeight="1" x14ac:dyDescent="0.15"/>
    <row r="247" ht="12.75" customHeight="1" x14ac:dyDescent="0.15"/>
    <row r="248" ht="12.75" customHeight="1" x14ac:dyDescent="0.15"/>
    <row r="249" ht="12.75" customHeight="1" x14ac:dyDescent="0.15"/>
    <row r="250" ht="12.75" customHeight="1" x14ac:dyDescent="0.15"/>
    <row r="251" ht="12.75" customHeight="1" x14ac:dyDescent="0.15"/>
    <row r="252" ht="12.75" customHeight="1" x14ac:dyDescent="0.15"/>
    <row r="253" ht="12.75" customHeight="1" x14ac:dyDescent="0.15"/>
    <row r="254" ht="12.75" customHeight="1" x14ac:dyDescent="0.15"/>
    <row r="255" ht="12.75" customHeight="1" x14ac:dyDescent="0.15"/>
    <row r="256" ht="12.75" customHeight="1" x14ac:dyDescent="0.15"/>
    <row r="257" ht="12.75" customHeight="1" x14ac:dyDescent="0.15"/>
    <row r="258" ht="12.75" customHeight="1" x14ac:dyDescent="0.15"/>
    <row r="259" ht="12.75" customHeight="1" x14ac:dyDescent="0.15"/>
    <row r="260" ht="12.75" customHeight="1" x14ac:dyDescent="0.15"/>
    <row r="261" ht="12.75" customHeight="1" x14ac:dyDescent="0.15"/>
    <row r="262" ht="12.75" customHeight="1" x14ac:dyDescent="0.15"/>
    <row r="263" ht="12.75" customHeight="1" x14ac:dyDescent="0.15"/>
    <row r="264" ht="12.75" customHeight="1" x14ac:dyDescent="0.15"/>
    <row r="265" ht="12.75" customHeight="1" x14ac:dyDescent="0.15"/>
    <row r="266" ht="12.75" customHeight="1" x14ac:dyDescent="0.15"/>
    <row r="267" ht="12.75" customHeight="1" x14ac:dyDescent="0.15"/>
    <row r="268" ht="12.75" customHeight="1" x14ac:dyDescent="0.15"/>
    <row r="269" ht="12.75" customHeight="1" x14ac:dyDescent="0.15"/>
    <row r="270" ht="12.75" customHeight="1" x14ac:dyDescent="0.15"/>
    <row r="271" ht="12.75" customHeight="1" x14ac:dyDescent="0.15"/>
    <row r="272" ht="12.75" customHeight="1" x14ac:dyDescent="0.15"/>
    <row r="273" ht="12.75" customHeight="1" x14ac:dyDescent="0.15"/>
    <row r="274" ht="12.75" customHeight="1" x14ac:dyDescent="0.15"/>
    <row r="275" ht="12.75" customHeight="1" x14ac:dyDescent="0.15"/>
    <row r="276" ht="12.75" customHeight="1" x14ac:dyDescent="0.15"/>
    <row r="277" ht="12.75" customHeight="1" x14ac:dyDescent="0.15"/>
    <row r="278" ht="12.75" customHeight="1" x14ac:dyDescent="0.15"/>
    <row r="279" ht="12.75" customHeight="1" x14ac:dyDescent="0.15"/>
    <row r="280" ht="12.75" customHeight="1" x14ac:dyDescent="0.15"/>
    <row r="281" ht="12.75" customHeight="1" x14ac:dyDescent="0.15"/>
    <row r="282" ht="12.75" customHeight="1" x14ac:dyDescent="0.15"/>
    <row r="283" ht="12.75" customHeight="1" x14ac:dyDescent="0.15"/>
    <row r="284" ht="12.75" customHeight="1" x14ac:dyDescent="0.15"/>
    <row r="285" ht="12.75" customHeight="1" x14ac:dyDescent="0.15"/>
    <row r="286" ht="12.75" customHeight="1" x14ac:dyDescent="0.15"/>
    <row r="287" ht="12.75" customHeight="1" x14ac:dyDescent="0.15"/>
    <row r="288" ht="12.75" customHeight="1" x14ac:dyDescent="0.15"/>
    <row r="289" ht="12.75" customHeight="1" x14ac:dyDescent="0.15"/>
    <row r="290" ht="12.75" customHeight="1" x14ac:dyDescent="0.15"/>
    <row r="291" ht="12.75" customHeight="1" x14ac:dyDescent="0.15"/>
    <row r="292" ht="12.75" customHeight="1" x14ac:dyDescent="0.15"/>
    <row r="293" ht="12.75" customHeight="1" x14ac:dyDescent="0.15"/>
    <row r="294" ht="12.75" customHeight="1" x14ac:dyDescent="0.15"/>
    <row r="295" ht="12.75" customHeight="1" x14ac:dyDescent="0.15"/>
    <row r="296" ht="12.75" customHeight="1" x14ac:dyDescent="0.15"/>
    <row r="297" ht="12.75" customHeight="1" x14ac:dyDescent="0.15"/>
    <row r="298" ht="12.75" customHeight="1" x14ac:dyDescent="0.15"/>
    <row r="299" ht="12.75" customHeight="1" x14ac:dyDescent="0.15"/>
    <row r="300" ht="12.75" customHeight="1" x14ac:dyDescent="0.15"/>
    <row r="301" ht="12.75" customHeight="1" x14ac:dyDescent="0.15"/>
    <row r="302" ht="12.75" customHeight="1" x14ac:dyDescent="0.15"/>
    <row r="303" ht="12.75" customHeight="1" x14ac:dyDescent="0.15"/>
    <row r="304" ht="12.75" customHeight="1" x14ac:dyDescent="0.15"/>
    <row r="305" ht="12.75" customHeight="1" x14ac:dyDescent="0.15"/>
    <row r="306" ht="12.75" customHeight="1" x14ac:dyDescent="0.15"/>
    <row r="307" ht="12.75" customHeight="1" x14ac:dyDescent="0.15"/>
    <row r="308" ht="12.75" customHeight="1" x14ac:dyDescent="0.15"/>
    <row r="309" ht="12.75" customHeight="1" x14ac:dyDescent="0.15"/>
    <row r="310" ht="12.75" customHeight="1" x14ac:dyDescent="0.15"/>
    <row r="311" ht="12.75" customHeight="1" x14ac:dyDescent="0.15"/>
    <row r="312" ht="12.75" customHeight="1" x14ac:dyDescent="0.15"/>
    <row r="313" ht="12.75" customHeight="1" x14ac:dyDescent="0.15"/>
    <row r="314" ht="12.75" customHeight="1" x14ac:dyDescent="0.15"/>
    <row r="315" ht="12.75" customHeight="1" x14ac:dyDescent="0.15"/>
    <row r="316" ht="12.75" customHeight="1" x14ac:dyDescent="0.15"/>
    <row r="317" ht="12.75" customHeight="1" x14ac:dyDescent="0.15"/>
    <row r="318" ht="12.75" customHeight="1" x14ac:dyDescent="0.15"/>
    <row r="319" ht="12.75" customHeight="1" x14ac:dyDescent="0.15"/>
    <row r="320" ht="12.75" customHeight="1" x14ac:dyDescent="0.15"/>
    <row r="321" ht="12.75" customHeight="1" x14ac:dyDescent="0.15"/>
    <row r="322" ht="12.75" customHeight="1" x14ac:dyDescent="0.15"/>
    <row r="323" ht="12.75" customHeight="1" x14ac:dyDescent="0.15"/>
    <row r="324" ht="12.75" customHeight="1" x14ac:dyDescent="0.15"/>
    <row r="325" ht="12.75" customHeight="1" x14ac:dyDescent="0.15"/>
    <row r="326" ht="12.75" customHeight="1" x14ac:dyDescent="0.15"/>
    <row r="327" ht="12.75" customHeight="1" x14ac:dyDescent="0.15"/>
    <row r="328" ht="12.75" customHeight="1" x14ac:dyDescent="0.15"/>
    <row r="329" ht="12.75" customHeight="1" x14ac:dyDescent="0.15"/>
    <row r="330" ht="12.75" customHeight="1" x14ac:dyDescent="0.15"/>
    <row r="331" ht="12.75" customHeight="1" x14ac:dyDescent="0.15"/>
    <row r="332" ht="12.75" customHeight="1" x14ac:dyDescent="0.15"/>
    <row r="333" ht="12.75" customHeight="1" x14ac:dyDescent="0.15"/>
    <row r="334" ht="12.75" customHeight="1" x14ac:dyDescent="0.15"/>
    <row r="335" ht="12.75" customHeight="1" x14ac:dyDescent="0.15"/>
    <row r="336" ht="12.75" customHeight="1" x14ac:dyDescent="0.15"/>
    <row r="337" ht="12.75" customHeight="1" x14ac:dyDescent="0.15"/>
    <row r="338" ht="12.75" customHeight="1" x14ac:dyDescent="0.15"/>
    <row r="339" ht="12.75" customHeight="1" x14ac:dyDescent="0.15"/>
    <row r="340" ht="12.75" customHeight="1" x14ac:dyDescent="0.15"/>
    <row r="341" ht="12.75" customHeight="1" x14ac:dyDescent="0.15"/>
    <row r="342" ht="12.75" customHeight="1" x14ac:dyDescent="0.15"/>
    <row r="343" ht="12.75" customHeight="1" x14ac:dyDescent="0.15"/>
    <row r="344" ht="12.75" customHeight="1" x14ac:dyDescent="0.15"/>
    <row r="345" ht="12.75" customHeight="1" x14ac:dyDescent="0.15"/>
    <row r="346" ht="12.75" customHeight="1" x14ac:dyDescent="0.15"/>
    <row r="347" ht="12.75" customHeight="1" x14ac:dyDescent="0.15"/>
    <row r="348" ht="12.75" customHeight="1" x14ac:dyDescent="0.15"/>
    <row r="349" ht="12.75" customHeight="1" x14ac:dyDescent="0.15"/>
    <row r="350" ht="12.75" customHeight="1" x14ac:dyDescent="0.15"/>
    <row r="351" ht="12.75" customHeight="1" x14ac:dyDescent="0.15"/>
    <row r="352" ht="12.75" customHeight="1" x14ac:dyDescent="0.15"/>
    <row r="353" ht="12.75" customHeight="1" x14ac:dyDescent="0.15"/>
    <row r="354" ht="12.75" customHeight="1" x14ac:dyDescent="0.15"/>
    <row r="355" ht="12.75" customHeight="1" x14ac:dyDescent="0.15"/>
    <row r="356" ht="12.75" customHeight="1" x14ac:dyDescent="0.15"/>
    <row r="357" ht="12.75" customHeight="1" x14ac:dyDescent="0.15"/>
    <row r="358" ht="12.75" customHeight="1" x14ac:dyDescent="0.15"/>
    <row r="359" ht="12.75" customHeight="1" x14ac:dyDescent="0.15"/>
    <row r="360" ht="12.75" customHeight="1" x14ac:dyDescent="0.15"/>
    <row r="361" ht="12.75" customHeight="1" x14ac:dyDescent="0.15"/>
    <row r="362" ht="12.75" customHeight="1" x14ac:dyDescent="0.15"/>
    <row r="363" ht="12.75" customHeight="1" x14ac:dyDescent="0.15"/>
    <row r="364" ht="12.75" customHeight="1" x14ac:dyDescent="0.15"/>
    <row r="365" ht="12.75" customHeight="1" x14ac:dyDescent="0.15"/>
    <row r="366" ht="12.75" customHeight="1" x14ac:dyDescent="0.15"/>
    <row r="367" ht="12.75" customHeight="1" x14ac:dyDescent="0.15"/>
    <row r="368" ht="12.75" customHeight="1" x14ac:dyDescent="0.15"/>
    <row r="369" ht="12.75" customHeight="1" x14ac:dyDescent="0.15"/>
    <row r="370" ht="12.75" customHeight="1" x14ac:dyDescent="0.15"/>
    <row r="371" ht="12.75" customHeight="1" x14ac:dyDescent="0.15"/>
    <row r="372" ht="12.75" customHeight="1" x14ac:dyDescent="0.15"/>
    <row r="373" ht="12.75" customHeight="1" x14ac:dyDescent="0.15"/>
    <row r="374" ht="12.75" customHeight="1" x14ac:dyDescent="0.15"/>
    <row r="375" ht="12.75" customHeight="1" x14ac:dyDescent="0.15"/>
    <row r="376" ht="12.75" customHeight="1" x14ac:dyDescent="0.15"/>
    <row r="377" ht="12.75" customHeight="1" x14ac:dyDescent="0.15"/>
    <row r="378" ht="12.75" customHeight="1" x14ac:dyDescent="0.15"/>
    <row r="379" ht="12.75" customHeight="1" x14ac:dyDescent="0.15"/>
    <row r="380" ht="12.75" customHeight="1" x14ac:dyDescent="0.15"/>
    <row r="381" ht="12.75" customHeight="1" x14ac:dyDescent="0.15"/>
    <row r="382" ht="12.75" customHeight="1" x14ac:dyDescent="0.15"/>
    <row r="383" ht="12.75" customHeight="1" x14ac:dyDescent="0.15"/>
    <row r="384" ht="12.75" customHeight="1" x14ac:dyDescent="0.15"/>
    <row r="385" ht="12.75" customHeight="1" x14ac:dyDescent="0.15"/>
    <row r="386" ht="12.75" customHeight="1" x14ac:dyDescent="0.15"/>
    <row r="387" ht="12.75" customHeight="1" x14ac:dyDescent="0.15"/>
    <row r="388" ht="12.75" customHeight="1" x14ac:dyDescent="0.15"/>
    <row r="389" ht="12.75" customHeight="1" x14ac:dyDescent="0.15"/>
    <row r="390" ht="12.75" customHeight="1" x14ac:dyDescent="0.15"/>
    <row r="391" ht="12.75" customHeight="1" x14ac:dyDescent="0.15"/>
    <row r="392" ht="12.75" customHeight="1" x14ac:dyDescent="0.15"/>
    <row r="393" ht="12.75" customHeight="1" x14ac:dyDescent="0.15"/>
    <row r="394" ht="12.75" customHeight="1" x14ac:dyDescent="0.15"/>
    <row r="395" ht="12.75" customHeight="1" x14ac:dyDescent="0.15"/>
    <row r="396" ht="12.75" customHeight="1" x14ac:dyDescent="0.15"/>
    <row r="397" ht="12.75" customHeight="1" x14ac:dyDescent="0.15"/>
    <row r="398" ht="12.75" customHeight="1" x14ac:dyDescent="0.15"/>
    <row r="399" ht="12.75" customHeight="1" x14ac:dyDescent="0.15"/>
    <row r="400" ht="12.75" customHeight="1" x14ac:dyDescent="0.15"/>
    <row r="401" ht="12.75" customHeight="1" x14ac:dyDescent="0.15"/>
    <row r="402" ht="12.75" customHeight="1" x14ac:dyDescent="0.15"/>
    <row r="403" ht="12.75" customHeight="1" x14ac:dyDescent="0.15"/>
    <row r="404" ht="12.75" customHeight="1" x14ac:dyDescent="0.15"/>
    <row r="405" ht="12.75" customHeight="1" x14ac:dyDescent="0.15"/>
    <row r="406" ht="12.75" customHeight="1" x14ac:dyDescent="0.15"/>
    <row r="407" ht="12.75" customHeight="1" x14ac:dyDescent="0.15"/>
    <row r="408" ht="12.75" customHeight="1" x14ac:dyDescent="0.15"/>
    <row r="409" ht="12.75" customHeight="1" x14ac:dyDescent="0.15"/>
    <row r="410" ht="12.75" customHeight="1" x14ac:dyDescent="0.15"/>
    <row r="411" ht="12.75" customHeight="1" x14ac:dyDescent="0.15"/>
    <row r="412" ht="12.75" customHeight="1" x14ac:dyDescent="0.15"/>
    <row r="413" ht="12.75" customHeight="1" x14ac:dyDescent="0.15"/>
    <row r="414" ht="12.75" customHeight="1" x14ac:dyDescent="0.15"/>
    <row r="415" ht="12.75" customHeight="1" x14ac:dyDescent="0.15"/>
    <row r="416" ht="12.75" customHeight="1" x14ac:dyDescent="0.15"/>
    <row r="417" ht="12.75" customHeight="1" x14ac:dyDescent="0.15"/>
    <row r="418" ht="12.75" customHeight="1" x14ac:dyDescent="0.15"/>
    <row r="419" ht="12.75" customHeight="1" x14ac:dyDescent="0.15"/>
    <row r="420" ht="12.75" customHeight="1" x14ac:dyDescent="0.15"/>
    <row r="421" ht="12.75" customHeight="1" x14ac:dyDescent="0.15"/>
    <row r="422" ht="12.75" customHeight="1" x14ac:dyDescent="0.15"/>
    <row r="423" ht="12.75" customHeight="1" x14ac:dyDescent="0.15"/>
    <row r="424" ht="12.75" customHeight="1" x14ac:dyDescent="0.15"/>
    <row r="425" ht="12.75" customHeight="1" x14ac:dyDescent="0.15"/>
    <row r="426" ht="12.75" customHeight="1" x14ac:dyDescent="0.15"/>
    <row r="427" ht="12.75" customHeight="1" x14ac:dyDescent="0.15"/>
    <row r="428" ht="12.75" customHeight="1" x14ac:dyDescent="0.15"/>
    <row r="429" ht="12.75" customHeight="1" x14ac:dyDescent="0.15"/>
    <row r="430" ht="12.75" customHeight="1" x14ac:dyDescent="0.15"/>
    <row r="431" ht="12.75" customHeight="1" x14ac:dyDescent="0.15"/>
    <row r="432" ht="12.75" customHeight="1" x14ac:dyDescent="0.15"/>
    <row r="433" ht="12.75" customHeight="1" x14ac:dyDescent="0.15"/>
    <row r="434" ht="12.75" customHeight="1" x14ac:dyDescent="0.15"/>
    <row r="435" ht="12.75" customHeight="1" x14ac:dyDescent="0.15"/>
    <row r="436" ht="12.75" customHeight="1" x14ac:dyDescent="0.15"/>
    <row r="437" ht="12.75" customHeight="1" x14ac:dyDescent="0.15"/>
    <row r="438" ht="12.75" customHeight="1" x14ac:dyDescent="0.15"/>
    <row r="439" ht="12.75" customHeight="1" x14ac:dyDescent="0.15"/>
    <row r="440" ht="12.75" customHeight="1" x14ac:dyDescent="0.15"/>
    <row r="441" ht="12.75" customHeight="1" x14ac:dyDescent="0.15"/>
    <row r="442" ht="12.75" customHeight="1" x14ac:dyDescent="0.15"/>
    <row r="443" ht="12.75" customHeight="1" x14ac:dyDescent="0.15"/>
    <row r="444" ht="12.75" customHeight="1" x14ac:dyDescent="0.15"/>
    <row r="445" ht="12.75" customHeight="1" x14ac:dyDescent="0.15"/>
    <row r="446" ht="12.75" customHeight="1" x14ac:dyDescent="0.15"/>
    <row r="447" ht="12.75" customHeight="1" x14ac:dyDescent="0.15"/>
    <row r="448" ht="12.75" customHeight="1" x14ac:dyDescent="0.15"/>
    <row r="449" ht="12.75" customHeight="1" x14ac:dyDescent="0.15"/>
    <row r="450" ht="12.75" customHeight="1" x14ac:dyDescent="0.15"/>
    <row r="451" ht="12.75" customHeight="1" x14ac:dyDescent="0.15"/>
    <row r="452" ht="12.75" customHeight="1" x14ac:dyDescent="0.15"/>
    <row r="453" ht="12.75" customHeight="1" x14ac:dyDescent="0.15"/>
    <row r="454" ht="12.75" customHeight="1" x14ac:dyDescent="0.15"/>
    <row r="455" ht="12.75" customHeight="1" x14ac:dyDescent="0.15"/>
    <row r="456" ht="12.75" customHeight="1" x14ac:dyDescent="0.15"/>
    <row r="457" ht="12.75" customHeight="1" x14ac:dyDescent="0.15"/>
    <row r="458" ht="12.75" customHeight="1" x14ac:dyDescent="0.15"/>
    <row r="459" ht="12.75" customHeight="1" x14ac:dyDescent="0.15"/>
    <row r="460" ht="12.75" customHeight="1" x14ac:dyDescent="0.15"/>
    <row r="461" ht="12.75" customHeight="1" x14ac:dyDescent="0.15"/>
    <row r="462" ht="12.75" customHeight="1" x14ac:dyDescent="0.15"/>
    <row r="463" ht="12.75" customHeight="1" x14ac:dyDescent="0.15"/>
    <row r="464" ht="12.75" customHeight="1" x14ac:dyDescent="0.15"/>
    <row r="465" ht="12.75" customHeight="1" x14ac:dyDescent="0.15"/>
    <row r="466" ht="12.75" customHeight="1" x14ac:dyDescent="0.15"/>
    <row r="467" ht="12.75" customHeight="1" x14ac:dyDescent="0.15"/>
    <row r="468" ht="12.75" customHeight="1" x14ac:dyDescent="0.15"/>
    <row r="469" ht="12.75" customHeight="1" x14ac:dyDescent="0.15"/>
    <row r="470" ht="12.75" customHeight="1" x14ac:dyDescent="0.15"/>
    <row r="471" ht="12.75" customHeight="1" x14ac:dyDescent="0.15"/>
    <row r="472" ht="12.75" customHeight="1" x14ac:dyDescent="0.15"/>
    <row r="473" ht="12.75" customHeight="1" x14ac:dyDescent="0.15"/>
    <row r="474" ht="12.75" customHeight="1" x14ac:dyDescent="0.15"/>
    <row r="475" ht="12.75" customHeight="1" x14ac:dyDescent="0.15"/>
    <row r="476" ht="12.75" customHeight="1" x14ac:dyDescent="0.15"/>
    <row r="477" ht="12.75" customHeight="1" x14ac:dyDescent="0.15"/>
    <row r="478" ht="12.75" customHeight="1" x14ac:dyDescent="0.15"/>
    <row r="479" ht="12.75" customHeight="1" x14ac:dyDescent="0.15"/>
    <row r="480" ht="12.75" customHeight="1" x14ac:dyDescent="0.15"/>
    <row r="481" ht="12.75" customHeight="1" x14ac:dyDescent="0.15"/>
    <row r="482" ht="12.75" customHeight="1" x14ac:dyDescent="0.15"/>
    <row r="483" ht="12.75" customHeight="1" x14ac:dyDescent="0.15"/>
    <row r="484" ht="12.75" customHeight="1" x14ac:dyDescent="0.15"/>
    <row r="485" ht="12.75" customHeight="1" x14ac:dyDescent="0.15"/>
    <row r="486" ht="12.75" customHeight="1" x14ac:dyDescent="0.15"/>
    <row r="487" ht="12.75" customHeight="1" x14ac:dyDescent="0.15"/>
    <row r="488" ht="12.75" customHeight="1" x14ac:dyDescent="0.15"/>
    <row r="489" ht="12.75" customHeight="1" x14ac:dyDescent="0.15"/>
    <row r="490" ht="12.75" customHeight="1" x14ac:dyDescent="0.15"/>
    <row r="491" ht="12.75" customHeight="1" x14ac:dyDescent="0.15"/>
    <row r="492" ht="12.75" customHeight="1" x14ac:dyDescent="0.15"/>
    <row r="493" ht="12.75" customHeight="1" x14ac:dyDescent="0.15"/>
    <row r="494" ht="12.75" customHeight="1" x14ac:dyDescent="0.15"/>
    <row r="495" ht="12.75" customHeight="1" x14ac:dyDescent="0.15"/>
    <row r="496" ht="12.75" customHeight="1" x14ac:dyDescent="0.15"/>
    <row r="497" ht="12.75" customHeight="1" x14ac:dyDescent="0.15"/>
    <row r="498" ht="12.75" customHeight="1" x14ac:dyDescent="0.15"/>
    <row r="499" ht="12.75" customHeight="1" x14ac:dyDescent="0.15"/>
    <row r="500" ht="12.75" customHeight="1" x14ac:dyDescent="0.15"/>
  </sheetData>
  <conditionalFormatting sqref="N2:N49">
    <cfRule type="colorScale" priority="2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S2:S49">
    <cfRule type="colorScale" priority="3">
      <colorScale>
        <cfvo type="min"/>
        <cfvo type="percentile" val="50"/>
        <cfvo type="max"/>
        <color rgb="FFFEE2E2"/>
        <color rgb="FFFEF3C7"/>
        <color rgb="FFDCFCE7"/>
      </colorScale>
    </cfRule>
  </conditionalFormatting>
  <dataValidations count="1">
    <dataValidation type="list" sqref="AA2:AA500" xr:uid="{00000000-0002-0000-0100-000008000000}">
      <formula1>"да,нет"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xr:uid="{00000000-0002-0000-0100-000000000000}">
          <x14:formula1>
            <xm:f>'06_Lists'!$A$2:$A$6</xm:f>
          </x14:formula1>
          <xm:sqref>C2:C500</xm:sqref>
        </x14:dataValidation>
        <x14:dataValidation type="list" xr:uid="{00000000-0002-0000-0100-000001000000}">
          <x14:formula1>
            <xm:f>'06_Lists'!$B$2:$B$10</xm:f>
          </x14:formula1>
          <xm:sqref>M2:M500</xm:sqref>
        </x14:dataValidation>
        <x14:dataValidation type="list" xr:uid="{00000000-0002-0000-0100-000002000000}">
          <x14:formula1>
            <xm:f>'06_Lists'!$E$2:$E$6</xm:f>
          </x14:formula1>
          <xm:sqref>N2:N500</xm:sqref>
        </x14:dataValidation>
        <x14:dataValidation type="list" xr:uid="{00000000-0002-0000-0100-000003000000}">
          <x14:formula1>
            <xm:f>'06_Lists'!$C$2:$C$12</xm:f>
          </x14:formula1>
          <xm:sqref>O2:O500</xm:sqref>
        </x14:dataValidation>
        <x14:dataValidation type="list" xr:uid="{00000000-0002-0000-0100-000004000000}">
          <x14:formula1>
            <xm:f>'06_Lists'!$F$2:$F$6</xm:f>
          </x14:formula1>
          <xm:sqref>S2:S500</xm:sqref>
        </x14:dataValidation>
        <x14:dataValidation type="list" xr:uid="{00000000-0002-0000-0100-000005000000}">
          <x14:formula1>
            <xm:f>'06_Lists'!$D$2:$D$14</xm:f>
          </x14:formula1>
          <xm:sqref>H2:H500</xm:sqref>
        </x14:dataValidation>
        <x14:dataValidation type="list" xr:uid="{00000000-0002-0000-0100-000006000000}">
          <x14:formula1>
            <xm:f>'06_Lists'!$H$2:$H$56</xm:f>
          </x14:formula1>
          <xm:sqref>Y2:Y500</xm:sqref>
        </x14:dataValidation>
        <x14:dataValidation type="list" xr:uid="{00000000-0002-0000-0100-000007000000}">
          <x14:formula1>
            <xm:f>'06_Lists'!$G$2:$G$12</xm:f>
          </x14:formula1>
          <xm:sqref>Z2:Z500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4"/>
  <sheetViews>
    <sheetView workbookViewId="0"/>
  </sheetViews>
  <sheetFormatPr baseColWidth="10" defaultColWidth="8.6640625" defaultRowHeight="13" x14ac:dyDescent="0.15"/>
  <cols>
    <col min="1" max="1" width="28" customWidth="1"/>
    <col min="2" max="2" width="44" customWidth="1"/>
    <col min="3" max="3" width="22" customWidth="1"/>
    <col min="4" max="4" width="20" customWidth="1"/>
    <col min="5" max="5" width="42" customWidth="1"/>
  </cols>
  <sheetData>
    <row r="1" spans="1:5" ht="27.75" customHeight="1" x14ac:dyDescent="0.15">
      <c r="A1" s="9" t="s">
        <v>1206</v>
      </c>
      <c r="B1" s="9" t="s">
        <v>1207</v>
      </c>
      <c r="C1" s="9" t="s">
        <v>1208</v>
      </c>
      <c r="D1" s="9" t="s">
        <v>1209</v>
      </c>
      <c r="E1" s="9" t="s">
        <v>3</v>
      </c>
    </row>
    <row r="2" spans="1:5" ht="31.5" customHeight="1" x14ac:dyDescent="0.2">
      <c r="A2" s="6" t="s">
        <v>15</v>
      </c>
      <c r="B2" s="6" t="s">
        <v>1210</v>
      </c>
      <c r="C2" s="6" t="s">
        <v>16</v>
      </c>
      <c r="D2" s="6" t="s">
        <v>1211</v>
      </c>
      <c r="E2" s="6" t="s">
        <v>1212</v>
      </c>
    </row>
    <row r="3" spans="1:5" ht="31.5" customHeight="1" x14ac:dyDescent="0.2">
      <c r="A3" s="6" t="s">
        <v>17</v>
      </c>
      <c r="B3" s="6" t="s">
        <v>1213</v>
      </c>
      <c r="C3" s="6" t="s">
        <v>1214</v>
      </c>
      <c r="D3" s="6" t="s">
        <v>1215</v>
      </c>
      <c r="E3" s="6" t="s">
        <v>1216</v>
      </c>
    </row>
    <row r="4" spans="1:5" ht="15.75" customHeight="1" x14ac:dyDescent="0.2">
      <c r="A4" s="6" t="s">
        <v>19</v>
      </c>
      <c r="B4" s="6" t="s">
        <v>1217</v>
      </c>
      <c r="C4" s="6" t="s">
        <v>1218</v>
      </c>
      <c r="D4" s="6" t="s">
        <v>1219</v>
      </c>
      <c r="E4" s="6" t="s">
        <v>1220</v>
      </c>
    </row>
    <row r="5" spans="1:5" ht="15.75" customHeight="1" x14ac:dyDescent="0.2">
      <c r="A5" s="6" t="s">
        <v>21</v>
      </c>
      <c r="B5" s="6" t="s">
        <v>1221</v>
      </c>
      <c r="C5" s="6" t="s">
        <v>18</v>
      </c>
      <c r="D5" s="6" t="s">
        <v>1222</v>
      </c>
      <c r="E5" s="6" t="s">
        <v>1223</v>
      </c>
    </row>
    <row r="6" spans="1:5" ht="31.5" customHeight="1" x14ac:dyDescent="0.2">
      <c r="A6" s="6" t="s">
        <v>23</v>
      </c>
      <c r="B6" s="6" t="s">
        <v>1224</v>
      </c>
      <c r="C6" s="6" t="s">
        <v>20</v>
      </c>
      <c r="D6" s="6" t="s">
        <v>1225</v>
      </c>
      <c r="E6" s="6" t="s">
        <v>1226</v>
      </c>
    </row>
    <row r="7" spans="1:5" ht="31.5" customHeight="1" x14ac:dyDescent="0.2">
      <c r="A7" s="6" t="s">
        <v>25</v>
      </c>
      <c r="B7" s="6" t="s">
        <v>1227</v>
      </c>
      <c r="C7" s="6" t="s">
        <v>22</v>
      </c>
      <c r="D7" s="6" t="s">
        <v>1228</v>
      </c>
      <c r="E7" s="6" t="s">
        <v>1229</v>
      </c>
    </row>
    <row r="8" spans="1:5" ht="15.75" customHeight="1" x14ac:dyDescent="0.2">
      <c r="A8" s="6" t="s">
        <v>27</v>
      </c>
      <c r="B8" s="6" t="s">
        <v>1230</v>
      </c>
      <c r="C8" s="6" t="s">
        <v>1231</v>
      </c>
      <c r="D8" s="6" t="s">
        <v>1232</v>
      </c>
      <c r="E8" s="6" t="s">
        <v>1233</v>
      </c>
    </row>
    <row r="9" spans="1:5" ht="15.75" customHeight="1" x14ac:dyDescent="0.2">
      <c r="A9" s="6" t="s">
        <v>29</v>
      </c>
      <c r="B9" s="6" t="s">
        <v>1234</v>
      </c>
      <c r="C9" s="6" t="s">
        <v>22</v>
      </c>
      <c r="D9" s="6" t="s">
        <v>1235</v>
      </c>
      <c r="E9" s="6" t="s">
        <v>1236</v>
      </c>
    </row>
    <row r="10" spans="1:5" ht="15.75" customHeight="1" x14ac:dyDescent="0.2">
      <c r="A10" s="6" t="s">
        <v>31</v>
      </c>
      <c r="B10" s="6" t="s">
        <v>1237</v>
      </c>
      <c r="C10" s="6" t="s">
        <v>1238</v>
      </c>
      <c r="D10" s="6" t="s">
        <v>1239</v>
      </c>
      <c r="E10" s="6" t="s">
        <v>1240</v>
      </c>
    </row>
    <row r="11" spans="1:5" ht="15.75" customHeight="1" x14ac:dyDescent="0.2">
      <c r="A11" s="6" t="s">
        <v>33</v>
      </c>
      <c r="B11" s="6" t="s">
        <v>1241</v>
      </c>
      <c r="C11" s="6" t="s">
        <v>24</v>
      </c>
      <c r="D11" s="6" t="s">
        <v>1242</v>
      </c>
      <c r="E11" s="6" t="s">
        <v>1243</v>
      </c>
    </row>
    <row r="12" spans="1:5" ht="15.75" customHeight="1" x14ac:dyDescent="0.2">
      <c r="A12" s="6" t="s">
        <v>35</v>
      </c>
      <c r="B12" s="6" t="s">
        <v>1244</v>
      </c>
      <c r="C12" s="6" t="s">
        <v>1245</v>
      </c>
      <c r="D12" s="6" t="s">
        <v>1246</v>
      </c>
      <c r="E12" s="6" t="s">
        <v>1247</v>
      </c>
    </row>
    <row r="13" spans="1:5" ht="15.75" customHeight="1" x14ac:dyDescent="0.2">
      <c r="A13" s="6" t="s">
        <v>37</v>
      </c>
      <c r="B13" s="6" t="s">
        <v>1248</v>
      </c>
      <c r="C13" s="6" t="s">
        <v>32</v>
      </c>
      <c r="D13" s="6" t="s">
        <v>1249</v>
      </c>
      <c r="E13" s="6" t="s">
        <v>1250</v>
      </c>
    </row>
    <row r="14" spans="1:5" ht="15.75" customHeight="1" x14ac:dyDescent="0.2">
      <c r="A14" s="6" t="s">
        <v>38</v>
      </c>
      <c r="B14" s="6" t="s">
        <v>1251</v>
      </c>
      <c r="C14" s="6" t="s">
        <v>32</v>
      </c>
      <c r="D14" s="6" t="s">
        <v>1252</v>
      </c>
      <c r="E14" s="6" t="s">
        <v>1253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0"/>
  <sheetViews>
    <sheetView tabSelected="1" zoomScale="134" zoomScaleNormal="134" workbookViewId="0">
      <selection activeCell="F17" sqref="F17"/>
    </sheetView>
  </sheetViews>
  <sheetFormatPr baseColWidth="10" defaultColWidth="8.6640625" defaultRowHeight="13" x14ac:dyDescent="0.15"/>
  <cols>
    <col min="1" max="1" width="9.6640625" customWidth="1"/>
    <col min="2" max="2" width="27.33203125" customWidth="1"/>
    <col min="3" max="3" width="42" customWidth="1"/>
    <col min="4" max="4" width="76.1640625" customWidth="1"/>
    <col min="5" max="5" width="11.33203125" customWidth="1"/>
    <col min="6" max="6" width="28" customWidth="1"/>
  </cols>
  <sheetData>
    <row r="1" spans="1:6" ht="27.75" customHeight="1" x14ac:dyDescent="0.15">
      <c r="A1" s="1" t="s">
        <v>14</v>
      </c>
      <c r="B1" s="1" t="s">
        <v>1254</v>
      </c>
      <c r="C1" s="1" t="s">
        <v>1255</v>
      </c>
      <c r="D1" s="1" t="s">
        <v>1256</v>
      </c>
      <c r="E1" s="1" t="s">
        <v>1257</v>
      </c>
      <c r="F1" s="11" t="s">
        <v>1258</v>
      </c>
    </row>
    <row r="2" spans="1:6" ht="31.5" customHeight="1" x14ac:dyDescent="0.2">
      <c r="A2" s="6" t="s">
        <v>16</v>
      </c>
      <c r="B2" s="6" t="s">
        <v>1259</v>
      </c>
      <c r="C2" s="6" t="s">
        <v>1260</v>
      </c>
      <c r="D2" s="6" t="s">
        <v>1261</v>
      </c>
      <c r="E2" s="6" t="s">
        <v>1262</v>
      </c>
      <c r="F2" t="s">
        <v>1418</v>
      </c>
    </row>
    <row r="3" spans="1:6" ht="31.5" customHeight="1" x14ac:dyDescent="0.2">
      <c r="A3" s="6" t="s">
        <v>18</v>
      </c>
      <c r="B3" s="6" t="s">
        <v>1263</v>
      </c>
      <c r="C3" s="6" t="s">
        <v>1264</v>
      </c>
      <c r="D3" s="6" t="s">
        <v>1265</v>
      </c>
      <c r="E3" s="6" t="s">
        <v>1262</v>
      </c>
      <c r="F3" t="s">
        <v>1419</v>
      </c>
    </row>
    <row r="4" spans="1:6" ht="31.5" customHeight="1" x14ac:dyDescent="0.2">
      <c r="A4" s="6" t="s">
        <v>20</v>
      </c>
      <c r="B4" s="6" t="s">
        <v>23</v>
      </c>
      <c r="C4" s="6" t="s">
        <v>1266</v>
      </c>
      <c r="D4" s="6" t="s">
        <v>1267</v>
      </c>
      <c r="E4" s="6" t="s">
        <v>1262</v>
      </c>
      <c r="F4" t="s">
        <v>1420</v>
      </c>
    </row>
    <row r="5" spans="1:6" ht="31.5" customHeight="1" x14ac:dyDescent="0.2">
      <c r="A5" s="6" t="s">
        <v>22</v>
      </c>
      <c r="B5" s="6" t="s">
        <v>1268</v>
      </c>
      <c r="C5" s="6" t="s">
        <v>1269</v>
      </c>
      <c r="D5" s="6" t="s">
        <v>1270</v>
      </c>
      <c r="E5" s="6" t="s">
        <v>1262</v>
      </c>
      <c r="F5" t="s">
        <v>1421</v>
      </c>
    </row>
    <row r="6" spans="1:6" ht="31.5" customHeight="1" x14ac:dyDescent="0.2">
      <c r="A6" s="6" t="s">
        <v>24</v>
      </c>
      <c r="B6" s="6" t="s">
        <v>33</v>
      </c>
      <c r="C6" s="6" t="s">
        <v>1271</v>
      </c>
      <c r="D6" s="6" t="s">
        <v>1272</v>
      </c>
      <c r="E6" s="6" t="s">
        <v>1262</v>
      </c>
      <c r="F6" t="s">
        <v>1422</v>
      </c>
    </row>
    <row r="7" spans="1:6" ht="31.5" customHeight="1" x14ac:dyDescent="0.2">
      <c r="A7" s="6" t="s">
        <v>26</v>
      </c>
      <c r="B7" s="6" t="s">
        <v>1273</v>
      </c>
      <c r="C7" s="6" t="s">
        <v>1274</v>
      </c>
      <c r="D7" s="6" t="s">
        <v>1275</v>
      </c>
      <c r="E7" s="6" t="s">
        <v>1276</v>
      </c>
      <c r="F7" t="s">
        <v>1423</v>
      </c>
    </row>
    <row r="8" spans="1:6" ht="12.75" customHeight="1" x14ac:dyDescent="0.15">
      <c r="A8" s="11" t="s">
        <v>28</v>
      </c>
      <c r="B8" s="11" t="s">
        <v>1277</v>
      </c>
      <c r="C8" s="11" t="s">
        <v>1278</v>
      </c>
      <c r="D8" s="11" t="s">
        <v>1279</v>
      </c>
      <c r="E8" s="11" t="s">
        <v>1276</v>
      </c>
      <c r="F8" t="s">
        <v>1424</v>
      </c>
    </row>
    <row r="9" spans="1:6" ht="28" x14ac:dyDescent="0.15">
      <c r="A9" s="11" t="s">
        <v>30</v>
      </c>
      <c r="B9" s="11" t="s">
        <v>1281</v>
      </c>
      <c r="C9" s="11" t="s">
        <v>1282</v>
      </c>
      <c r="D9" s="11" t="s">
        <v>1283</v>
      </c>
      <c r="E9" s="11" t="s">
        <v>1276</v>
      </c>
      <c r="F9" s="11" t="s">
        <v>1280</v>
      </c>
    </row>
    <row r="10" spans="1:6" ht="28" x14ac:dyDescent="0.15">
      <c r="A10" s="11" t="s">
        <v>32</v>
      </c>
      <c r="B10" s="11" t="s">
        <v>1284</v>
      </c>
      <c r="C10" s="11" t="s">
        <v>1285</v>
      </c>
      <c r="D10" s="11" t="s">
        <v>1286</v>
      </c>
      <c r="E10" s="11" t="s">
        <v>1287</v>
      </c>
      <c r="F10" s="11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52"/>
  <sheetViews>
    <sheetView workbookViewId="0"/>
  </sheetViews>
  <sheetFormatPr baseColWidth="10" defaultColWidth="8.6640625" defaultRowHeight="13" x14ac:dyDescent="0.15"/>
  <cols>
    <col min="1" max="1" width="14" customWidth="1"/>
    <col min="2" max="2" width="42" customWidth="1"/>
    <col min="3" max="3" width="70" customWidth="1"/>
    <col min="4" max="4" width="42" customWidth="1"/>
    <col min="5" max="5" width="30" customWidth="1"/>
  </cols>
  <sheetData>
    <row r="1" spans="1:5" ht="27.75" customHeight="1" x14ac:dyDescent="0.15">
      <c r="A1" s="9" t="s">
        <v>64</v>
      </c>
      <c r="B1" s="9" t="s">
        <v>1288</v>
      </c>
      <c r="C1" s="9" t="s">
        <v>1289</v>
      </c>
      <c r="D1" s="9" t="s">
        <v>1290</v>
      </c>
      <c r="E1" s="9" t="s">
        <v>1291</v>
      </c>
    </row>
    <row r="2" spans="1:5" ht="31.5" customHeight="1" x14ac:dyDescent="0.2">
      <c r="A2" s="6" t="s">
        <v>87</v>
      </c>
      <c r="B2" s="6" t="s">
        <v>88</v>
      </c>
      <c r="C2" s="6" t="s">
        <v>89</v>
      </c>
      <c r="D2" s="6" t="s">
        <v>1292</v>
      </c>
      <c r="E2" s="6" t="s">
        <v>1293</v>
      </c>
    </row>
    <row r="3" spans="1:5" ht="31.5" customHeight="1" x14ac:dyDescent="0.2">
      <c r="A3" s="6" t="s">
        <v>125</v>
      </c>
      <c r="B3" s="6" t="s">
        <v>126</v>
      </c>
      <c r="C3" s="6" t="s">
        <v>127</v>
      </c>
      <c r="D3" s="6" t="s">
        <v>1294</v>
      </c>
      <c r="E3" s="6" t="s">
        <v>1295</v>
      </c>
    </row>
    <row r="4" spans="1:5" ht="31.5" customHeight="1" x14ac:dyDescent="0.2">
      <c r="A4" s="6" t="s">
        <v>107</v>
      </c>
      <c r="B4" s="6" t="s">
        <v>108</v>
      </c>
      <c r="C4" s="6" t="s">
        <v>109</v>
      </c>
      <c r="D4" s="6" t="s">
        <v>1296</v>
      </c>
      <c r="E4" s="6" t="s">
        <v>1297</v>
      </c>
    </row>
    <row r="5" spans="1:5" ht="31.5" customHeight="1" x14ac:dyDescent="0.2">
      <c r="A5" s="6" t="s">
        <v>196</v>
      </c>
      <c r="B5" s="6" t="s">
        <v>197</v>
      </c>
      <c r="C5" s="6" t="s">
        <v>198</v>
      </c>
      <c r="D5" s="6" t="s">
        <v>1298</v>
      </c>
      <c r="E5" s="6" t="s">
        <v>1299</v>
      </c>
    </row>
    <row r="6" spans="1:5" ht="31.5" customHeight="1" x14ac:dyDescent="0.2">
      <c r="A6" s="6" t="s">
        <v>213</v>
      </c>
      <c r="B6" s="6" t="s">
        <v>214</v>
      </c>
      <c r="C6" s="6" t="s">
        <v>215</v>
      </c>
      <c r="D6" s="6" t="s">
        <v>1300</v>
      </c>
      <c r="E6" s="6" t="s">
        <v>1301</v>
      </c>
    </row>
    <row r="7" spans="1:5" ht="15.75" customHeight="1" x14ac:dyDescent="0.2">
      <c r="A7" s="6" t="s">
        <v>230</v>
      </c>
      <c r="B7" s="6" t="s">
        <v>231</v>
      </c>
      <c r="C7" s="6" t="s">
        <v>232</v>
      </c>
      <c r="D7" s="6" t="s">
        <v>1302</v>
      </c>
      <c r="E7" s="6" t="s">
        <v>1303</v>
      </c>
    </row>
    <row r="8" spans="1:5" ht="31.5" customHeight="1" x14ac:dyDescent="0.2">
      <c r="A8" s="6" t="s">
        <v>250</v>
      </c>
      <c r="B8" s="6" t="s">
        <v>251</v>
      </c>
      <c r="C8" s="6" t="s">
        <v>252</v>
      </c>
      <c r="D8" s="6" t="s">
        <v>1304</v>
      </c>
      <c r="E8" s="6" t="s">
        <v>1301</v>
      </c>
    </row>
    <row r="9" spans="1:5" ht="31.5" customHeight="1" x14ac:dyDescent="0.2">
      <c r="A9" s="6" t="s">
        <v>267</v>
      </c>
      <c r="B9" s="6" t="s">
        <v>268</v>
      </c>
      <c r="C9" s="6" t="s">
        <v>269</v>
      </c>
      <c r="D9" s="6" t="s">
        <v>1305</v>
      </c>
      <c r="E9" s="6" t="s">
        <v>1306</v>
      </c>
    </row>
    <row r="10" spans="1:5" ht="15.75" customHeight="1" x14ac:dyDescent="0.2">
      <c r="A10" s="6" t="s">
        <v>285</v>
      </c>
      <c r="B10" s="6" t="s">
        <v>286</v>
      </c>
      <c r="C10" s="6" t="s">
        <v>287</v>
      </c>
      <c r="D10" s="6" t="s">
        <v>1307</v>
      </c>
      <c r="E10" s="6" t="s">
        <v>1308</v>
      </c>
    </row>
    <row r="11" spans="1:5" ht="31.5" customHeight="1" x14ac:dyDescent="0.2">
      <c r="A11" s="6" t="s">
        <v>317</v>
      </c>
      <c r="B11" s="6" t="s">
        <v>318</v>
      </c>
      <c r="C11" s="6" t="s">
        <v>319</v>
      </c>
      <c r="D11" s="6" t="s">
        <v>1309</v>
      </c>
      <c r="E11" s="6" t="s">
        <v>1310</v>
      </c>
    </row>
    <row r="12" spans="1:5" ht="31.5" customHeight="1" x14ac:dyDescent="0.2">
      <c r="A12" s="6" t="s">
        <v>302</v>
      </c>
      <c r="B12" s="6" t="s">
        <v>303</v>
      </c>
      <c r="C12" s="6" t="s">
        <v>304</v>
      </c>
      <c r="D12" s="6" t="s">
        <v>1311</v>
      </c>
      <c r="E12" s="6" t="s">
        <v>1312</v>
      </c>
    </row>
    <row r="13" spans="1:5" ht="31.5" customHeight="1" x14ac:dyDescent="0.2">
      <c r="A13" s="6" t="s">
        <v>433</v>
      </c>
      <c r="B13" s="6" t="s">
        <v>434</v>
      </c>
      <c r="C13" s="6" t="s">
        <v>435</v>
      </c>
      <c r="D13" s="6" t="s">
        <v>1313</v>
      </c>
      <c r="E13" s="6" t="s">
        <v>1314</v>
      </c>
    </row>
    <row r="14" spans="1:5" ht="31.5" customHeight="1" x14ac:dyDescent="0.2">
      <c r="A14" s="6" t="s">
        <v>405</v>
      </c>
      <c r="B14" s="6" t="s">
        <v>406</v>
      </c>
      <c r="C14" s="6" t="s">
        <v>407</v>
      </c>
      <c r="D14" s="6" t="s">
        <v>1315</v>
      </c>
      <c r="E14" s="6" t="s">
        <v>1316</v>
      </c>
    </row>
    <row r="15" spans="1:5" ht="31.5" customHeight="1" x14ac:dyDescent="0.2">
      <c r="A15" s="6" t="s">
        <v>1317</v>
      </c>
      <c r="B15" s="6" t="s">
        <v>1318</v>
      </c>
      <c r="C15" s="6" t="s">
        <v>1319</v>
      </c>
      <c r="D15" s="6" t="s">
        <v>1320</v>
      </c>
      <c r="E15" s="6" t="s">
        <v>1321</v>
      </c>
    </row>
    <row r="16" spans="1:5" ht="31.5" customHeight="1" x14ac:dyDescent="0.2">
      <c r="A16" s="6" t="s">
        <v>534</v>
      </c>
      <c r="B16" s="6" t="s">
        <v>535</v>
      </c>
      <c r="C16" s="6" t="s">
        <v>536</v>
      </c>
      <c r="D16" s="6" t="s">
        <v>1322</v>
      </c>
      <c r="E16" s="6" t="s">
        <v>1323</v>
      </c>
    </row>
    <row r="17" spans="1:5" ht="31.5" customHeight="1" x14ac:dyDescent="0.2">
      <c r="A17" s="6" t="s">
        <v>388</v>
      </c>
      <c r="B17" s="6" t="s">
        <v>389</v>
      </c>
      <c r="C17" s="6" t="s">
        <v>390</v>
      </c>
      <c r="D17" s="6" t="s">
        <v>1324</v>
      </c>
      <c r="E17" s="6" t="s">
        <v>1316</v>
      </c>
    </row>
    <row r="18" spans="1:5" ht="15.75" customHeight="1" x14ac:dyDescent="0.2">
      <c r="A18" s="6" t="s">
        <v>467</v>
      </c>
      <c r="B18" s="6" t="s">
        <v>468</v>
      </c>
      <c r="C18" s="6" t="s">
        <v>469</v>
      </c>
      <c r="D18" s="6" t="s">
        <v>1325</v>
      </c>
      <c r="E18" s="6" t="s">
        <v>1326</v>
      </c>
    </row>
    <row r="19" spans="1:5" ht="31.5" customHeight="1" x14ac:dyDescent="0.2">
      <c r="A19" s="6" t="s">
        <v>560</v>
      </c>
      <c r="B19" s="6" t="s">
        <v>561</v>
      </c>
      <c r="C19" s="6" t="s">
        <v>562</v>
      </c>
      <c r="D19" s="6" t="s">
        <v>1327</v>
      </c>
      <c r="E19" s="6" t="s">
        <v>1295</v>
      </c>
    </row>
    <row r="20" spans="1:5" ht="31.5" customHeight="1" x14ac:dyDescent="0.2">
      <c r="A20" s="6" t="s">
        <v>577</v>
      </c>
      <c r="B20" s="6" t="s">
        <v>578</v>
      </c>
      <c r="C20" s="6" t="s">
        <v>579</v>
      </c>
      <c r="D20" s="6" t="s">
        <v>1328</v>
      </c>
      <c r="E20" s="6" t="s">
        <v>1301</v>
      </c>
    </row>
    <row r="21" spans="1:5" ht="31.5" customHeight="1" x14ac:dyDescent="0.2">
      <c r="A21" s="6" t="s">
        <v>546</v>
      </c>
      <c r="B21" s="6" t="s">
        <v>547</v>
      </c>
      <c r="C21" s="6" t="s">
        <v>548</v>
      </c>
      <c r="D21" s="6" t="s">
        <v>1329</v>
      </c>
      <c r="E21" s="6" t="s">
        <v>1301</v>
      </c>
    </row>
    <row r="22" spans="1:5" ht="31.5" customHeight="1" x14ac:dyDescent="0.2">
      <c r="A22" s="6" t="s">
        <v>669</v>
      </c>
      <c r="B22" s="6" t="s">
        <v>670</v>
      </c>
      <c r="C22" s="6" t="s">
        <v>671</v>
      </c>
      <c r="D22" s="6" t="s">
        <v>1330</v>
      </c>
      <c r="E22" s="6" t="s">
        <v>1331</v>
      </c>
    </row>
    <row r="23" spans="1:5" ht="31.5" customHeight="1" x14ac:dyDescent="0.2">
      <c r="A23" s="6" t="s">
        <v>720</v>
      </c>
      <c r="B23" s="6" t="s">
        <v>721</v>
      </c>
      <c r="C23" s="6" t="s">
        <v>722</v>
      </c>
      <c r="D23" s="6" t="s">
        <v>1332</v>
      </c>
      <c r="E23" s="6" t="s">
        <v>1321</v>
      </c>
    </row>
    <row r="24" spans="1:5" ht="15.75" customHeight="1" x14ac:dyDescent="0.2">
      <c r="A24" s="6" t="s">
        <v>374</v>
      </c>
      <c r="B24" s="6" t="s">
        <v>375</v>
      </c>
      <c r="C24" s="6" t="s">
        <v>376</v>
      </c>
      <c r="D24" s="6" t="s">
        <v>1333</v>
      </c>
      <c r="E24" s="6" t="s">
        <v>1301</v>
      </c>
    </row>
    <row r="25" spans="1:5" ht="31.5" customHeight="1" x14ac:dyDescent="0.2">
      <c r="A25" s="6" t="s">
        <v>494</v>
      </c>
      <c r="B25" s="6" t="s">
        <v>495</v>
      </c>
      <c r="C25" s="6" t="s">
        <v>496</v>
      </c>
      <c r="D25" s="6" t="s">
        <v>1334</v>
      </c>
      <c r="E25" s="6" t="s">
        <v>1335</v>
      </c>
    </row>
    <row r="26" spans="1:5" ht="31.5" customHeight="1" x14ac:dyDescent="0.2">
      <c r="A26" s="6" t="s">
        <v>631</v>
      </c>
      <c r="B26" s="6" t="s">
        <v>632</v>
      </c>
      <c r="C26" s="6" t="s">
        <v>633</v>
      </c>
      <c r="D26" s="6" t="s">
        <v>1336</v>
      </c>
      <c r="E26" s="6" t="s">
        <v>1337</v>
      </c>
    </row>
    <row r="27" spans="1:5" ht="31.5" customHeight="1" x14ac:dyDescent="0.2">
      <c r="A27" s="6" t="s">
        <v>1338</v>
      </c>
      <c r="B27" s="6" t="s">
        <v>1339</v>
      </c>
      <c r="C27" s="6" t="s">
        <v>1340</v>
      </c>
      <c r="D27" s="6" t="s">
        <v>1341</v>
      </c>
      <c r="E27" s="6" t="s">
        <v>1342</v>
      </c>
    </row>
    <row r="28" spans="1:5" ht="23.25" customHeight="1" x14ac:dyDescent="0.15">
      <c r="A28" s="5" t="s">
        <v>775</v>
      </c>
      <c r="B28" s="5" t="s">
        <v>776</v>
      </c>
      <c r="C28" s="5" t="s">
        <v>777</v>
      </c>
      <c r="D28" s="5" t="s">
        <v>1343</v>
      </c>
      <c r="E28" s="5" t="s">
        <v>1301</v>
      </c>
    </row>
    <row r="29" spans="1:5" ht="23.25" customHeight="1" x14ac:dyDescent="0.15">
      <c r="A29" s="5" t="s">
        <v>822</v>
      </c>
      <c r="B29" s="5" t="s">
        <v>823</v>
      </c>
      <c r="C29" s="5" t="s">
        <v>824</v>
      </c>
      <c r="D29" s="5" t="s">
        <v>1344</v>
      </c>
      <c r="E29" s="5" t="s">
        <v>1331</v>
      </c>
    </row>
    <row r="30" spans="1:5" ht="23.25" customHeight="1" x14ac:dyDescent="0.15">
      <c r="A30" s="5" t="s">
        <v>806</v>
      </c>
      <c r="B30" s="5" t="s">
        <v>807</v>
      </c>
      <c r="C30" s="5" t="s">
        <v>808</v>
      </c>
      <c r="D30" s="5" t="s">
        <v>1345</v>
      </c>
      <c r="E30" s="5" t="s">
        <v>1301</v>
      </c>
    </row>
    <row r="31" spans="1:5" ht="23.25" customHeight="1" x14ac:dyDescent="0.15">
      <c r="A31" s="5" t="s">
        <v>838</v>
      </c>
      <c r="B31" s="5" t="s">
        <v>839</v>
      </c>
      <c r="C31" s="5" t="s">
        <v>840</v>
      </c>
      <c r="D31" s="5" t="s">
        <v>1346</v>
      </c>
      <c r="E31" s="5" t="s">
        <v>1347</v>
      </c>
    </row>
    <row r="32" spans="1:5" ht="23.25" customHeight="1" x14ac:dyDescent="0.15">
      <c r="A32" s="5" t="s">
        <v>854</v>
      </c>
      <c r="B32" s="5" t="s">
        <v>855</v>
      </c>
      <c r="C32" s="5" t="s">
        <v>856</v>
      </c>
      <c r="D32" s="5" t="s">
        <v>1348</v>
      </c>
      <c r="E32" s="5" t="s">
        <v>1349</v>
      </c>
    </row>
    <row r="33" spans="1:5" ht="23.25" customHeight="1" x14ac:dyDescent="0.15">
      <c r="A33" s="5" t="s">
        <v>870</v>
      </c>
      <c r="B33" s="5" t="s">
        <v>871</v>
      </c>
      <c r="C33" s="5" t="s">
        <v>872</v>
      </c>
      <c r="D33" s="5" t="s">
        <v>1350</v>
      </c>
      <c r="E33" s="5" t="s">
        <v>1349</v>
      </c>
    </row>
    <row r="34" spans="1:5" ht="23.25" customHeight="1" x14ac:dyDescent="0.15">
      <c r="A34" s="5" t="s">
        <v>885</v>
      </c>
      <c r="B34" s="5" t="s">
        <v>886</v>
      </c>
      <c r="C34" s="5" t="s">
        <v>887</v>
      </c>
      <c r="D34" s="5" t="s">
        <v>1351</v>
      </c>
      <c r="E34" s="5" t="s">
        <v>1352</v>
      </c>
    </row>
    <row r="35" spans="1:5" ht="23.25" customHeight="1" x14ac:dyDescent="0.15">
      <c r="A35" s="5" t="s">
        <v>900</v>
      </c>
      <c r="B35" s="5" t="s">
        <v>901</v>
      </c>
      <c r="C35" s="5" t="s">
        <v>902</v>
      </c>
      <c r="D35" s="5" t="s">
        <v>1353</v>
      </c>
      <c r="E35" s="5" t="s">
        <v>1301</v>
      </c>
    </row>
    <row r="36" spans="1:5" ht="28" x14ac:dyDescent="0.15">
      <c r="A36" s="11" t="s">
        <v>941</v>
      </c>
      <c r="B36" s="11" t="s">
        <v>942</v>
      </c>
      <c r="C36" s="11" t="s">
        <v>943</v>
      </c>
      <c r="D36" s="11" t="s">
        <v>1354</v>
      </c>
      <c r="E36" s="11" t="s">
        <v>1308</v>
      </c>
    </row>
    <row r="37" spans="1:5" ht="42" x14ac:dyDescent="0.15">
      <c r="A37" s="11" t="s">
        <v>953</v>
      </c>
      <c r="B37" s="11" t="s">
        <v>954</v>
      </c>
      <c r="C37" s="11" t="s">
        <v>955</v>
      </c>
      <c r="D37" s="11" t="s">
        <v>1355</v>
      </c>
      <c r="E37" s="11" t="s">
        <v>1301</v>
      </c>
    </row>
    <row r="38" spans="1:5" ht="28" x14ac:dyDescent="0.15">
      <c r="A38" s="11" t="s">
        <v>969</v>
      </c>
      <c r="B38" s="11" t="s">
        <v>970</v>
      </c>
      <c r="C38" s="11" t="s">
        <v>971</v>
      </c>
      <c r="D38" s="11" t="s">
        <v>1356</v>
      </c>
      <c r="E38" s="11" t="s">
        <v>1357</v>
      </c>
    </row>
    <row r="39" spans="1:5" ht="28" x14ac:dyDescent="0.15">
      <c r="A39" s="11" t="s">
        <v>986</v>
      </c>
      <c r="B39" s="11" t="s">
        <v>987</v>
      </c>
      <c r="C39" s="11" t="s">
        <v>988</v>
      </c>
      <c r="D39" s="11" t="s">
        <v>1358</v>
      </c>
      <c r="E39" s="11" t="s">
        <v>1308</v>
      </c>
    </row>
    <row r="40" spans="1:5" ht="28" x14ac:dyDescent="0.15">
      <c r="A40" s="11" t="s">
        <v>999</v>
      </c>
      <c r="B40" s="11" t="s">
        <v>1000</v>
      </c>
      <c r="C40" s="11" t="s">
        <v>1001</v>
      </c>
      <c r="D40" s="11" t="s">
        <v>1359</v>
      </c>
      <c r="E40" s="11" t="s">
        <v>1316</v>
      </c>
    </row>
    <row r="41" spans="1:5" ht="28" x14ac:dyDescent="0.15">
      <c r="A41" s="11" t="s">
        <v>1012</v>
      </c>
      <c r="B41" s="11" t="s">
        <v>1013</v>
      </c>
      <c r="C41" s="11" t="s">
        <v>1014</v>
      </c>
      <c r="D41" s="11" t="s">
        <v>1360</v>
      </c>
      <c r="E41" s="11" t="s">
        <v>1301</v>
      </c>
    </row>
    <row r="42" spans="1:5" ht="42" x14ac:dyDescent="0.15">
      <c r="A42" s="11" t="s">
        <v>1027</v>
      </c>
      <c r="B42" s="11" t="s">
        <v>1028</v>
      </c>
      <c r="C42" s="11" t="s">
        <v>1029</v>
      </c>
      <c r="D42" s="11" t="s">
        <v>1361</v>
      </c>
      <c r="E42" s="11" t="s">
        <v>1362</v>
      </c>
    </row>
    <row r="43" spans="1:5" ht="28" x14ac:dyDescent="0.15">
      <c r="A43" s="11" t="s">
        <v>1042</v>
      </c>
      <c r="B43" s="11" t="s">
        <v>1043</v>
      </c>
      <c r="C43" s="11" t="s">
        <v>1044</v>
      </c>
      <c r="D43" s="11" t="s">
        <v>1363</v>
      </c>
      <c r="E43" s="11" t="s">
        <v>1362</v>
      </c>
    </row>
    <row r="44" spans="1:5" ht="28" x14ac:dyDescent="0.15">
      <c r="A44" s="11" t="s">
        <v>1057</v>
      </c>
      <c r="B44" s="11" t="s">
        <v>1058</v>
      </c>
      <c r="C44" s="11" t="s">
        <v>1059</v>
      </c>
      <c r="D44" s="11" t="s">
        <v>1364</v>
      </c>
      <c r="E44" s="11" t="s">
        <v>1301</v>
      </c>
    </row>
    <row r="45" spans="1:5" ht="28" x14ac:dyDescent="0.15">
      <c r="A45" s="11" t="s">
        <v>1070</v>
      </c>
      <c r="B45" s="11" t="s">
        <v>1071</v>
      </c>
      <c r="C45" s="11" t="s">
        <v>1072</v>
      </c>
      <c r="D45" s="11" t="s">
        <v>1365</v>
      </c>
      <c r="E45" s="11" t="s">
        <v>1308</v>
      </c>
    </row>
    <row r="46" spans="1:5" ht="28" x14ac:dyDescent="0.15">
      <c r="A46" s="11" t="s">
        <v>1366</v>
      </c>
      <c r="B46" s="11" t="s">
        <v>1367</v>
      </c>
      <c r="C46" s="11" t="s">
        <v>1368</v>
      </c>
      <c r="D46" s="11" t="s">
        <v>1369</v>
      </c>
      <c r="E46" s="11" t="s">
        <v>1331</v>
      </c>
    </row>
    <row r="47" spans="1:5" ht="28" x14ac:dyDescent="0.15">
      <c r="A47" s="11" t="s">
        <v>1084</v>
      </c>
      <c r="B47" s="11" t="s">
        <v>1085</v>
      </c>
      <c r="C47" s="11" t="s">
        <v>1086</v>
      </c>
      <c r="D47" s="11" t="s">
        <v>1370</v>
      </c>
      <c r="E47" s="11" t="s">
        <v>1371</v>
      </c>
    </row>
    <row r="48" spans="1:5" ht="42" x14ac:dyDescent="0.15">
      <c r="A48" s="11" t="s">
        <v>1100</v>
      </c>
      <c r="B48" s="11" t="s">
        <v>1101</v>
      </c>
      <c r="C48" s="11" t="s">
        <v>1102</v>
      </c>
      <c r="D48" s="11" t="s">
        <v>1372</v>
      </c>
      <c r="E48" s="11" t="s">
        <v>1331</v>
      </c>
    </row>
    <row r="49" spans="1:5" ht="28" x14ac:dyDescent="0.15">
      <c r="A49" s="11" t="s">
        <v>1373</v>
      </c>
      <c r="B49" s="11" t="s">
        <v>1374</v>
      </c>
      <c r="C49" s="11" t="s">
        <v>1375</v>
      </c>
      <c r="D49" s="11" t="s">
        <v>1376</v>
      </c>
      <c r="E49" s="11" t="s">
        <v>1377</v>
      </c>
    </row>
    <row r="50" spans="1:5" ht="28" x14ac:dyDescent="0.15">
      <c r="A50" s="11" t="s">
        <v>1131</v>
      </c>
      <c r="B50" s="11" t="s">
        <v>1132</v>
      </c>
      <c r="C50" s="11" t="s">
        <v>1133</v>
      </c>
      <c r="D50" s="11" t="s">
        <v>1378</v>
      </c>
      <c r="E50" s="11" t="s">
        <v>1301</v>
      </c>
    </row>
    <row r="51" spans="1:5" ht="28" x14ac:dyDescent="0.15">
      <c r="A51" s="11" t="s">
        <v>1115</v>
      </c>
      <c r="B51" s="11" t="s">
        <v>1116</v>
      </c>
      <c r="C51" s="11" t="s">
        <v>1117</v>
      </c>
      <c r="D51" s="11" t="s">
        <v>1379</v>
      </c>
      <c r="E51" s="11" t="s">
        <v>1308</v>
      </c>
    </row>
    <row r="52" spans="1:5" ht="42" x14ac:dyDescent="0.15">
      <c r="A52" s="11" t="s">
        <v>1197</v>
      </c>
      <c r="B52" s="11" t="s">
        <v>1198</v>
      </c>
      <c r="C52" s="11" t="s">
        <v>1199</v>
      </c>
      <c r="D52" s="11" t="s">
        <v>1380</v>
      </c>
      <c r="E52" s="11" t="s">
        <v>1308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56"/>
  <sheetViews>
    <sheetView workbookViewId="0"/>
  </sheetViews>
  <sheetFormatPr baseColWidth="10" defaultColWidth="8.6640625" defaultRowHeight="13" x14ac:dyDescent="0.15"/>
  <cols>
    <col min="1" max="1" width="13.6640625" customWidth="1"/>
    <col min="2" max="2" width="57.83203125" customWidth="1"/>
    <col min="3" max="3" width="14.6640625" customWidth="1"/>
    <col min="4" max="4" width="28" customWidth="1"/>
    <col min="5" max="5" width="8.1640625" customWidth="1"/>
    <col min="6" max="6" width="10.6640625" customWidth="1"/>
    <col min="7" max="7" width="30.6640625" customWidth="1"/>
    <col min="8" max="8" width="40.1640625" customWidth="1"/>
  </cols>
  <sheetData>
    <row r="1" spans="1:8" ht="27.75" customHeight="1" x14ac:dyDescent="0.15">
      <c r="A1" s="1" t="s">
        <v>53</v>
      </c>
      <c r="B1" s="1" t="s">
        <v>61</v>
      </c>
      <c r="C1" s="1" t="s">
        <v>14</v>
      </c>
      <c r="D1" s="1" t="s">
        <v>1206</v>
      </c>
      <c r="E1" s="1" t="s">
        <v>1381</v>
      </c>
      <c r="F1" s="1" t="s">
        <v>1382</v>
      </c>
      <c r="G1" s="2" t="s">
        <v>39</v>
      </c>
      <c r="H1" s="2" t="s">
        <v>73</v>
      </c>
    </row>
    <row r="2" spans="1:8" ht="15.75" customHeight="1" x14ac:dyDescent="0.2">
      <c r="A2" s="6" t="s">
        <v>414</v>
      </c>
      <c r="B2" s="6" t="s">
        <v>421</v>
      </c>
      <c r="C2" s="6" t="s">
        <v>16</v>
      </c>
      <c r="D2" s="6" t="s">
        <v>15</v>
      </c>
      <c r="E2" s="6">
        <v>1</v>
      </c>
      <c r="F2" s="6">
        <v>1</v>
      </c>
      <c r="G2" s="11" t="s">
        <v>40</v>
      </c>
      <c r="H2" s="11" t="s">
        <v>159</v>
      </c>
    </row>
    <row r="3" spans="1:8" ht="15.75" customHeight="1" x14ac:dyDescent="0.2">
      <c r="A3" s="6" t="s">
        <v>98</v>
      </c>
      <c r="B3" s="6" t="s">
        <v>333</v>
      </c>
      <c r="C3" s="6" t="s">
        <v>18</v>
      </c>
      <c r="D3" s="6" t="s">
        <v>17</v>
      </c>
      <c r="E3" s="6">
        <v>2</v>
      </c>
      <c r="F3" s="6">
        <v>2</v>
      </c>
      <c r="G3" s="11" t="s">
        <v>41</v>
      </c>
      <c r="H3" s="11" t="s">
        <v>173</v>
      </c>
    </row>
    <row r="4" spans="1:8" ht="15.75" customHeight="1" x14ac:dyDescent="0.2">
      <c r="A4" s="6" t="s">
        <v>176</v>
      </c>
      <c r="B4" s="6" t="s">
        <v>668</v>
      </c>
      <c r="C4" s="6" t="s">
        <v>20</v>
      </c>
      <c r="D4" s="6" t="s">
        <v>19</v>
      </c>
      <c r="E4" s="6">
        <v>3</v>
      </c>
      <c r="F4" s="6">
        <v>3</v>
      </c>
      <c r="G4" s="11" t="s">
        <v>42</v>
      </c>
      <c r="H4" s="11" t="s">
        <v>500</v>
      </c>
    </row>
    <row r="5" spans="1:8" ht="15.75" customHeight="1" x14ac:dyDescent="0.2">
      <c r="A5" s="6" t="s">
        <v>77</v>
      </c>
      <c r="B5" s="6" t="s">
        <v>404</v>
      </c>
      <c r="C5" s="6" t="s">
        <v>22</v>
      </c>
      <c r="D5" s="6" t="s">
        <v>21</v>
      </c>
      <c r="E5" s="6">
        <v>4</v>
      </c>
      <c r="F5" s="6">
        <v>4</v>
      </c>
      <c r="G5" s="11" t="s">
        <v>43</v>
      </c>
      <c r="H5" s="11" t="s">
        <v>238</v>
      </c>
    </row>
    <row r="6" spans="1:8" ht="31.5" customHeight="1" x14ac:dyDescent="0.2">
      <c r="A6" s="6" t="s">
        <v>326</v>
      </c>
      <c r="B6" s="6" t="s">
        <v>760</v>
      </c>
      <c r="C6" s="6" t="s">
        <v>24</v>
      </c>
      <c r="D6" s="6" t="s">
        <v>23</v>
      </c>
      <c r="E6" s="6">
        <v>5</v>
      </c>
      <c r="F6" s="6">
        <v>5</v>
      </c>
      <c r="G6" s="11" t="s">
        <v>44</v>
      </c>
      <c r="H6" s="11" t="s">
        <v>257</v>
      </c>
    </row>
    <row r="7" spans="1:8" ht="31.5" customHeight="1" x14ac:dyDescent="0.2">
      <c r="A7" s="6"/>
      <c r="B7" s="6" t="s">
        <v>86</v>
      </c>
      <c r="C7" s="6" t="s">
        <v>26</v>
      </c>
      <c r="D7" s="6" t="s">
        <v>25</v>
      </c>
      <c r="E7" s="6"/>
      <c r="F7" s="6"/>
      <c r="G7" s="11" t="s">
        <v>45</v>
      </c>
      <c r="H7" s="11" t="s">
        <v>275</v>
      </c>
    </row>
    <row r="8" spans="1:8" ht="15.75" customHeight="1" x14ac:dyDescent="0.2">
      <c r="A8" s="6"/>
      <c r="B8" s="6" t="s">
        <v>301</v>
      </c>
      <c r="C8" s="6" t="s">
        <v>28</v>
      </c>
      <c r="D8" s="6" t="s">
        <v>27</v>
      </c>
      <c r="E8" s="6"/>
      <c r="F8" s="6"/>
      <c r="G8" s="11" t="s">
        <v>46</v>
      </c>
      <c r="H8" s="11" t="s">
        <v>257</v>
      </c>
    </row>
    <row r="9" spans="1:8" ht="31.5" customHeight="1" x14ac:dyDescent="0.2">
      <c r="A9" s="6"/>
      <c r="B9" s="6" t="s">
        <v>559</v>
      </c>
      <c r="C9" s="6" t="s">
        <v>30</v>
      </c>
      <c r="D9" s="6" t="s">
        <v>29</v>
      </c>
      <c r="E9" s="6"/>
      <c r="F9" s="6"/>
      <c r="G9" s="11" t="s">
        <v>47</v>
      </c>
      <c r="H9" s="11" t="s">
        <v>309</v>
      </c>
    </row>
    <row r="10" spans="1:8" ht="15.75" customHeight="1" x14ac:dyDescent="0.2">
      <c r="A10" s="6"/>
      <c r="B10" s="6" t="s">
        <v>249</v>
      </c>
      <c r="C10" s="6" t="s">
        <v>32</v>
      </c>
      <c r="D10" s="6" t="s">
        <v>31</v>
      </c>
      <c r="E10" s="6"/>
      <c r="F10" s="6"/>
      <c r="G10" s="11" t="s">
        <v>48</v>
      </c>
      <c r="H10" s="11" t="s">
        <v>338</v>
      </c>
    </row>
    <row r="11" spans="1:8" ht="15.75" customHeight="1" x14ac:dyDescent="0.2">
      <c r="A11" s="6"/>
      <c r="B11" s="6" t="s">
        <v>212</v>
      </c>
      <c r="C11" s="6" t="s">
        <v>34</v>
      </c>
      <c r="D11" s="6" t="s">
        <v>33</v>
      </c>
      <c r="E11" s="6"/>
      <c r="F11" s="6"/>
      <c r="G11" s="11" t="s">
        <v>49</v>
      </c>
      <c r="H11" s="11" t="s">
        <v>352</v>
      </c>
    </row>
    <row r="12" spans="1:8" ht="15.75" customHeight="1" x14ac:dyDescent="0.2">
      <c r="A12" s="6"/>
      <c r="B12" s="6"/>
      <c r="C12" s="6" t="s">
        <v>36</v>
      </c>
      <c r="D12" s="6" t="s">
        <v>35</v>
      </c>
      <c r="E12" s="6"/>
      <c r="F12" s="6"/>
      <c r="G12" s="11" t="s">
        <v>50</v>
      </c>
      <c r="H12" s="11" t="s">
        <v>425</v>
      </c>
    </row>
    <row r="13" spans="1:8" ht="15.75" customHeight="1" x14ac:dyDescent="0.2">
      <c r="A13" s="6"/>
      <c r="B13" s="6"/>
      <c r="C13" s="6"/>
      <c r="D13" s="6" t="s">
        <v>37</v>
      </c>
      <c r="E13" s="6"/>
      <c r="F13" s="6"/>
      <c r="G13" s="11"/>
      <c r="H13" s="11" t="s">
        <v>439</v>
      </c>
    </row>
    <row r="14" spans="1:8" ht="15.75" customHeight="1" x14ac:dyDescent="0.2">
      <c r="A14" s="6"/>
      <c r="B14" s="6"/>
      <c r="C14" s="6"/>
      <c r="D14" s="6" t="s">
        <v>38</v>
      </c>
      <c r="E14" s="6"/>
      <c r="F14" s="6"/>
      <c r="G14" s="11"/>
      <c r="H14" s="11" t="s">
        <v>449</v>
      </c>
    </row>
    <row r="15" spans="1:8" ht="15" customHeight="1" x14ac:dyDescent="0.2">
      <c r="A15" s="6"/>
      <c r="B15" s="6"/>
      <c r="C15" s="6"/>
      <c r="D15" s="6"/>
      <c r="E15" s="6"/>
      <c r="F15" s="6"/>
      <c r="G15" s="11"/>
      <c r="H15" s="11" t="s">
        <v>510</v>
      </c>
    </row>
    <row r="16" spans="1:8" ht="15" customHeight="1" x14ac:dyDescent="0.2">
      <c r="A16" s="6"/>
      <c r="B16" s="6"/>
      <c r="C16" s="6"/>
      <c r="D16" s="6"/>
      <c r="E16" s="6"/>
      <c r="F16" s="6"/>
      <c r="G16" s="11"/>
      <c r="H16" s="11" t="s">
        <v>525</v>
      </c>
    </row>
    <row r="17" spans="1:8" ht="15" customHeight="1" x14ac:dyDescent="0.2">
      <c r="A17" s="6"/>
      <c r="B17" s="6"/>
      <c r="C17" s="6"/>
      <c r="D17" s="6"/>
      <c r="E17" s="6"/>
      <c r="F17" s="6"/>
      <c r="G17" s="11"/>
      <c r="H17" s="11" t="s">
        <v>567</v>
      </c>
    </row>
    <row r="18" spans="1:8" ht="15" customHeight="1" x14ac:dyDescent="0.2">
      <c r="A18" s="6"/>
      <c r="B18" s="6"/>
      <c r="C18" s="6"/>
      <c r="D18" s="6"/>
      <c r="E18" s="6"/>
      <c r="F18" s="6"/>
      <c r="G18" s="11"/>
      <c r="H18" s="11" t="s">
        <v>584</v>
      </c>
    </row>
    <row r="19" spans="1:8" ht="15" customHeight="1" x14ac:dyDescent="0.2">
      <c r="A19" s="6"/>
      <c r="B19" s="6"/>
      <c r="C19" s="6"/>
      <c r="D19" s="6"/>
      <c r="E19" s="6"/>
      <c r="F19" s="6"/>
      <c r="G19" s="11"/>
      <c r="H19" s="11" t="s">
        <v>595</v>
      </c>
    </row>
    <row r="20" spans="1:8" ht="15" customHeight="1" x14ac:dyDescent="0.2">
      <c r="A20" s="6"/>
      <c r="B20" s="6"/>
      <c r="C20" s="6"/>
      <c r="D20" s="6"/>
      <c r="E20" s="6"/>
      <c r="F20" s="6"/>
      <c r="G20" s="11"/>
      <c r="H20" s="11" t="s">
        <v>609</v>
      </c>
    </row>
    <row r="21" spans="1:8" ht="15" customHeight="1" x14ac:dyDescent="0.2">
      <c r="A21" s="6"/>
      <c r="B21" s="6"/>
      <c r="C21" s="6"/>
      <c r="D21" s="6"/>
      <c r="E21" s="6"/>
      <c r="F21" s="6"/>
      <c r="G21" s="11"/>
      <c r="H21" s="11" t="s">
        <v>688</v>
      </c>
    </row>
    <row r="22" spans="1:8" ht="15" customHeight="1" x14ac:dyDescent="0.2">
      <c r="A22" s="6"/>
      <c r="B22" s="6"/>
      <c r="C22" s="6"/>
      <c r="D22" s="6"/>
      <c r="E22" s="6"/>
      <c r="F22" s="6"/>
      <c r="G22" s="11"/>
      <c r="H22" s="11" t="s">
        <v>698</v>
      </c>
    </row>
    <row r="23" spans="1:8" ht="15" customHeight="1" x14ac:dyDescent="0.2">
      <c r="A23" s="6"/>
      <c r="B23" s="6"/>
      <c r="C23" s="6"/>
      <c r="D23" s="6"/>
      <c r="E23" s="6"/>
      <c r="F23" s="6"/>
      <c r="G23" s="11"/>
      <c r="H23" s="11" t="s">
        <v>709</v>
      </c>
    </row>
    <row r="24" spans="1:8" ht="15" customHeight="1" x14ac:dyDescent="0.2">
      <c r="A24" s="6"/>
      <c r="B24" s="6"/>
      <c r="C24" s="6"/>
      <c r="D24" s="6"/>
      <c r="E24" s="6"/>
      <c r="F24" s="6"/>
      <c r="G24" s="11"/>
      <c r="H24" s="11" t="s">
        <v>726</v>
      </c>
    </row>
    <row r="25" spans="1:8" ht="15" customHeight="1" x14ac:dyDescent="0.2">
      <c r="A25" s="6"/>
      <c r="B25" s="6"/>
      <c r="C25" s="6"/>
      <c r="D25" s="6"/>
      <c r="E25" s="6"/>
      <c r="F25" s="6"/>
      <c r="G25" s="11"/>
      <c r="H25" s="11" t="s">
        <v>750</v>
      </c>
    </row>
    <row r="26" spans="1:8" ht="15" customHeight="1" x14ac:dyDescent="0.2">
      <c r="A26" s="6"/>
      <c r="B26" s="6"/>
      <c r="C26" s="6"/>
      <c r="D26" s="6"/>
      <c r="E26" s="6"/>
      <c r="F26" s="6"/>
      <c r="G26" s="11"/>
      <c r="H26" s="11" t="s">
        <v>765</v>
      </c>
    </row>
    <row r="27" spans="1:8" ht="15" customHeight="1" x14ac:dyDescent="0.2">
      <c r="A27" s="6"/>
      <c r="B27" s="6"/>
      <c r="C27" s="6"/>
      <c r="D27" s="6"/>
      <c r="E27" s="6"/>
      <c r="F27" s="6"/>
      <c r="G27" s="11"/>
      <c r="H27" s="11" t="s">
        <v>782</v>
      </c>
    </row>
    <row r="28" spans="1:8" ht="15" customHeight="1" x14ac:dyDescent="0.2">
      <c r="A28" s="6"/>
      <c r="B28" s="6"/>
      <c r="C28" s="6"/>
      <c r="D28" s="6"/>
      <c r="E28" s="6"/>
      <c r="F28" s="6"/>
      <c r="G28" s="11"/>
      <c r="H28" s="11" t="s">
        <v>797</v>
      </c>
    </row>
    <row r="29" spans="1:8" ht="15" customHeight="1" x14ac:dyDescent="0.2">
      <c r="A29" s="6"/>
      <c r="B29" s="6"/>
      <c r="C29" s="6"/>
      <c r="D29" s="6"/>
      <c r="E29" s="6"/>
      <c r="F29" s="6"/>
      <c r="G29" s="11"/>
      <c r="H29" s="11" t="s">
        <v>812</v>
      </c>
    </row>
    <row r="30" spans="1:8" ht="15" customHeight="1" x14ac:dyDescent="0.2">
      <c r="A30" s="6"/>
      <c r="B30" s="6"/>
      <c r="C30" s="6"/>
      <c r="D30" s="6"/>
      <c r="E30" s="6"/>
      <c r="F30" s="6"/>
      <c r="G30" s="11"/>
      <c r="H30" s="11" t="s">
        <v>828</v>
      </c>
    </row>
    <row r="31" spans="1:8" ht="15" customHeight="1" x14ac:dyDescent="0.2">
      <c r="A31" s="6"/>
      <c r="B31" s="6"/>
      <c r="C31" s="6"/>
      <c r="D31" s="6"/>
      <c r="E31" s="6"/>
      <c r="F31" s="6"/>
      <c r="G31" s="11"/>
      <c r="H31" s="11" t="s">
        <v>844</v>
      </c>
    </row>
    <row r="32" spans="1:8" ht="15" customHeight="1" x14ac:dyDescent="0.2">
      <c r="A32" s="6"/>
      <c r="B32" s="6"/>
      <c r="C32" s="6"/>
      <c r="D32" s="6"/>
      <c r="E32" s="6"/>
      <c r="F32" s="6"/>
      <c r="G32" s="11"/>
      <c r="H32" s="11" t="s">
        <v>861</v>
      </c>
    </row>
    <row r="33" spans="1:8" ht="15" customHeight="1" x14ac:dyDescent="0.2">
      <c r="A33" s="6"/>
      <c r="B33" s="6"/>
      <c r="C33" s="6"/>
      <c r="D33" s="6"/>
      <c r="E33" s="6"/>
      <c r="F33" s="6"/>
      <c r="G33" s="11"/>
      <c r="H33" s="11" t="s">
        <v>876</v>
      </c>
    </row>
    <row r="34" spans="1:8" ht="15" customHeight="1" x14ac:dyDescent="0.2">
      <c r="A34" s="6"/>
      <c r="B34" s="6"/>
      <c r="C34" s="6"/>
      <c r="D34" s="6"/>
      <c r="E34" s="6"/>
      <c r="F34" s="6"/>
      <c r="G34" s="11"/>
      <c r="H34" s="11" t="s">
        <v>891</v>
      </c>
    </row>
    <row r="35" spans="1:8" ht="15" customHeight="1" x14ac:dyDescent="0.2">
      <c r="A35" s="6"/>
      <c r="B35" s="6"/>
      <c r="C35" s="6"/>
      <c r="D35" s="6"/>
      <c r="E35" s="6"/>
      <c r="F35" s="6"/>
      <c r="G35" s="11"/>
      <c r="H35" s="11" t="s">
        <v>906</v>
      </c>
    </row>
    <row r="36" spans="1:8" ht="15" customHeight="1" x14ac:dyDescent="0.2">
      <c r="A36" s="6"/>
      <c r="B36" s="6"/>
      <c r="C36" s="6"/>
      <c r="D36" s="6"/>
      <c r="E36" s="6"/>
      <c r="F36" s="6"/>
      <c r="G36" s="11"/>
      <c r="H36" s="11" t="s">
        <v>919</v>
      </c>
    </row>
    <row r="37" spans="1:8" ht="15" customHeight="1" x14ac:dyDescent="0.2">
      <c r="A37" s="6"/>
      <c r="B37" s="6"/>
      <c r="C37" s="6"/>
      <c r="D37" s="6"/>
      <c r="E37" s="6"/>
      <c r="F37" s="6"/>
      <c r="G37" s="11"/>
      <c r="H37" s="11" t="s">
        <v>932</v>
      </c>
    </row>
    <row r="38" spans="1:8" ht="15" customHeight="1" x14ac:dyDescent="0.2">
      <c r="A38" s="6"/>
      <c r="B38" s="6"/>
      <c r="C38" s="6"/>
      <c r="D38" s="6"/>
      <c r="E38" s="6"/>
      <c r="F38" s="6"/>
      <c r="G38" s="11"/>
      <c r="H38" s="11" t="s">
        <v>947</v>
      </c>
    </row>
    <row r="39" spans="1:8" ht="14" x14ac:dyDescent="0.15">
      <c r="A39" s="11"/>
      <c r="B39" s="11"/>
      <c r="C39" s="11"/>
      <c r="D39" s="11"/>
      <c r="E39" s="11"/>
      <c r="F39" s="11"/>
      <c r="G39" s="11"/>
      <c r="H39" s="11" t="s">
        <v>959</v>
      </c>
    </row>
    <row r="40" spans="1:8" ht="14" x14ac:dyDescent="0.15">
      <c r="A40" s="11"/>
      <c r="B40" s="11"/>
      <c r="C40" s="11"/>
      <c r="D40" s="11"/>
      <c r="E40" s="11"/>
      <c r="F40" s="11"/>
      <c r="G40" s="11"/>
      <c r="H40" s="11" t="s">
        <v>977</v>
      </c>
    </row>
    <row r="41" spans="1:8" ht="14" x14ac:dyDescent="0.15">
      <c r="A41" s="11"/>
      <c r="B41" s="11"/>
      <c r="C41" s="11"/>
      <c r="D41" s="11"/>
      <c r="E41" s="11"/>
      <c r="F41" s="11"/>
      <c r="G41" s="11"/>
      <c r="H41" s="11" t="s">
        <v>992</v>
      </c>
    </row>
    <row r="42" spans="1:8" ht="14" x14ac:dyDescent="0.15">
      <c r="A42" s="11"/>
      <c r="B42" s="11"/>
      <c r="C42" s="11"/>
      <c r="D42" s="11"/>
      <c r="E42" s="11"/>
      <c r="F42" s="11"/>
      <c r="G42" s="11"/>
      <c r="H42" s="11" t="s">
        <v>1005</v>
      </c>
    </row>
    <row r="43" spans="1:8" ht="14" x14ac:dyDescent="0.15">
      <c r="A43" s="11"/>
      <c r="B43" s="11"/>
      <c r="C43" s="11"/>
      <c r="D43" s="11"/>
      <c r="E43" s="11"/>
      <c r="F43" s="11"/>
      <c r="G43" s="11"/>
      <c r="H43" s="11" t="s">
        <v>1018</v>
      </c>
    </row>
    <row r="44" spans="1:8" ht="14" x14ac:dyDescent="0.15">
      <c r="A44" s="11"/>
      <c r="B44" s="11"/>
      <c r="C44" s="11"/>
      <c r="D44" s="11"/>
      <c r="E44" s="11"/>
      <c r="F44" s="11"/>
      <c r="G44" s="11"/>
      <c r="H44" s="11" t="s">
        <v>1033</v>
      </c>
    </row>
    <row r="45" spans="1:8" ht="14" x14ac:dyDescent="0.15">
      <c r="A45" s="11"/>
      <c r="B45" s="11"/>
      <c r="C45" s="11"/>
      <c r="D45" s="11"/>
      <c r="E45" s="11"/>
      <c r="F45" s="11"/>
      <c r="G45" s="11"/>
      <c r="H45" s="11" t="s">
        <v>1048</v>
      </c>
    </row>
    <row r="46" spans="1:8" ht="14" x14ac:dyDescent="0.15">
      <c r="A46" s="11"/>
      <c r="B46" s="11"/>
      <c r="C46" s="11"/>
      <c r="D46" s="11"/>
      <c r="E46" s="11"/>
      <c r="F46" s="11"/>
      <c r="G46" s="11"/>
      <c r="H46" s="11" t="s">
        <v>1063</v>
      </c>
    </row>
    <row r="47" spans="1:8" ht="14" x14ac:dyDescent="0.15">
      <c r="H47" s="11" t="s">
        <v>1076</v>
      </c>
    </row>
    <row r="48" spans="1:8" ht="14" x14ac:dyDescent="0.15">
      <c r="H48" s="11" t="s">
        <v>1090</v>
      </c>
    </row>
    <row r="49" spans="8:8" ht="14" x14ac:dyDescent="0.15">
      <c r="H49" s="11" t="s">
        <v>1106</v>
      </c>
    </row>
    <row r="50" spans="8:8" ht="14" x14ac:dyDescent="0.15">
      <c r="H50" s="11" t="s">
        <v>1122</v>
      </c>
    </row>
    <row r="51" spans="8:8" ht="14" x14ac:dyDescent="0.15">
      <c r="H51" s="11" t="s">
        <v>1137</v>
      </c>
    </row>
    <row r="52" spans="8:8" ht="14" x14ac:dyDescent="0.15">
      <c r="H52" s="11" t="s">
        <v>1148</v>
      </c>
    </row>
    <row r="53" spans="8:8" ht="14" x14ac:dyDescent="0.15">
      <c r="H53" s="11" t="s">
        <v>1160</v>
      </c>
    </row>
    <row r="54" spans="8:8" ht="14" x14ac:dyDescent="0.15">
      <c r="H54" s="11" t="s">
        <v>1174</v>
      </c>
    </row>
    <row r="55" spans="8:8" ht="14" x14ac:dyDescent="0.15">
      <c r="H55" s="11" t="s">
        <v>1187</v>
      </c>
    </row>
    <row r="56" spans="8:8" ht="14" x14ac:dyDescent="0.15">
      <c r="H56" s="11" t="s">
        <v>1205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18"/>
  <sheetViews>
    <sheetView workbookViewId="0"/>
  </sheetViews>
  <sheetFormatPr baseColWidth="10" defaultColWidth="8.6640625" defaultRowHeight="13" x14ac:dyDescent="0.15"/>
  <cols>
    <col min="1" max="1" width="40.6640625" customWidth="1"/>
    <col min="2" max="2" width="165" customWidth="1"/>
  </cols>
  <sheetData>
    <row r="1" spans="1:2" ht="30" customHeight="1" x14ac:dyDescent="0.15">
      <c r="A1" s="14" t="s">
        <v>1383</v>
      </c>
      <c r="B1" s="13"/>
    </row>
    <row r="2" spans="1:2" ht="15.75" customHeight="1" x14ac:dyDescent="0.15">
      <c r="A2" s="10" t="s">
        <v>1384</v>
      </c>
      <c r="B2" s="3" t="s">
        <v>1385</v>
      </c>
    </row>
    <row r="3" spans="1:2" ht="15.75" customHeight="1" x14ac:dyDescent="0.15">
      <c r="A3" s="10" t="s">
        <v>1386</v>
      </c>
      <c r="B3" s="3" t="s">
        <v>1387</v>
      </c>
    </row>
    <row r="4" spans="1:2" ht="15.75" customHeight="1" x14ac:dyDescent="0.15">
      <c r="A4" s="10" t="s">
        <v>1388</v>
      </c>
      <c r="B4" s="3" t="s">
        <v>1389</v>
      </c>
    </row>
    <row r="5" spans="1:2" ht="15.75" customHeight="1" x14ac:dyDescent="0.15">
      <c r="A5" s="10" t="s">
        <v>1390</v>
      </c>
      <c r="B5" s="3" t="s">
        <v>1391</v>
      </c>
    </row>
    <row r="6" spans="1:2" ht="15.75" customHeight="1" x14ac:dyDescent="0.15">
      <c r="A6" s="10" t="s">
        <v>1392</v>
      </c>
      <c r="B6" s="3" t="s">
        <v>1393</v>
      </c>
    </row>
    <row r="7" spans="1:2" ht="15.75" customHeight="1" x14ac:dyDescent="0.15">
      <c r="A7" s="10" t="s">
        <v>1394</v>
      </c>
      <c r="B7" s="3" t="s">
        <v>1395</v>
      </c>
    </row>
    <row r="8" spans="1:2" ht="15.75" customHeight="1" x14ac:dyDescent="0.15">
      <c r="A8" s="10" t="s">
        <v>1396</v>
      </c>
      <c r="B8" s="3" t="s">
        <v>1397</v>
      </c>
    </row>
    <row r="9" spans="1:2" ht="12.75" customHeight="1" x14ac:dyDescent="0.15">
      <c r="A9" s="11" t="s">
        <v>1398</v>
      </c>
      <c r="B9" s="11" t="s">
        <v>1399</v>
      </c>
    </row>
    <row r="10" spans="1:2" ht="23.25" customHeight="1" x14ac:dyDescent="0.15">
      <c r="A10" s="11" t="s">
        <v>1400</v>
      </c>
      <c r="B10" s="11" t="s">
        <v>1401</v>
      </c>
    </row>
    <row r="11" spans="1:2" ht="23.25" customHeight="1" x14ac:dyDescent="0.15">
      <c r="A11" s="11" t="s">
        <v>1402</v>
      </c>
      <c r="B11" s="11" t="s">
        <v>1403</v>
      </c>
    </row>
    <row r="12" spans="1:2" ht="23.25" customHeight="1" x14ac:dyDescent="0.15">
      <c r="A12" s="11" t="s">
        <v>1404</v>
      </c>
      <c r="B12" s="11" t="s">
        <v>1405</v>
      </c>
    </row>
    <row r="13" spans="1:2" ht="12.75" customHeight="1" x14ac:dyDescent="0.15">
      <c r="A13" s="11" t="s">
        <v>1406</v>
      </c>
      <c r="B13" s="11" t="s">
        <v>1407</v>
      </c>
    </row>
    <row r="14" spans="1:2" ht="12.75" customHeight="1" x14ac:dyDescent="0.15">
      <c r="A14" s="11" t="s">
        <v>1408</v>
      </c>
      <c r="B14" s="11" t="s">
        <v>1409</v>
      </c>
    </row>
    <row r="15" spans="1:2" ht="12.75" customHeight="1" x14ac:dyDescent="0.15">
      <c r="A15" s="11" t="s">
        <v>1410</v>
      </c>
      <c r="B15" s="11" t="s">
        <v>1411</v>
      </c>
    </row>
    <row r="16" spans="1:2" ht="12.75" customHeight="1" x14ac:dyDescent="0.15">
      <c r="A16" s="11" t="s">
        <v>1412</v>
      </c>
      <c r="B16" s="11" t="s">
        <v>1413</v>
      </c>
    </row>
    <row r="17" spans="1:2" ht="28" x14ac:dyDescent="0.15">
      <c r="A17" s="11" t="s">
        <v>1414</v>
      </c>
      <c r="B17" s="11" t="s">
        <v>1415</v>
      </c>
    </row>
    <row r="18" spans="1:2" ht="14" x14ac:dyDescent="0.15">
      <c r="A18" s="11" t="s">
        <v>1416</v>
      </c>
      <c r="B18" s="11" t="s">
        <v>1417</v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7</vt:i4>
      </vt:variant>
    </vt:vector>
  </HeadingPairs>
  <TitlesOfParts>
    <vt:vector size="7" baseType="lpstr">
      <vt:lpstr>05_Dashboard</vt:lpstr>
      <vt:lpstr>01_Master_Facts</vt:lpstr>
      <vt:lpstr>02_Branches</vt:lpstr>
      <vt:lpstr>03_Lessons_Map</vt:lpstr>
      <vt:lpstr>04_Sources</vt:lpstr>
      <vt:lpstr>06_Lists</vt:lpstr>
      <vt:lpstr>00_README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Вячеслав Фролов</cp:lastModifiedBy>
  <dcterms:created xsi:type="dcterms:W3CDTF">2026-07-17T03:08:58Z</dcterms:created>
  <dcterms:modified xsi:type="dcterms:W3CDTF">2026-07-27T22:48:00Z</dcterms:modified>
</cp:coreProperties>
</file>