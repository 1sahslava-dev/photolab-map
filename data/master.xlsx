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5_Dashboard" sheetId="1" state="visible" r:id="rId1"/>
    <sheet xmlns:r="http://schemas.openxmlformats.org/officeDocument/2006/relationships" name="01_Master_Facts" sheetId="2" state="visible" r:id="rId2"/>
    <sheet xmlns:r="http://schemas.openxmlformats.org/officeDocument/2006/relationships" name="02_Branches" sheetId="3" state="visible" r:id="rId3"/>
    <sheet xmlns:r="http://schemas.openxmlformats.org/officeDocument/2006/relationships" name="03_Lessons_Map" sheetId="4" state="visible" r:id="rId4"/>
    <sheet xmlns:r="http://schemas.openxmlformats.org/officeDocument/2006/relationships" name="04_Sources" sheetId="5" state="visible" r:id="rId5"/>
    <sheet xmlns:r="http://schemas.openxmlformats.org/officeDocument/2006/relationships" name="06_Lists" sheetId="6" state="visible" r:id="rId6"/>
    <sheet xmlns:r="http://schemas.openxmlformats.org/officeDocument/2006/relationships" name="00_README" sheetId="7" state="visible" r:id="rId7"/>
  </sheets>
  <definedNames/>
</workbook>
</file>

<file path=xl/styles.xml><?xml version="1.0" encoding="utf-8"?>
<styleSheet xmlns="http://schemas.openxmlformats.org/spreadsheetml/2006/main">
  <numFmts count="0"/>
  <fonts count="14"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Arial"/>
      <b val="1"/>
      <color rgb="FFFFFFFF"/>
      <sz val="10"/>
    </font>
    <font>
      <name val="Calibri"/>
      <sz val="11"/>
    </font>
    <font>
      <name val="Calibri"/>
      <b val="1"/>
      <sz val="12"/>
    </font>
    <font>
      <name val="Calibri"/>
      <b val="1"/>
      <color rgb="FF000000"/>
      <sz val="18"/>
    </font>
    <font>
      <name val="Calibri"/>
      <color rgb="FF000000"/>
      <sz val="10"/>
    </font>
    <font>
      <name val="Calibri"/>
      <sz val="10"/>
    </font>
    <font>
      <name val="Calibri"/>
      <b val="1"/>
      <color rgb="FF111827"/>
      <sz val="11"/>
    </font>
  </fonts>
  <fills count="6">
    <fill>
      <patternFill/>
    </fill>
    <fill>
      <patternFill patternType="gray125"/>
    </fill>
    <fill>
      <patternFill patternType="solid">
        <fgColor rgb="FFB8860B"/>
      </patternFill>
    </fill>
    <fill>
      <patternFill patternType="solid">
        <fgColor rgb="FF111827"/>
      </patternFill>
    </fill>
    <fill>
      <patternFill patternType="solid">
        <fgColor rgb="FF1F2937"/>
      </patternFill>
    </fill>
    <fill>
      <patternFill patternType="solid">
        <fgColor rgb="FFFDECC8"/>
      </patternFill>
    </fill>
  </fills>
  <borders count="2">
    <border/>
    <border/>
  </borders>
  <cellStyleXfs count="7">
    <xf numFmtId="0" fontId="4" fillId="0" borderId="1" applyAlignment="1">
      <alignment horizontal="general" vertical="bottom"/>
    </xf>
    <xf numFmtId="43" fontId="4" fillId="0" borderId="1"/>
    <xf numFmtId="41" fontId="4" fillId="0" borderId="1"/>
    <xf numFmtId="44" fontId="4" fillId="0" borderId="1"/>
    <xf numFmtId="42" fontId="4" fillId="0" borderId="1"/>
    <xf numFmtId="9" fontId="4" fillId="0" borderId="1"/>
    <xf numFmtId="0" fontId="4" fillId="0" borderId="1" applyAlignment="1">
      <alignment horizontal="general" vertical="bottom"/>
    </xf>
  </cellStyleXfs>
  <cellXfs count="5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bottom" wrapText="1"/>
    </xf>
    <xf numFmtId="0" fontId="8" fillId="0" borderId="1" applyAlignment="1" pivotButton="0" quotePrefix="0" xfId="0">
      <alignment horizontal="general" vertical="bottom" wrapText="1"/>
    </xf>
    <xf numFmtId="0" fontId="12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 wrapText="1"/>
    </xf>
    <xf numFmtId="0" fontId="7" fillId="3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center" vertical="top" wrapText="1"/>
    </xf>
    <xf numFmtId="0" fontId="5" fillId="3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3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general" vertical="bottom" wrapText="1"/>
    </xf>
    <xf numFmtId="0" fontId="6" fillId="4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general" vertical="top" wrapText="1"/>
    </xf>
  </cellXfs>
  <cellStyles count="7">
    <cellStyle name="Normal" xfId="0"/>
    <cellStyle name="Comma" xfId="1"/>
    <cellStyle name="Comma [0]" xfId="2"/>
    <cellStyle name="Currency" xfId="3"/>
    <cellStyle name="Currency [0]" xfId="4"/>
    <cellStyle name="Percent" xfId="5"/>
    <cellStyle name="Обычный" xfId="6"/>
  </cellStyles>
  <dxfs count="8">
    <dxf>
      <fill>
        <patternFill>
          <bgColor rgb="FF111827"/>
        </patternFill>
      </fill>
    </dxf>
    <dxf>
      <fill>
        <patternFill>
          <bgColor rgb="FF000000"/>
        </patternFill>
      </fill>
    </dxf>
    <dxf>
      <fill>
        <patternFill>
          <bgColor rgb="FFFFFFFF"/>
        </patternFill>
      </fill>
    </dxf>
    <dxf>
      <fill>
        <patternFill>
          <bgColor rgb="FFDCFCE7"/>
        </patternFill>
      </fill>
    </dxf>
    <dxf>
      <fill>
        <patternFill>
          <bgColor rgb="FFFEE2E2"/>
        </patternFill>
      </fill>
    </dxf>
    <dxf>
      <fill>
        <patternFill>
          <bgColor rgb="FFFEF3C7"/>
        </patternFill>
      </fill>
    </dxf>
    <dxf>
      <fill>
        <patternFill>
          <bgColor rgb="FFFEEAD5"/>
        </patternFill>
      </fill>
    </dxf>
    <dxf>
      <fill>
        <patternFill>
          <bgColor rgb="FF1F293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156082"/>
      <rgbColor rgb="FFCCCCCC"/>
      <rgbColor rgb="FF8B8B8B"/>
      <rgbColor rgb="FF9999FF"/>
      <rgbColor rgb="FF993366"/>
      <rgbColor rgb="FFFDECC8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/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"Количество узлов"</f>
              <strCache>
                <ptCount val="1"/>
                <pt idx="0">
                  <v>Количество узлов</v>
                </pt>
              </strCache>
            </strRef>
          </tx>
          <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spPr>
          <cat>
            <strRef>
              <f>05_Dashboard!$A$10:$A$46</f>
              <strCache>
                <ptCount val="37"/>
                <pt idx="0">
                  <v>Оптика / камера-обскура</v>
                </pt>
                <pt idx="1">
                  <v>Оптические инструменты</v>
                </pt>
                <pt idx="2">
                  <v>Фотохимия</v>
                </pt>
                <pt idx="3">
                  <v>Гелиография</v>
                </pt>
                <pt idx="4">
                  <v>Дагеротип</v>
                </pt>
                <pt idx="5">
                  <v>Фотогенный рисунок / фотограмма</v>
                </pt>
                <pt idx="6">
                  <v>Негатив-позитив</v>
                </pt>
                <pt idx="7">
                  <v>Фиксаж / терминология</v>
                </pt>
                <pt idx="8">
                  <v>Печать / тиражирование</v>
                </pt>
                <pt idx="9">
                  <v>Мокрый коллодий</v>
                </pt>
                <pt idx="10">
                  <v>Уникальный позитив</v>
                </pt>
                <pt idx="11">
                  <v>Цвет</v>
                </pt>
                <pt idx="12">
                  <v>Проекция / распространение</v>
                </pt>
                <pt idx="13">
                  <v>None</v>
                </pt>
                <pt idx="14">
                  <v>None</v>
                </pt>
                <pt idx="15">
                  <v>Тип узла</v>
                </pt>
                <pt idx="16">
                  <v>Фундаментальная предпосылка</v>
                </pt>
                <pt idx="17">
                  <v>Технология / процесс</v>
                </pt>
                <pt idx="18">
                  <v>Инструмент / устройство</v>
                </pt>
                <pt idx="19">
                  <v>Публикация / объявление</v>
                </pt>
                <pt idx="20">
                  <v>Терминология / язык</v>
                </pt>
                <pt idx="21">
                  <v>Связь / переход</v>
                </pt>
                <pt idx="22">
                  <v>Тиражирование / публикация</v>
                </pt>
                <pt idx="23">
                  <v>Распространение / коммерциализация</v>
                </pt>
                <pt idx="24">
                  <v>Научное применение / пример</v>
                </pt>
                <pt idx="25">
                  <v>Применение / жанр</v>
                </pt>
                <pt idx="26">
                  <v>Ключевой исторический узел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</strCache>
            </strRef>
          </cat>
          <val>
            <numRef>
              <f>05_Dashboard!$B$10:$B$46</f>
              <numCache>
                <formatCode>General</formatCode>
                <ptCount val="24"/>
                <pt idx="0">
                  <v>6</v>
                </pt>
                <pt idx="1">
                  <v>4</v>
                </pt>
                <pt idx="2">
                  <v>4</v>
                </pt>
                <pt idx="3">
                  <v>3</v>
                </pt>
                <pt idx="4">
                  <v>7</v>
                </pt>
                <pt idx="5">
                  <v>2</v>
                </pt>
                <pt idx="6">
                  <v>13</v>
                </pt>
                <pt idx="7">
                  <v>2</v>
                </pt>
                <pt idx="8">
                  <v>6</v>
                </pt>
                <pt idx="9">
                  <v>5</v>
                </pt>
                <pt idx="10">
                  <v>4</v>
                </pt>
                <pt idx="11">
                  <v>1</v>
                </pt>
                <pt idx="12">
                  <v>1</v>
                </pt>
                <pt idx="13">
                  <v>4</v>
                </pt>
                <pt idx="14">
                  <v>19</v>
                </pt>
                <pt idx="15">
                  <v>7</v>
                </pt>
                <pt idx="16">
                  <v>4</v>
                </pt>
                <pt idx="17">
                  <v>2</v>
                </pt>
                <pt idx="18">
                  <v>5</v>
                </pt>
                <pt idx="19">
                  <v>5</v>
                </pt>
                <pt idx="20">
                  <v>6</v>
                </pt>
                <pt idx="21">
                  <v>2</v>
                </pt>
                <pt idx="22">
                  <v>2</v>
                </pt>
                <pt idx="23">
                  <v>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/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/>
            </a:r>
          </a:p>
        </txPr>
        <crossAx val="4865011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0</colOff>
      <row>1</row>
      <rowOff>0</rowOff>
    </from>
    <to>
      <col>13</col>
      <colOff>610560</colOff>
      <row>19</row>
      <rowOff>19800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MasterFactsTable" displayName="MasterFactsTable" ref="A1:W49" headerRowCount="1">
  <tableColumns count="23">
    <tableColumn id="1" name="ID"/>
    <tableColumn id="2" name="Период / дата"/>
    <tableColumn id="3" name="Точность даты"/>
    <tableColumn id="4" name="Страна"/>
    <tableColumn id="5" name="Город / регион"/>
    <tableColumn id="6" name="Персона / группа"/>
    <tableColumn id="7" name="Событие"/>
    <tableColumn id="8" name="Ветка развития"/>
    <tableColumn id="9" name="Технология / процесс"/>
    <tableColumn id="10" name="Что изменилось"/>
    <tableColumn id="11" name="Предыдущая связь"/>
    <tableColumn id="12" name="Следующая связь"/>
    <tableColumn id="13" name="Статус ветки"/>
    <tableColumn id="14" name="Важность 1–5"/>
    <tableColumn id="15" name="Привязка к уроку"/>
    <tableColumn id="16" name="Источник ID"/>
    <tableColumn id="17" name="Название источника"/>
    <tableColumn id="18" name="URL источника"/>
    <tableColumn id="19" name="Уверенность 1–5"/>
    <tableColumn id="20" name="Комментарий для лекции"/>
    <tableColumn id="21" name="Визуальная идея для карты"/>
    <tableColumn id="22" name="Теги"/>
    <tableColumn id="23" name="Проверить позже"/>
  </tableColumns>
</table>
</file>

<file path=xl/tables/table2.xml><?xml version="1.0" encoding="utf-8"?>
<table xmlns="http://schemas.openxmlformats.org/spreadsheetml/2006/main" id="2" name="BranchesTable" displayName="BranchesTable" ref="A1:E14" headerRowCount="1">
  <tableColumns count="5">
    <tableColumn id="1" name="Ветка"/>
    <tableColumn id="2" name="Что включает"/>
    <tableColumn id="3" name="Для каких уроков"/>
    <tableColumn id="4" name="Визуальный цвет/код"/>
    <tableColumn id="5" name="Комментарий"/>
  </tableColumns>
</table>
</file>

<file path=xl/tables/table3.xml><?xml version="1.0" encoding="utf-8"?>
<table xmlns="http://schemas.openxmlformats.org/spreadsheetml/2006/main" id="3" name="LessonsTable" displayName="LessonsTable" ref="A1:E7" headerRowCount="1">
  <tableColumns count="5">
    <tableColumn id="1" name="Урок"/>
    <tableColumn id="2" name="Главная тема"/>
    <tableColumn id="3" name="Исторические узлы"/>
    <tableColumn id="4" name="Что должен понять новичок"/>
    <tableColumn id="5" name="Статус"/>
  </tableColumns>
</table>
</file>

<file path=xl/tables/table4.xml><?xml version="1.0" encoding="utf-8"?>
<table xmlns="http://schemas.openxmlformats.org/spreadsheetml/2006/main" id="4" name="SourcesTable" displayName="SourcesTable" ref="A1:E27" headerRowCount="1">
  <tableColumns count="5">
    <tableColumn id="1" name="Источник ID"/>
    <tableColumn id="2" name="Название"/>
    <tableColumn id="3" name="URL"/>
    <tableColumn id="4" name="Используется для"/>
    <tableColumn id="5" name="Примечание"/>
  </tableColumns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1" workbookViewId="0">
      <selection activeCell="A1" sqref="A1"/>
    </sheetView>
  </sheetViews>
  <sheetFormatPr baseColWidth="8" defaultColWidth="8.66796875" defaultRowHeight="12.75"/>
  <cols>
    <col width="37.15999984741211" customWidth="1" style="37" min="1" max="1"/>
    <col width="14.67000007629395" customWidth="1" style="37" min="2" max="2"/>
    <col width="50.5" customWidth="1" style="37" min="3" max="3"/>
    <col width="14.67000007629395" customWidth="1" style="37" min="4" max="5"/>
  </cols>
  <sheetData>
    <row r="1" ht="30" customHeight="1" s="38">
      <c r="A1" s="39" t="inlineStr">
        <is>
          <t>PHOTO LAB — Master Timeline v0.4</t>
        </is>
      </c>
      <c r="B1" s="40" t="n"/>
      <c r="C1" s="40" t="n"/>
      <c r="D1" s="40" t="n"/>
      <c r="E1" s="40" t="n"/>
      <c r="F1" s="40" t="n"/>
    </row>
    <row r="2" ht="27.75" customHeight="1" s="38">
      <c r="A2" s="41" t="inlineStr">
        <is>
          <t>KPI</t>
        </is>
      </c>
      <c r="B2" s="41" t="inlineStr">
        <is>
          <t>Значение</t>
        </is>
      </c>
      <c r="C2" s="41" t="inlineStr">
        <is>
          <t>Комментарий</t>
        </is>
      </c>
      <c r="D2" s="42" t="n"/>
      <c r="E2" s="42" t="n"/>
    </row>
    <row r="3" ht="15.75" customHeight="1" s="38">
      <c r="A3" s="43" t="inlineStr">
        <is>
          <t>Всего исторических узлов</t>
        </is>
      </c>
      <c r="B3" s="44">
        <f>COUNTA('01_Master_Facts'!$A$2:$A$500)</f>
        <v/>
      </c>
      <c r="C3" s="43" t="inlineStr">
        <is>
          <t>Количество строк в 01_Master_Facts</t>
        </is>
      </c>
      <c r="D3" s="45" t="n"/>
      <c r="E3" s="45" t="n"/>
    </row>
    <row r="4" ht="15.75" customHeight="1" s="38">
      <c r="A4" s="43" t="inlineStr">
        <is>
          <t>Узлов с важностью 5</t>
        </is>
      </c>
      <c r="B4" s="44">
        <f>COUNTIF('01_Master_Facts'!$N$2:$N$500,5)</f>
        <v/>
      </c>
      <c r="C4" s="43" t="inlineStr">
        <is>
          <t>Критические для карты и уроков</t>
        </is>
      </c>
      <c r="D4" s="45" t="n"/>
      <c r="E4" s="45" t="n"/>
    </row>
    <row r="5" ht="15.75" customHeight="1" s="38">
      <c r="A5" s="43" t="inlineStr">
        <is>
          <t>Узлов для PL-001–PL-007</t>
        </is>
      </c>
      <c r="B5" s="44">
        <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)</f>
        <v/>
      </c>
      <c r="C5" s="43" t="inlineStr">
        <is>
          <t>Без будущих PL и межурочных узлов</t>
        </is>
      </c>
      <c r="D5" s="45" t="n"/>
      <c r="E5" s="45" t="n"/>
    </row>
    <row r="6" ht="31.5" customHeight="1" s="38">
      <c r="A6" s="43" t="inlineStr">
        <is>
          <t>Строк с пометкой «проверить позже»</t>
        </is>
      </c>
      <c r="B6" s="44">
        <f>COUNTIF('01_Master_Facts'!$W$2:$W$500,"&lt;&gt;")</f>
        <v/>
      </c>
      <c r="C6" s="43" t="inlineStr">
        <is>
          <t>Живая формула: считает непустые ячейки в «Проверить позже»</t>
        </is>
      </c>
      <c r="D6" s="45" t="n"/>
      <c r="E6" s="45" t="n"/>
    </row>
    <row r="7" ht="12.75" customHeight="1" s="38">
      <c r="A7" s="45" t="n"/>
      <c r="B7" s="45" t="n"/>
      <c r="C7" s="45" t="n"/>
      <c r="D7" s="45" t="n"/>
      <c r="E7" s="45" t="n"/>
    </row>
    <row r="8" ht="12.75" customHeight="1" s="38">
      <c r="A8" s="45" t="n"/>
      <c r="B8" s="45" t="n"/>
      <c r="C8" s="45" t="n"/>
      <c r="D8" s="45" t="n"/>
      <c r="E8" s="45" t="n"/>
    </row>
    <row r="9" ht="27.75" customHeight="1" s="38">
      <c r="A9" s="41" t="inlineStr">
        <is>
          <t>Ветка развития</t>
        </is>
      </c>
      <c r="B9" s="41" t="inlineStr">
        <is>
          <t>Количество узлов</t>
        </is>
      </c>
      <c r="C9" s="45" t="n"/>
      <c r="D9" s="41" t="inlineStr">
        <is>
          <t>Урок</t>
        </is>
      </c>
      <c r="E9" s="41" t="inlineStr">
        <is>
          <t>Количество узлов</t>
        </is>
      </c>
    </row>
    <row r="10" ht="15.75" customHeight="1" s="38">
      <c r="A10" s="46" t="inlineStr">
        <is>
          <t>Оптика / камера-обскура</t>
        </is>
      </c>
      <c r="B10" s="46">
        <f>COUNTIF('01_Master_Facts'!$H$2:$H$500,A10)</f>
        <v/>
      </c>
      <c r="C10" s="45" t="n"/>
      <c r="D10" s="46" t="inlineStr">
        <is>
          <t>PL-001</t>
        </is>
      </c>
      <c r="E10" s="46">
        <f>COUNTIF('01_Master_Facts'!$O$2:$O$500,D10)</f>
        <v/>
      </c>
    </row>
    <row r="11" ht="15.75" customHeight="1" s="38">
      <c r="A11" s="46" t="inlineStr">
        <is>
          <t>Оптические инструменты</t>
        </is>
      </c>
      <c r="B11" s="46">
        <f>COUNTIF('01_Master_Facts'!$H$2:$H$500,A11)</f>
        <v/>
      </c>
      <c r="C11" s="45" t="n"/>
      <c r="D11" s="46" t="inlineStr">
        <is>
          <t>PL-002</t>
        </is>
      </c>
      <c r="E11" s="46">
        <f>COUNTIF('01_Master_Facts'!$O$2:$O$500,D11)</f>
        <v/>
      </c>
    </row>
    <row r="12" ht="15.75" customHeight="1" s="38">
      <c r="A12" s="46" t="inlineStr">
        <is>
          <t>Фотохимия</t>
        </is>
      </c>
      <c r="B12" s="46">
        <f>COUNTIF('01_Master_Facts'!$H$2:$H$500,A12)</f>
        <v/>
      </c>
      <c r="C12" s="45" t="n"/>
      <c r="D12" s="46" t="inlineStr">
        <is>
          <t>PL-003</t>
        </is>
      </c>
      <c r="E12" s="46">
        <f>COUNTIF('01_Master_Facts'!$O$2:$O$500,D12)</f>
        <v/>
      </c>
    </row>
    <row r="13" ht="15.75" customHeight="1" s="38">
      <c r="A13" s="46" t="inlineStr">
        <is>
          <t>Гелиография</t>
        </is>
      </c>
      <c r="B13" s="46">
        <f>COUNTIF('01_Master_Facts'!$H$2:$H$500,A13)</f>
        <v/>
      </c>
      <c r="C13" s="45" t="n"/>
      <c r="D13" s="46" t="inlineStr">
        <is>
          <t>PL-004</t>
        </is>
      </c>
      <c r="E13" s="46">
        <f>COUNTIF('01_Master_Facts'!$O$2:$O$500,D13)</f>
        <v/>
      </c>
    </row>
    <row r="14" ht="15.75" customHeight="1" s="38">
      <c r="A14" s="46" t="inlineStr">
        <is>
          <t>Дагеротип</t>
        </is>
      </c>
      <c r="B14" s="46">
        <f>COUNTIF('01_Master_Facts'!$H$2:$H$500,A14)</f>
        <v/>
      </c>
      <c r="C14" s="45" t="n"/>
      <c r="D14" s="46" t="inlineStr">
        <is>
          <t>PL-005</t>
        </is>
      </c>
      <c r="E14" s="46">
        <f>COUNTIF('01_Master_Facts'!$O$2:$O$500,D14)</f>
        <v/>
      </c>
    </row>
    <row r="15" ht="15.75" customHeight="1" s="38">
      <c r="A15" s="46" t="inlineStr">
        <is>
          <t>Фотогенный рисунок / фотограмма</t>
        </is>
      </c>
      <c r="B15" s="46">
        <f>COUNTIF('01_Master_Facts'!$H$2:$H$500,A15)</f>
        <v/>
      </c>
      <c r="C15" s="45" t="n"/>
      <c r="D15" s="46" t="inlineStr">
        <is>
          <t>PL-006</t>
        </is>
      </c>
      <c r="E15" s="46">
        <f>COUNTIF('01_Master_Facts'!$O$2:$O$500,D15)</f>
        <v/>
      </c>
    </row>
    <row r="16" ht="15.75" customHeight="1" s="38">
      <c r="A16" s="46" t="inlineStr">
        <is>
          <t>Негатив-позитив</t>
        </is>
      </c>
      <c r="B16" s="46">
        <f>COUNTIF('01_Master_Facts'!$H$2:$H$500,A16)</f>
        <v/>
      </c>
      <c r="C16" s="45" t="n"/>
      <c r="D16" s="46" t="inlineStr">
        <is>
          <t>PL-007</t>
        </is>
      </c>
      <c r="E16" s="46">
        <f>COUNTIF('01_Master_Facts'!$O$2:$O$500,D16)</f>
        <v/>
      </c>
    </row>
    <row r="17" ht="31.5" customHeight="1" s="38">
      <c r="A17" s="46" t="inlineStr">
        <is>
          <t>Фиксаж / терминология</t>
        </is>
      </c>
      <c r="B17" s="46">
        <f>COUNTIF('01_Master_Facts'!$H$2:$H$500,A17)</f>
        <v/>
      </c>
      <c r="C17" s="45" t="n"/>
      <c r="D17" s="46" t="inlineStr">
        <is>
          <t>будущие PL</t>
        </is>
      </c>
      <c r="E17" s="46">
        <f>COUNTIF('01_Master_Facts'!$O$2:$O$500,D17)</f>
        <v/>
      </c>
    </row>
    <row r="18" ht="15.75" customHeight="1" s="38">
      <c r="A18" s="46" t="inlineStr">
        <is>
          <t>Печать / тиражирование</t>
        </is>
      </c>
      <c r="B18" s="46">
        <f>COUNTIF('01_Master_Facts'!$H$2:$H$500,A18)</f>
        <v/>
      </c>
      <c r="C18" s="45" t="n"/>
      <c r="D18" s="45" t="inlineStr">
        <is>
          <t>межурочный узел</t>
        </is>
      </c>
      <c r="E18" s="45">
        <f>COUNTIF('01_Master_Facts'!$O$2:$O$500,D18)</f>
        <v/>
      </c>
    </row>
    <row r="19" ht="15.75" customHeight="1" s="38">
      <c r="A19" s="46" t="inlineStr">
        <is>
          <t>Мокрый коллодий</t>
        </is>
      </c>
      <c r="B19" s="46">
        <f>COUNTIF('01_Master_Facts'!$H$2:$H$500,A19)</f>
        <v/>
      </c>
      <c r="C19" s="45" t="n"/>
      <c r="D19" s="45" t="inlineStr">
        <is>
          <t>проверить</t>
        </is>
      </c>
      <c r="E19" s="45">
        <f>COUNTIF('01_Master_Facts'!$O$2:$O$500,D19)</f>
        <v/>
      </c>
    </row>
    <row r="20" ht="15.75" customHeight="1" s="38">
      <c r="A20" s="46" t="inlineStr">
        <is>
          <t>Уникальный позитив</t>
        </is>
      </c>
      <c r="B20" s="46">
        <f>COUNTIF('01_Master_Facts'!$H$2:$H$500,A20)</f>
        <v/>
      </c>
      <c r="C20" s="45" t="n"/>
      <c r="D20" s="45" t="n"/>
      <c r="E20" s="45" t="n"/>
    </row>
    <row r="21" ht="15.75" customHeight="1" s="38">
      <c r="A21" s="46" t="inlineStr">
        <is>
          <t>Цвет</t>
        </is>
      </c>
      <c r="B21" s="46">
        <f>COUNTIF('01_Master_Facts'!$H$2:$H$500,A21)</f>
        <v/>
      </c>
      <c r="C21" s="45" t="n"/>
      <c r="D21" s="45" t="n"/>
      <c r="E21" s="45" t="n"/>
    </row>
    <row r="22" ht="15.75" customHeight="1" s="38">
      <c r="A22" s="46" t="inlineStr">
        <is>
          <t>Проекция / распространение</t>
        </is>
      </c>
      <c r="B22" s="46">
        <f>COUNTIF('01_Master_Facts'!$H$2:$H$500,A22)</f>
        <v/>
      </c>
      <c r="C22" s="45" t="n"/>
      <c r="D22" s="45" t="n"/>
      <c r="E22" s="45" t="n"/>
    </row>
    <row r="23" ht="15" customHeight="1" s="38">
      <c r="A23" s="46" t="n"/>
      <c r="B23" s="46" t="n"/>
      <c r="C23" s="45" t="n"/>
      <c r="D23" s="45" t="n"/>
      <c r="E23" s="45" t="n"/>
    </row>
    <row r="24" ht="15" customHeight="1" s="38">
      <c r="A24" s="46" t="n"/>
      <c r="B24" s="46" t="n"/>
      <c r="C24" s="45" t="n"/>
      <c r="D24" s="45" t="n"/>
      <c r="E24" s="45" t="n"/>
    </row>
    <row r="25" ht="31.5" customHeight="1" s="38">
      <c r="A25" s="41" t="inlineStr">
        <is>
          <t>Тип узла</t>
        </is>
      </c>
      <c r="B25" s="41" t="inlineStr">
        <is>
          <t>Количество узлов</t>
        </is>
      </c>
      <c r="C25" s="45" t="n"/>
      <c r="D25" s="45" t="n"/>
      <c r="E25" s="45" t="n"/>
    </row>
    <row r="26" ht="15.75" customHeight="1" s="38">
      <c r="A26" s="46" t="inlineStr">
        <is>
          <t>Фундаментальная предпосылка</t>
        </is>
      </c>
      <c r="B26" s="46">
        <f>COUNTIF('01_Master_Facts'!$Z$2:$Z$500,A26)</f>
        <v/>
      </c>
      <c r="C26" s="45" t="n"/>
      <c r="D26" s="45" t="n"/>
      <c r="E26" s="45" t="n"/>
    </row>
    <row r="27" ht="15.75" customHeight="1" s="38">
      <c r="A27" s="46" t="inlineStr">
        <is>
          <t>Технология / процесс</t>
        </is>
      </c>
      <c r="B27" s="46">
        <f>COUNTIF('01_Master_Facts'!$Z$2:$Z$500,A27)</f>
        <v/>
      </c>
      <c r="C27" s="45" t="n"/>
      <c r="D27" s="45" t="n"/>
      <c r="E27" s="45" t="n"/>
    </row>
    <row r="28" ht="15.75" customHeight="1" s="38">
      <c r="A28" s="46" t="inlineStr">
        <is>
          <t>Инструмент / устройство</t>
        </is>
      </c>
      <c r="B28" s="46">
        <f>COUNTIF('01_Master_Facts'!$Z$2:$Z$500,A28)</f>
        <v/>
      </c>
      <c r="C28" s="45" t="n"/>
      <c r="D28" s="45" t="n"/>
      <c r="E28" s="45" t="n"/>
    </row>
    <row r="29" ht="15.75" customHeight="1" s="38">
      <c r="A29" s="46" t="inlineStr">
        <is>
          <t>Публикация / объявление</t>
        </is>
      </c>
      <c r="B29" s="46">
        <f>COUNTIF('01_Master_Facts'!$Z$2:$Z$500,A29)</f>
        <v/>
      </c>
      <c r="C29" s="45" t="n"/>
      <c r="D29" s="45" t="n"/>
      <c r="E29" s="45" t="n"/>
    </row>
    <row r="30" ht="15.75" customHeight="1" s="38">
      <c r="A30" s="46" t="inlineStr">
        <is>
          <t>Терминология / язык</t>
        </is>
      </c>
      <c r="B30" s="46">
        <f>COUNTIF('01_Master_Facts'!$Z$2:$Z$500,A30)</f>
        <v/>
      </c>
      <c r="C30" s="45" t="n"/>
      <c r="D30" s="45" t="n"/>
      <c r="E30" s="45" t="n"/>
    </row>
    <row r="31" ht="15.75" customHeight="1" s="38">
      <c r="A31" s="46" t="inlineStr">
        <is>
          <t>Связь / переход</t>
        </is>
      </c>
      <c r="B31" s="46">
        <f>COUNTIF('01_Master_Facts'!$Z$2:$Z$500,A31)</f>
        <v/>
      </c>
      <c r="C31" s="45" t="n"/>
      <c r="D31" s="45" t="n"/>
      <c r="E31" s="45" t="n"/>
    </row>
    <row r="32" ht="15.75" customHeight="1" s="38">
      <c r="A32" s="46" t="inlineStr">
        <is>
          <t>Тиражирование / публикация</t>
        </is>
      </c>
      <c r="B32" s="46">
        <f>COUNTIF('01_Master_Facts'!$Z$2:$Z$500,A32)</f>
        <v/>
      </c>
      <c r="C32" s="45" t="n"/>
      <c r="D32" s="45" t="n"/>
      <c r="E32" s="45" t="n"/>
    </row>
    <row r="33" ht="15.75" customHeight="1" s="38">
      <c r="A33" s="46" t="inlineStr">
        <is>
          <t>Распространение / коммерциализация</t>
        </is>
      </c>
      <c r="B33" s="46">
        <f>COUNTIF('01_Master_Facts'!$Z$2:$Z$500,A33)</f>
        <v/>
      </c>
      <c r="C33" s="45" t="n"/>
      <c r="D33" s="45" t="n"/>
      <c r="E33" s="45" t="n"/>
    </row>
    <row r="34" ht="15.75" customHeight="1" s="38">
      <c r="A34" s="46" t="inlineStr">
        <is>
          <t>Научное применение / пример</t>
        </is>
      </c>
      <c r="B34" s="46">
        <f>COUNTIF('01_Master_Facts'!$Z$2:$Z$500,A34)</f>
        <v/>
      </c>
      <c r="C34" s="45" t="n"/>
      <c r="D34" s="45" t="n"/>
      <c r="E34" s="45" t="n"/>
    </row>
    <row r="35" ht="15.75" customHeight="1" s="38">
      <c r="A35" s="46" t="inlineStr">
        <is>
          <t>Применение / жанр</t>
        </is>
      </c>
      <c r="B35" s="46">
        <f>COUNTIF('01_Master_Facts'!$Z$2:$Z$500,A35)</f>
        <v/>
      </c>
      <c r="C35" s="45" t="n"/>
      <c r="D35" s="45" t="n"/>
      <c r="E35" s="45" t="n"/>
    </row>
    <row r="36" ht="15.75" customHeight="1" s="38">
      <c r="A36" s="46" t="inlineStr">
        <is>
          <t>Ключевой исторический узел</t>
        </is>
      </c>
      <c r="B36" s="46">
        <f>COUNTIF('01_Master_Facts'!$Z$2:$Z$500,A36)</f>
        <v/>
      </c>
      <c r="C36" s="45" t="n"/>
      <c r="D36" s="45" t="n"/>
      <c r="E36" s="45" t="n"/>
    </row>
    <row r="37" ht="15" customHeight="1" s="38">
      <c r="A37" s="46" t="n"/>
      <c r="B37" s="46" t="n"/>
      <c r="C37" s="45" t="n"/>
      <c r="D37" s="45" t="n"/>
      <c r="E37" s="45" t="n"/>
    </row>
    <row r="38" ht="15" customHeight="1" s="38">
      <c r="A38" s="46" t="n"/>
      <c r="B38" s="46" t="n"/>
      <c r="C38" s="45" t="n"/>
      <c r="D38" s="45" t="n"/>
      <c r="E38" s="45" t="n"/>
    </row>
    <row r="39" ht="15" customHeight="1" s="38">
      <c r="A39" s="46" t="n"/>
      <c r="B39" s="46" t="n"/>
      <c r="C39" s="45" t="n"/>
      <c r="D39" s="45" t="n"/>
      <c r="E39" s="45" t="n"/>
    </row>
    <row r="40" ht="15" customHeight="1" s="38">
      <c r="A40" s="46" t="n"/>
      <c r="B40" s="46" t="n"/>
      <c r="C40" s="45" t="n"/>
      <c r="D40" s="45" t="n"/>
      <c r="E40" s="45" t="n"/>
    </row>
    <row r="41" ht="15" customHeight="1" s="38">
      <c r="A41" s="46" t="n"/>
      <c r="B41" s="46" t="n"/>
    </row>
    <row r="42" ht="15" customHeight="1" s="38">
      <c r="A42" s="46" t="n"/>
      <c r="B42" s="46" t="n"/>
    </row>
    <row r="43" ht="15" customHeight="1" s="38">
      <c r="A43" s="46" t="n"/>
      <c r="B43" s="46" t="n"/>
    </row>
    <row r="44" ht="15" customHeight="1" s="38">
      <c r="A44" s="46" t="n"/>
      <c r="B44" s="46" t="n"/>
    </row>
    <row r="45" ht="15" customHeight="1" s="38">
      <c r="A45" s="46" t="n"/>
      <c r="B45" s="46" t="n"/>
    </row>
    <row r="46" ht="15" customHeight="1" s="38">
      <c r="A46" s="46" t="n"/>
      <c r="B46" s="46" t="n"/>
    </row>
  </sheetData>
  <mergeCells count="1">
    <mergeCell ref="A1:F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00"/>
  <sheetViews>
    <sheetView showGridLines="1" workbookViewId="0">
      <selection activeCell="A1" sqref="A1"/>
    </sheetView>
  </sheetViews>
  <sheetFormatPr baseColWidth="8" defaultColWidth="8.66796875" defaultRowHeight="12.75"/>
  <cols>
    <col width="14" customWidth="1" style="37" min="1" max="1"/>
    <col width="16" customWidth="1" style="37" min="2" max="3"/>
    <col width="20" customWidth="1" style="37" min="4" max="4"/>
    <col width="22" customWidth="1" style="37" min="5" max="5"/>
    <col width="24" customWidth="1" style="37" min="6" max="6"/>
    <col width="44" customWidth="1" style="37" min="7" max="7"/>
    <col width="24" customWidth="1" style="37" min="8" max="9"/>
    <col width="46" customWidth="1" style="37" min="10" max="10"/>
    <col width="30" customWidth="1" style="37" min="11" max="12"/>
    <col width="26" customWidth="1" style="37" min="13" max="13"/>
    <col width="12" customWidth="1" style="37" min="14" max="14"/>
    <col width="18" customWidth="1" style="37" min="15" max="15"/>
    <col width="12" customWidth="1" style="37" min="16" max="16"/>
    <col width="34" customWidth="1" style="37" min="17" max="17"/>
    <col width="52" customWidth="1" style="37" min="18" max="18"/>
    <col width="14" customWidth="1" style="37" min="19" max="19"/>
    <col width="46" customWidth="1" style="37" min="20" max="20"/>
    <col width="38" customWidth="1" style="37" min="21" max="21"/>
    <col width="24" customWidth="1" style="37" min="22" max="22"/>
    <col width="34" customWidth="1" style="37" min="23" max="23"/>
    <col width="20" customWidth="1" style="37" min="24" max="24"/>
    <col width="28" customWidth="1" style="37" min="25" max="25"/>
    <col width="26" customWidth="1" style="37" min="26" max="26"/>
    <col width="16" customWidth="1" style="37" min="27" max="27"/>
  </cols>
  <sheetData>
    <row r="1" ht="27.75" customHeight="1" s="38">
      <c r="A1" s="41" t="inlineStr">
        <is>
          <t>ID</t>
        </is>
      </c>
      <c r="B1" s="41" t="inlineStr">
        <is>
          <t>Период / дата</t>
        </is>
      </c>
      <c r="C1" s="41" t="inlineStr">
        <is>
          <t>Точность даты</t>
        </is>
      </c>
      <c r="D1" s="41" t="inlineStr">
        <is>
          <t>Страна</t>
        </is>
      </c>
      <c r="E1" s="41" t="inlineStr">
        <is>
          <t>Город / регион</t>
        </is>
      </c>
      <c r="F1" s="41" t="inlineStr">
        <is>
          <t>Персона / группа</t>
        </is>
      </c>
      <c r="G1" s="41" t="inlineStr">
        <is>
          <t>Событие</t>
        </is>
      </c>
      <c r="H1" s="41" t="inlineStr">
        <is>
          <t>Ветка развития</t>
        </is>
      </c>
      <c r="I1" s="41" t="inlineStr">
        <is>
          <t>Технология / процесс</t>
        </is>
      </c>
      <c r="J1" s="41" t="inlineStr">
        <is>
          <t>Что изменилось</t>
        </is>
      </c>
      <c r="K1" s="41" t="inlineStr">
        <is>
          <t>Предыдущая связь</t>
        </is>
      </c>
      <c r="L1" s="41" t="inlineStr">
        <is>
          <t>Следующая связь</t>
        </is>
      </c>
      <c r="M1" s="41" t="inlineStr">
        <is>
          <t>Статус ветки</t>
        </is>
      </c>
      <c r="N1" s="41" t="inlineStr">
        <is>
          <t>Важность 1–5</t>
        </is>
      </c>
      <c r="O1" s="41" t="inlineStr">
        <is>
          <t>Привязка к уроку</t>
        </is>
      </c>
      <c r="P1" s="41" t="inlineStr">
        <is>
          <t>Источник ID</t>
        </is>
      </c>
      <c r="Q1" s="41" t="inlineStr">
        <is>
          <t>Название источника</t>
        </is>
      </c>
      <c r="R1" s="41" t="inlineStr">
        <is>
          <t>URL источника</t>
        </is>
      </c>
      <c r="S1" s="41" t="inlineStr">
        <is>
          <t>Уверенность 1–5</t>
        </is>
      </c>
      <c r="T1" s="41" t="inlineStr">
        <is>
          <t>Комментарий для лекции</t>
        </is>
      </c>
      <c r="U1" s="41" t="inlineStr">
        <is>
          <t>Визуальная идея для карты</t>
        </is>
      </c>
      <c r="V1" s="41" t="inlineStr">
        <is>
          <t>Теги</t>
        </is>
      </c>
      <c r="W1" s="41" t="inlineStr">
        <is>
          <t>Проверить позже</t>
        </is>
      </c>
      <c r="X1" s="42" t="inlineStr">
        <is>
          <t>Координаты (lat, lon)</t>
        </is>
      </c>
      <c r="Y1" s="42" t="inlineStr">
        <is>
          <t>Подветка (детали)</t>
        </is>
      </c>
      <c r="Z1" s="42" t="inlineStr">
        <is>
          <t>Тип узла</t>
        </is>
      </c>
      <c r="AA1" s="37" t="inlineStr">
        <is>
          <t>Флагман урока (да/нет)</t>
        </is>
      </c>
    </row>
    <row r="2" ht="45" customHeight="1" s="38">
      <c r="A2" s="47" t="inlineStr">
        <is>
          <t>PL-HIST-0001</t>
        </is>
      </c>
      <c r="B2" s="47" t="inlineStr">
        <is>
          <t>ок. 1011–1021</t>
        </is>
      </c>
      <c r="C2" s="47" t="inlineStr">
        <is>
          <t>диапазон</t>
        </is>
      </c>
      <c r="D2" s="47" t="inlineStr">
        <is>
          <t>Египет / исламский научный мир</t>
        </is>
      </c>
      <c r="E2" s="47" t="inlineStr">
        <is>
          <t>Каир / Басра (контекст учёного)</t>
        </is>
      </c>
      <c r="F2" s="47" t="inlineStr">
        <is>
          <t>Ибн аль-Хайсам (Альхазен)</t>
        </is>
      </c>
      <c r="G2" s="47" t="inlineStr">
        <is>
          <t>В «Книге оптики» системно исследует свет, зрение и опыт тёмной комнаты с малым отверстием.</t>
        </is>
      </c>
      <c r="H2" s="47" t="inlineStr">
        <is>
          <t>Оптика / камера-обскура</t>
        </is>
      </c>
      <c r="I2" s="47" t="inlineStr">
        <is>
          <t>Камера-обскура / pinhole image</t>
        </is>
      </c>
      <c r="J2" s="47" t="inlineStr">
        <is>
          <t>Фотографии ещё нет, но появляется научная база: свет распространяется прямыми линиями и может строить изображение.</t>
        </is>
      </c>
      <c r="K2" s="47" t="inlineStr">
        <is>
          <t>Античная оптика и астрономические наблюдения</t>
        </is>
      </c>
      <c r="L2" s="47" t="inlineStr">
        <is>
          <t>Европейская оптика, камера-обскура как инструмент наблюдения</t>
        </is>
      </c>
      <c r="M2" s="47" t="inlineStr">
        <is>
          <t>Оптическая предпосылка</t>
        </is>
      </c>
      <c r="N2" s="48" t="n">
        <v>5</v>
      </c>
      <c r="O2" s="47" t="inlineStr">
        <is>
          <t>PL-001</t>
        </is>
      </c>
      <c r="P2" s="47" t="inlineStr">
        <is>
          <t>SRC-001</t>
        </is>
      </c>
      <c r="Q2" s="47" t="inlineStr">
        <is>
          <t>AramcoWorld — Ibn al-Haytham: Testing is Believing</t>
        </is>
      </c>
      <c r="R2" s="47" t="inlineStr">
        <is>
          <t>https://www.aramcoworld.com/en/articles/2023/ibn-al-haytham-testing-is-believing</t>
        </is>
      </c>
      <c r="S2" s="48" t="n">
        <v>4</v>
      </c>
      <c r="T2" s="47" t="inlineStr">
        <is>
          <t>Важно сказать аккуратно: он не изобрёл фотографию, а дал фундамент для понимания изображения светом.</t>
        </is>
      </c>
      <c r="U2" s="47" t="inlineStr">
        <is>
          <t>Стартовая точка карты: луч света входит в тёмную комнату и строит перевёрнутое изображение.</t>
        </is>
      </c>
      <c r="V2" s="47" t="inlineStr">
        <is>
          <t>#оптика #камера-обскура #ИбнАльХайсам #PL001</t>
        </is>
      </c>
      <c r="W2" s="47" t="inlineStr">
        <is>
          <t>Уточнить формулировку места: не привязывать к современной стране слишком жёстко.</t>
        </is>
      </c>
      <c r="X2" s="37" t="inlineStr">
        <is>
          <t>30.0444, 31.2357</t>
        </is>
      </c>
      <c r="Z2" s="37" t="inlineStr">
        <is>
          <t>Фундаментальная предпосылка</t>
        </is>
      </c>
      <c r="AA2" s="37" t="inlineStr">
        <is>
          <t>да</t>
        </is>
      </c>
    </row>
    <row r="3" ht="45" customHeight="1" s="38">
      <c r="A3" s="47" t="inlineStr">
        <is>
          <t>PL-HIST-0002</t>
        </is>
      </c>
      <c r="B3" s="47" t="inlineStr">
        <is>
          <t>1545</t>
        </is>
      </c>
      <c r="C3" s="47" t="inlineStr">
        <is>
          <t>год</t>
        </is>
      </c>
      <c r="D3" s="47" t="inlineStr">
        <is>
          <t>Нидерланды / Священная Римская империя</t>
        </is>
      </c>
      <c r="E3" s="47" t="inlineStr">
        <is>
          <t>Лёвен / Фрисландия (контекст публикации)</t>
        </is>
      </c>
      <c r="F3" s="47" t="inlineStr">
        <is>
          <t>Гемма Фризиус</t>
        </is>
      </c>
      <c r="G3" s="47" t="inlineStr">
        <is>
          <t>Публикует один из ранних известных рисунков камеры-обскуры, использованной для наблюдения солнечного затмения.</t>
        </is>
      </c>
      <c r="H3" s="47" t="inlineStr">
        <is>
          <t>Оптика / камера-обскура</t>
        </is>
      </c>
      <c r="I3" s="47" t="inlineStr">
        <is>
          <t>Камера-обскура как астрономический инструмент</t>
        </is>
      </c>
      <c r="J3" s="47" t="inlineStr">
        <is>
          <t>Принцип тёмной комнаты становится не только философским описанием, но и изображаемым инструментом наблюдения.</t>
        </is>
      </c>
      <c r="K3" s="47" t="inlineStr">
        <is>
          <t>Ибн аль-Хайсам и средневековая оптика</t>
        </is>
      </c>
      <c r="L3" s="47" t="inlineStr">
        <is>
          <t>Линза и художественное применение камеры-обскуры</t>
        </is>
      </c>
      <c r="M3" s="47" t="inlineStr">
        <is>
          <t>Оптическая предпосылка</t>
        </is>
      </c>
      <c r="N3" s="48" t="n">
        <v>3</v>
      </c>
      <c r="O3" s="47" t="inlineStr">
        <is>
          <t>PL-001</t>
        </is>
      </c>
      <c r="P3" s="47" t="inlineStr">
        <is>
          <t>SRC-003</t>
        </is>
      </c>
      <c r="Q3" s="47" t="inlineStr">
        <is>
          <t>Max Planck Institute — Camera Obscura PDF</t>
        </is>
      </c>
      <c r="R3" s="47" t="inlineStr">
        <is>
          <t>https://www.mpiwg-berlin.mpg.de/sites/default/files/Preprints/P307.pdf</t>
        </is>
      </c>
      <c r="S3" s="48" t="n">
        <v>3</v>
      </c>
      <c r="T3" s="47" t="inlineStr">
        <is>
          <t>Можно использовать как промежуточный узел: камера-обскура служит не фотографии, а безопасному наблюдению солнца.</t>
        </is>
      </c>
      <c r="U3" s="47" t="inlineStr">
        <is>
          <t>Иконка солнечного затмения + тёмная комната.</t>
        </is>
      </c>
      <c r="V3" s="47" t="inlineStr">
        <is>
          <t>#оптика #астрономия #камера-обскура</t>
        </is>
      </c>
      <c r="W3" s="47" t="inlineStr">
        <is>
          <t>Нужен первичный источник/точная ссылка на публикацию Frisius.</t>
        </is>
      </c>
      <c r="X3" s="37" t="inlineStr">
        <is>
          <t>50.8798, 4.7005</t>
        </is>
      </c>
      <c r="Z3" s="37" t="inlineStr">
        <is>
          <t>Инструмент / устройство</t>
        </is>
      </c>
    </row>
    <row r="4" ht="45" customHeight="1" s="38">
      <c r="A4" s="47" t="inlineStr">
        <is>
          <t>PL-HIST-0003</t>
        </is>
      </c>
      <c r="B4" s="47" t="inlineStr">
        <is>
          <t>1550</t>
        </is>
      </c>
      <c r="C4" s="47" t="inlineStr">
        <is>
          <t>год</t>
        </is>
      </c>
      <c r="D4" s="47" t="inlineStr">
        <is>
          <t>Италия</t>
        </is>
      </c>
      <c r="E4" s="47" t="inlineStr">
        <is>
          <t>Павия / Италия</t>
        </is>
      </c>
      <c r="F4" s="47" t="inlineStr">
        <is>
          <t>Джероламо Кардано</t>
        </is>
      </c>
      <c r="G4" s="47" t="inlineStr">
        <is>
          <t>Описывает использование стеклянной линзы в камере-обскуре для улучшения изображения.</t>
        </is>
      </c>
      <c r="H4" s="47" t="inlineStr">
        <is>
          <t>Оптика / камера-обскура</t>
        </is>
      </c>
      <c r="I4" s="47" t="inlineStr">
        <is>
          <t>Линза в камере-обскуре</t>
        </is>
      </c>
      <c r="J4" s="47" t="inlineStr">
        <is>
          <t>Камера-обскура становится ближе к будущей камере: не просто отверстие, а оптическое формирование более яркого и резкого изображения.</t>
        </is>
      </c>
      <c r="K4" s="47" t="inlineStr">
        <is>
          <t>Пинхол / тёмная комната</t>
        </is>
      </c>
      <c r="L4" s="47" t="inlineStr">
        <is>
          <t>Della Porta и популяризация камеры-обскуры</t>
        </is>
      </c>
      <c r="M4" s="47" t="inlineStr">
        <is>
          <t>Оптическая предпосылка</t>
        </is>
      </c>
      <c r="N4" s="48" t="n">
        <v>4</v>
      </c>
      <c r="O4" s="47" t="inlineStr">
        <is>
          <t>PL-001</t>
        </is>
      </c>
      <c r="P4" s="47" t="inlineStr">
        <is>
          <t>SRC-002</t>
        </is>
      </c>
      <c r="Q4" s="47" t="inlineStr">
        <is>
          <t>IMSS / Museo Galileo — Camera Obscura</t>
        </is>
      </c>
      <c r="R4" s="47" t="inlineStr">
        <is>
          <t>https://redi.imss.fi.it/inventions/index.php/Camera_Obscura</t>
        </is>
      </c>
      <c r="S4" s="48" t="n">
        <v>4</v>
      </c>
      <c r="T4" s="47" t="inlineStr">
        <is>
          <t>Для новичка: отверстие даёт картинку, линза делает её ярче и удобнее.</t>
        </is>
      </c>
      <c r="U4" s="47" t="inlineStr">
        <is>
          <t>На линии добавить маленькую линзу перед тёмной комнатой.</t>
        </is>
      </c>
      <c r="V4" s="47" t="inlineStr">
        <is>
          <t>#оптика #линза #камера</t>
        </is>
      </c>
      <c r="W4" s="47" t="n"/>
      <c r="X4" s="37" t="inlineStr">
        <is>
          <t>45.1847, 9.1582</t>
        </is>
      </c>
      <c r="Z4" s="37" t="inlineStr">
        <is>
          <t>Инструмент / устройство</t>
        </is>
      </c>
    </row>
    <row r="5" ht="45" customHeight="1" s="38">
      <c r="A5" s="47" t="inlineStr">
        <is>
          <t>PL-HIST-0004</t>
        </is>
      </c>
      <c r="B5" s="47" t="inlineStr">
        <is>
          <t>1558</t>
        </is>
      </c>
      <c r="C5" s="47" t="inlineStr">
        <is>
          <t>год</t>
        </is>
      </c>
      <c r="D5" s="47" t="inlineStr">
        <is>
          <t>Италия</t>
        </is>
      </c>
      <c r="E5" s="47" t="inlineStr">
        <is>
          <t>Неаполь</t>
        </is>
      </c>
      <c r="F5" s="47" t="inlineStr">
        <is>
          <t>Джамбаттиста делла Порта</t>
        </is>
      </c>
      <c r="G5" s="47" t="inlineStr">
        <is>
          <t>В «Magia Naturalis» описывает камеру-обскуру как зрелищный и практический инструмент наблюдения/рисования.</t>
        </is>
      </c>
      <c r="H5" s="47" t="inlineStr">
        <is>
          <t>Оптика / камера-обскура</t>
        </is>
      </c>
      <c r="I5" s="47" t="inlineStr">
        <is>
          <t>Камера-обскура как инструмент художника</t>
        </is>
      </c>
      <c r="J5" s="47" t="inlineStr">
        <is>
          <t>Камера-обскура входит в европейскую культуру изображения: становится помощником перспективы и точного рисунка.</t>
        </is>
      </c>
      <c r="K5" s="47" t="inlineStr">
        <is>
          <t>Кардано и линза</t>
        </is>
      </c>
      <c r="L5" s="47" t="inlineStr">
        <is>
          <t>Kepler, портативные камеры-обскуры</t>
        </is>
      </c>
      <c r="M5" s="47" t="inlineStr">
        <is>
          <t>Оптическая предпосылка</t>
        </is>
      </c>
      <c r="N5" s="48" t="n">
        <v>4</v>
      </c>
      <c r="O5" s="47" t="inlineStr">
        <is>
          <t>PL-001</t>
        </is>
      </c>
      <c r="P5" s="47" t="inlineStr">
        <is>
          <t>SRC-002</t>
        </is>
      </c>
      <c r="Q5" s="47" t="inlineStr">
        <is>
          <t>IMSS / Museo Galileo — Camera Obscura</t>
        </is>
      </c>
      <c r="R5" s="47" t="inlineStr">
        <is>
          <t>https://redi.imss.fi.it/inventions/index.php/Camera_Obscura</t>
        </is>
      </c>
      <c r="S5" s="48" t="n">
        <v>4</v>
      </c>
      <c r="T5" s="47" t="inlineStr">
        <is>
          <t>Здесь можно показать мост от науки к искусству: камера ещё не фотографирует, но уже помогает изображать реальность.</t>
        </is>
      </c>
      <c r="U5" s="47" t="inlineStr">
        <is>
          <t>Иконка художника, который обводит проекцию.</t>
        </is>
      </c>
      <c r="V5" s="47" t="inlineStr">
        <is>
          <t>#оптика #искусство #DellaPorta</t>
        </is>
      </c>
      <c r="W5" s="47" t="n"/>
      <c r="X5" s="37" t="inlineStr">
        <is>
          <t>40.8518, 14.2681</t>
        </is>
      </c>
      <c r="Z5" s="37" t="inlineStr">
        <is>
          <t>Применение / жанр</t>
        </is>
      </c>
    </row>
    <row r="6" ht="30" customHeight="1" s="38">
      <c r="A6" s="47" t="inlineStr">
        <is>
          <t>PL-HIST-0005</t>
        </is>
      </c>
      <c r="B6" s="47" t="inlineStr">
        <is>
          <t>1604</t>
        </is>
      </c>
      <c r="C6" s="47" t="inlineStr">
        <is>
          <t>год</t>
        </is>
      </c>
      <c r="D6" s="47" t="inlineStr">
        <is>
          <t>Германия</t>
        </is>
      </c>
      <c r="E6" s="47" t="inlineStr">
        <is>
          <t>Прага / Линц (контекст Kepler)</t>
        </is>
      </c>
      <c r="F6" s="47" t="inlineStr">
        <is>
          <t>Иоганн Кеплер</t>
        </is>
      </c>
      <c r="G6" s="47" t="inlineStr">
        <is>
          <t>Использует/закрепляет термин «camera obscura» и анализирует формирование оптического изображения.</t>
        </is>
      </c>
      <c r="H6" s="47" t="inlineStr">
        <is>
          <t>Оптика / камера-обскура</t>
        </is>
      </c>
      <c r="I6" s="47" t="inlineStr">
        <is>
          <t>Camera obscura</t>
        </is>
      </c>
      <c r="J6" s="47" t="inlineStr">
        <is>
          <t>Понятие получает устойчивое научное имя и входит в язык оптики.</t>
        </is>
      </c>
      <c r="K6" s="47" t="inlineStr">
        <is>
          <t>Renaissance descriptions of camera obscura</t>
        </is>
      </c>
      <c r="L6" s="47" t="inlineStr">
        <is>
          <t>Kepler's Dioptrice and portable camera obscura</t>
        </is>
      </c>
      <c r="M6" s="47" t="inlineStr">
        <is>
          <t>Оптическая предпосылка</t>
        </is>
      </c>
      <c r="N6" s="48" t="n">
        <v>3</v>
      </c>
      <c r="O6" s="47" t="inlineStr">
        <is>
          <t>PL-001</t>
        </is>
      </c>
      <c r="P6" s="47" t="inlineStr">
        <is>
          <t>SRC-003</t>
        </is>
      </c>
      <c r="Q6" s="47" t="inlineStr">
        <is>
          <t>Max Planck Institute — Camera Obscura PDF</t>
        </is>
      </c>
      <c r="R6" s="47" t="inlineStr">
        <is>
          <t>https://www.mpiwg-berlin.mpg.de/sites/default/files/Preprints/P307.pdf</t>
        </is>
      </c>
      <c r="S6" s="48" t="n">
        <v>4</v>
      </c>
      <c r="T6" s="47" t="inlineStr">
        <is>
          <t>На карте можно показать, что слова тоже важны: когда явление получает имя, его проще передавать и развивать.</t>
        </is>
      </c>
      <c r="U6" s="47" t="inlineStr">
        <is>
          <t>Плашка-термин: CAMERA OBSCURA.</t>
        </is>
      </c>
      <c r="V6" s="47" t="inlineStr">
        <is>
          <t>#оптика #Kepler #термин</t>
        </is>
      </c>
      <c r="W6" s="47" t="n"/>
      <c r="X6" s="37" t="inlineStr">
        <is>
          <t>50.0755, 14.4378</t>
        </is>
      </c>
      <c r="Y6" s="37" t="inlineStr">
        <is>
          <t>Оптика / терминология</t>
        </is>
      </c>
      <c r="Z6" s="37" t="inlineStr">
        <is>
          <t>Терминология / язык</t>
        </is>
      </c>
    </row>
    <row r="7" ht="30" customHeight="1" s="38">
      <c r="A7" s="47" t="inlineStr">
        <is>
          <t>PL-HIST-0006</t>
        </is>
      </c>
      <c r="B7" s="47" t="inlineStr">
        <is>
          <t>1611</t>
        </is>
      </c>
      <c r="C7" s="47" t="inlineStr">
        <is>
          <t>год</t>
        </is>
      </c>
      <c r="D7" s="47" t="inlineStr">
        <is>
          <t>Германия</t>
        </is>
      </c>
      <c r="E7" s="47" t="inlineStr">
        <is>
          <t>Линц / Прага</t>
        </is>
      </c>
      <c r="F7" s="47" t="inlineStr">
        <is>
          <t>Иоганн Кеплер</t>
        </is>
      </c>
      <c r="G7" s="47" t="inlineStr">
        <is>
          <t>В «Dioptrice» развивает понимание линз, проекции и улучшения изображения в оптических системах.</t>
        </is>
      </c>
      <c r="H7" s="47" t="inlineStr">
        <is>
          <t>Оптика / камера-обскура</t>
        </is>
      </c>
      <c r="I7" s="47" t="inlineStr">
        <is>
          <t>Линзовая камера-обскура</t>
        </is>
      </c>
      <c r="J7" s="47" t="inlineStr">
        <is>
          <t>Будущая камера всё больше зависит от оптики: линзы дают контроль над изображением.</t>
        </is>
      </c>
      <c r="K7" s="47" t="inlineStr">
        <is>
          <t>Термин camera obscura</t>
        </is>
      </c>
      <c r="L7" s="47" t="inlineStr">
        <is>
          <t>Портативные камеры-обскуры и объективы</t>
        </is>
      </c>
      <c r="M7" s="47" t="inlineStr">
        <is>
          <t>Оптическая предпосылка</t>
        </is>
      </c>
      <c r="N7" s="48" t="n">
        <v>4</v>
      </c>
      <c r="O7" s="47" t="inlineStr">
        <is>
          <t>PL-001</t>
        </is>
      </c>
      <c r="P7" s="47" t="inlineStr">
        <is>
          <t>SRC-003</t>
        </is>
      </c>
      <c r="Q7" s="47" t="inlineStr">
        <is>
          <t>Max Planck Institute — Camera Obscura PDF</t>
        </is>
      </c>
      <c r="R7" s="47" t="inlineStr">
        <is>
          <t>https://www.mpiwg-berlin.mpg.de/sites/default/files/Preprints/P307.pdf</t>
        </is>
      </c>
      <c r="S7" s="48" t="n">
        <v>3</v>
      </c>
      <c r="T7" s="47" t="inlineStr">
        <is>
          <t>Не перегружать урок формулами; объяснить как «переход от дырочки к оптической системе».</t>
        </is>
      </c>
      <c r="U7" s="47" t="inlineStr">
        <is>
          <t>Схема: отверстие → линза → более яркая проекция.</t>
        </is>
      </c>
      <c r="V7" s="47" t="inlineStr">
        <is>
          <t>#оптика #линзы #Kepler</t>
        </is>
      </c>
      <c r="W7" s="47" t="inlineStr">
        <is>
          <t>Подтвердить конкретные формулировки по первичному тексту Dioptrice.</t>
        </is>
      </c>
      <c r="X7" s="37" t="inlineStr">
        <is>
          <t>48.3069, 14.2858</t>
        </is>
      </c>
      <c r="Y7" s="37" t="inlineStr">
        <is>
          <t>Оптика / камера</t>
        </is>
      </c>
      <c r="Z7" s="37" t="inlineStr">
        <is>
          <t>Фундаментальная предпосылка</t>
        </is>
      </c>
    </row>
    <row r="8" ht="30" customHeight="1" s="38">
      <c r="A8" s="47" t="inlineStr">
        <is>
          <t>PL-HIST-0007</t>
        </is>
      </c>
      <c r="B8" s="47" t="inlineStr">
        <is>
          <t>ок. 1620</t>
        </is>
      </c>
      <c r="C8" s="47" t="inlineStr">
        <is>
          <t>примерно</t>
        </is>
      </c>
      <c r="D8" s="47" t="inlineStr">
        <is>
          <t>Австрия / Германия</t>
        </is>
      </c>
      <c r="E8" s="47" t="inlineStr">
        <is>
          <t>Верхняя Австрия</t>
        </is>
      </c>
      <c r="F8" s="47" t="inlineStr">
        <is>
          <t>Иоганн Кеплер</t>
        </is>
      </c>
      <c r="G8" s="47" t="inlineStr">
        <is>
          <t>Использует переносную камеру-обскуру в виде палатки для наблюдения и зарисовок ландшафта.</t>
        </is>
      </c>
      <c r="H8" s="47" t="inlineStr">
        <is>
          <t>Оптические инструменты</t>
        </is>
      </c>
      <c r="I8" s="47" t="inlineStr">
        <is>
          <t>Портативная camera obscura</t>
        </is>
      </c>
      <c r="J8" s="47" t="inlineStr">
        <is>
          <t>Камера-обскура становится мобильной: это важный шаг к переносной камере.</t>
        </is>
      </c>
      <c r="K8" s="47" t="inlineStr">
        <is>
          <t>Линзовая камера-обскура</t>
        </is>
      </c>
      <c r="L8" s="47" t="inlineStr">
        <is>
          <t>Zahn and portable camera designs</t>
        </is>
      </c>
      <c r="M8" s="47" t="inlineStr">
        <is>
          <t>Оптическая предпосылка</t>
        </is>
      </c>
      <c r="N8" s="48" t="n">
        <v>3</v>
      </c>
      <c r="O8" s="47" t="inlineStr">
        <is>
          <t>PL-001</t>
        </is>
      </c>
      <c r="P8" s="47" t="inlineStr">
        <is>
          <t>SRC-003</t>
        </is>
      </c>
      <c r="Q8" s="47" t="inlineStr">
        <is>
          <t>Max Planck Institute — Camera Obscura PDF</t>
        </is>
      </c>
      <c r="R8" s="47" t="inlineStr">
        <is>
          <t>https://www.mpiwg-berlin.mpg.de/sites/default/files/Preprints/P307.pdf</t>
        </is>
      </c>
      <c r="S8" s="48" t="n">
        <v>3</v>
      </c>
      <c r="T8" s="47" t="inlineStr">
        <is>
          <t>Хороший визуальный эпизод для рилса: учёный в тёмной палатке ловит изображение мира.</t>
        </is>
      </c>
      <c r="U8" s="47" t="inlineStr">
        <is>
          <t>Карта: линия от комнаты к переносной палатке.</t>
        </is>
      </c>
      <c r="V8" s="47" t="inlineStr">
        <is>
          <t>#камера-обскура #портативность #Kepler</t>
        </is>
      </c>
      <c r="W8" s="47" t="inlineStr">
        <is>
          <t>Проверить год и источники письма Henry Wotton.</t>
        </is>
      </c>
      <c r="X8" s="37" t="inlineStr">
        <is>
          <t>48.3069, 14.2858</t>
        </is>
      </c>
      <c r="Z8" s="37" t="inlineStr">
        <is>
          <t>Инструмент / устройство</t>
        </is>
      </c>
    </row>
    <row r="9" ht="45" customHeight="1" s="38">
      <c r="A9" s="47" t="inlineStr">
        <is>
          <t>PL-HIST-0008</t>
        </is>
      </c>
      <c r="B9" s="47" t="inlineStr">
        <is>
          <t>1685</t>
        </is>
      </c>
      <c r="C9" s="47" t="inlineStr">
        <is>
          <t>год</t>
        </is>
      </c>
      <c r="D9" s="47" t="inlineStr">
        <is>
          <t>Германия</t>
        </is>
      </c>
      <c r="E9" s="47" t="inlineStr">
        <is>
          <t>Вюрцбург</t>
        </is>
      </c>
      <c r="F9" s="47" t="inlineStr">
        <is>
          <t>Иоганн Цан</t>
        </is>
      </c>
      <c r="G9" s="47" t="inlineStr">
        <is>
          <t>Публикует схемы переносных камер-обскур и оптических устройств в «Oculus Artificialis».</t>
        </is>
      </c>
      <c r="H9" s="47" t="inlineStr">
        <is>
          <t>Оптические инструменты</t>
        </is>
      </c>
      <c r="I9" s="47" t="inlineStr">
        <is>
          <t>Портативная / зеркальная camera obscura</t>
        </is>
      </c>
      <c r="J9" s="47" t="inlineStr">
        <is>
          <t>Идея камеры становится почти предметной: устройство уже похоже на будущий фотоаппарат, но без химической фиксации.</t>
        </is>
      </c>
      <c r="K9" s="47" t="inlineStr">
        <is>
          <t>Портативные камеры-обскуры XVII века</t>
        </is>
      </c>
      <c r="L9" s="47" t="inlineStr">
        <is>
          <t>Фотохимия XVIII века</t>
        </is>
      </c>
      <c r="M9" s="47" t="inlineStr">
        <is>
          <t>Оптическая предпосылка</t>
        </is>
      </c>
      <c r="N9" s="48" t="n">
        <v>4</v>
      </c>
      <c r="O9" s="47" t="inlineStr">
        <is>
          <t>PL-001</t>
        </is>
      </c>
      <c r="P9" s="47" t="inlineStr">
        <is>
          <t>SRC-004</t>
        </is>
      </c>
      <c r="Q9" s="47" t="inlineStr">
        <is>
          <t>Public Domain Review — Johann Zahn's Oculus Artificialis</t>
        </is>
      </c>
      <c r="R9" s="47" t="inlineStr">
        <is>
          <t>https://publicdomainreview.org/collection/images-from-johann-zahn-s-oculus-artificialis-1685</t>
        </is>
      </c>
      <c r="S9" s="48" t="n">
        <v>4</v>
      </c>
      <c r="T9" s="47" t="inlineStr">
        <is>
          <t>Можно показать как «корпус камеры появился раньше фотографии».</t>
        </is>
      </c>
      <c r="U9" s="47" t="inlineStr">
        <is>
          <t>Иконка деревянной камеры с зеркалом.</t>
        </is>
      </c>
      <c r="V9" s="47" t="inlineStr">
        <is>
          <t>#камера #Zahn #оптика</t>
        </is>
      </c>
      <c r="W9" s="47" t="n"/>
      <c r="X9" s="37" t="inlineStr">
        <is>
          <t>49.7913, 9.9534</t>
        </is>
      </c>
      <c r="Z9" s="37" t="inlineStr">
        <is>
          <t>Инструмент / устройство</t>
        </is>
      </c>
    </row>
    <row r="10" ht="30" customHeight="1" s="38">
      <c r="A10" s="47" t="inlineStr">
        <is>
          <t>PL-HIST-0009</t>
        </is>
      </c>
      <c r="B10" s="47" t="inlineStr">
        <is>
          <t>1727</t>
        </is>
      </c>
      <c r="C10" s="47" t="inlineStr">
        <is>
          <t>год</t>
        </is>
      </c>
      <c r="D10" s="47" t="inlineStr">
        <is>
          <t>Германия</t>
        </is>
      </c>
      <c r="E10" s="47" t="inlineStr">
        <is>
          <t>Альтдорф / Галле</t>
        </is>
      </c>
      <c r="F10" s="47" t="inlineStr">
        <is>
          <t>Иоганн Генрих Шульце</t>
        </is>
      </c>
      <c r="G10" s="47" t="inlineStr">
        <is>
          <t>Публикует научное исследование: соли серебра темнеют под действием света, а не тепла.</t>
        </is>
      </c>
      <c r="H10" s="47" t="inlineStr">
        <is>
          <t>Фотохимия</t>
        </is>
      </c>
      <c r="I10" s="47" t="inlineStr">
        <is>
          <t>Серебряные соли</t>
        </is>
      </c>
      <c r="J10" s="47" t="inlineStr">
        <is>
          <t>Появляется химическая половина фотографии: материал может реагировать на свет.</t>
        </is>
      </c>
      <c r="K10" s="47" t="inlineStr">
        <is>
          <t>Алхимические наблюдения потемнения серебра</t>
        </is>
      </c>
      <c r="L10" s="47" t="inlineStr">
        <is>
          <t>Scheele, Wedgwood, Niépce</t>
        </is>
      </c>
      <c r="M10" s="47" t="inlineStr">
        <is>
          <t>Химическая предпосылка</t>
        </is>
      </c>
      <c r="N10" s="48" t="n">
        <v>5</v>
      </c>
      <c r="O10" s="47" t="inlineStr">
        <is>
          <t>PL-002</t>
        </is>
      </c>
      <c r="P10" s="47" t="inlineStr">
        <is>
          <t>SRC-005</t>
        </is>
      </c>
      <c r="Q10" s="47" t="inlineStr">
        <is>
          <t>Swiss Camera Museum — Johann Heinrich Schulze</t>
        </is>
      </c>
      <c r="R10" s="47" t="inlineStr">
        <is>
          <t>https://www.cameramuseum.ch/en/discover/permanent-exhibition/the-origins-of-photography/the-precursors-johann-heinrich-schulze/</t>
        </is>
      </c>
      <c r="S10" s="48" t="n">
        <v>5</v>
      </c>
      <c r="T10" s="47" t="inlineStr">
        <is>
          <t>Это ключевой мост: камера уже строила изображение, но теперь появился материал, который свет может менять.</t>
        </is>
      </c>
      <c r="U10" s="47" t="inlineStr">
        <is>
          <t>Серебряная колба/бутылка, на которой свет оставляет след.</t>
        </is>
      </c>
      <c r="V10" s="47" t="inlineStr">
        <is>
          <t>#фотохимия #серебро #Schulze #PL002</t>
        </is>
      </c>
      <c r="W10" s="47" t="n"/>
      <c r="X10" s="37" t="inlineStr">
        <is>
          <t>49.3833, 11.3833</t>
        </is>
      </c>
      <c r="Z10" s="37" t="inlineStr">
        <is>
          <t>Фундаментальная предпосылка</t>
        </is>
      </c>
    </row>
    <row r="11" ht="45" customHeight="1" s="38">
      <c r="A11" s="47" t="inlineStr">
        <is>
          <t>PL-HIST-0010</t>
        </is>
      </c>
      <c r="B11" s="47" t="inlineStr">
        <is>
          <t>1777</t>
        </is>
      </c>
      <c r="C11" s="47" t="inlineStr">
        <is>
          <t>год</t>
        </is>
      </c>
      <c r="D11" s="47" t="inlineStr">
        <is>
          <t>Швеция</t>
        </is>
      </c>
      <c r="E11" s="47" t="inlineStr">
        <is>
          <t>Кёпинг / Стокгольм (контекст)</t>
        </is>
      </c>
      <c r="F11" s="47" t="inlineStr">
        <is>
          <t>Карл Вильгельм Шееле</t>
        </is>
      </c>
      <c r="G11" s="47" t="inlineStr">
        <is>
          <t>Изучает свойства хлорида серебра: потемнение на свету и роль аммиака для растворения/стабилизации соединений серебра.</t>
        </is>
      </c>
      <c r="H11" s="47" t="inlineStr">
        <is>
          <t>Фотохимия</t>
        </is>
      </c>
      <c r="I11" s="47" t="inlineStr">
        <is>
          <t>Silver chloride / ammonia</t>
        </is>
      </c>
      <c r="J11" s="47" t="inlineStr">
        <is>
          <t>Фиксация становится главным нерешённым вопросом: как сделать след света устойчивым.</t>
        </is>
      </c>
      <c r="K11" s="47" t="inlineStr">
        <is>
          <t>Schulze and silver salts</t>
        </is>
      </c>
      <c r="L11" s="47" t="inlineStr">
        <is>
          <t>Wedgwood and Davy, then Niépce</t>
        </is>
      </c>
      <c r="M11" s="47" t="inlineStr">
        <is>
          <t>Химическая предпосылка</t>
        </is>
      </c>
      <c r="N11" s="48" t="n">
        <v>4</v>
      </c>
      <c r="O11" s="47" t="inlineStr">
        <is>
          <t>PL-002</t>
        </is>
      </c>
      <c r="P11" s="47" t="inlineStr">
        <is>
          <t>SRC-006</t>
        </is>
      </c>
      <c r="Q11" s="47" t="inlineStr">
        <is>
          <t>Science History Institute — Silver and Sunlight</t>
        </is>
      </c>
      <c r="R11" s="47" t="inlineStr">
        <is>
          <t>https://www.sciencehistory.org/stories/magazine/silver-and-sunlight/</t>
        </is>
      </c>
      <c r="S11" s="48" t="n">
        <v>4</v>
      </c>
      <c r="T11" s="47" t="inlineStr">
        <is>
          <t>Новичку объяснить: мало получить изображение — нужно остановить дальнейшее потемнение.</t>
        </is>
      </c>
      <c r="U11" s="47" t="inlineStr">
        <is>
          <t>Иконка: след света + знак «зафиксировать».</t>
        </is>
      </c>
      <c r="V11" s="47" t="inlineStr">
        <is>
          <t>#фотохимия #фиксаж #серебро</t>
        </is>
      </c>
      <c r="W11" s="47" t="inlineStr">
        <is>
          <t>Уточнить связь Scheele с практическим фиксированием: не преувеличивать.</t>
        </is>
      </c>
      <c r="X11" s="37" t="inlineStr">
        <is>
          <t>59.5117, 15.9992</t>
        </is>
      </c>
      <c r="Y11" s="37" t="inlineStr">
        <is>
          <t>Фотохимия / фиксация</t>
        </is>
      </c>
      <c r="Z11" s="37" t="inlineStr">
        <is>
          <t>Фундаментальная предпосылка</t>
        </is>
      </c>
    </row>
    <row r="12" ht="30" customHeight="1" s="38">
      <c r="A12" s="47" t="inlineStr">
        <is>
          <t>PL-HIST-0011</t>
        </is>
      </c>
      <c r="B12" s="47" t="inlineStr">
        <is>
          <t>ок. 1800</t>
        </is>
      </c>
      <c r="C12" s="47" t="inlineStr">
        <is>
          <t>примерно</t>
        </is>
      </c>
      <c r="D12" s="47" t="inlineStr">
        <is>
          <t>Великобритания</t>
        </is>
      </c>
      <c r="E12" s="47" t="inlineStr">
        <is>
          <t>Этрурия / Стаффордшир</t>
        </is>
      </c>
      <c r="F12" s="47" t="inlineStr">
        <is>
          <t>Томас Веджвуд</t>
        </is>
      </c>
      <c r="G12" s="47" t="inlineStr">
        <is>
          <t>Проводит опыты с бумагой/кожей, обработанными нитратом серебра, пытаясь получать изображения светом.</t>
        </is>
      </c>
      <c r="H12" s="47" t="inlineStr">
        <is>
          <t>Фотохимия</t>
        </is>
      </c>
      <c r="I12" s="47" t="inlineStr">
        <is>
          <t>Серебряный нитрат на бумаге/коже</t>
        </is>
      </c>
      <c r="J12" s="47" t="inlineStr">
        <is>
          <t>Появляется идея фотографического изображения, но проблема сохранения ещё не решена.</t>
        </is>
      </c>
      <c r="K12" s="47" t="inlineStr">
        <is>
          <t>Schulze and Scheele</t>
        </is>
      </c>
      <c r="L12" s="47" t="inlineStr">
        <is>
          <t>Davy publication, Niépce's experiments</t>
        </is>
      </c>
      <c r="M12" s="47" t="inlineStr">
        <is>
          <t>Тупиковая / не получила развития</t>
        </is>
      </c>
      <c r="N12" s="48" t="n">
        <v>4</v>
      </c>
      <c r="O12" s="47" t="inlineStr">
        <is>
          <t>PL-002</t>
        </is>
      </c>
      <c r="P12" s="47" t="inlineStr">
        <is>
          <t>SRC-007</t>
        </is>
      </c>
      <c r="Q12" s="47" t="inlineStr">
        <is>
          <t>Swiss Camera Museum — Thomas Wedgwood</t>
        </is>
      </c>
      <c r="R12" s="47" t="inlineStr">
        <is>
          <t>https://www.cameramuseum.ch/en/discover/permanent-exhibition/the-origins-of-photography/the-precursors-thomas-wedgwood/</t>
        </is>
      </c>
      <c r="S12" s="48" t="n">
        <v>4</v>
      </c>
      <c r="T12" s="47" t="inlineStr">
        <is>
          <t>Хорошо показать как честную неудачу: попытка почти фотографическая, но изображение исчезает.</t>
        </is>
      </c>
      <c r="U12" s="47" t="inlineStr">
        <is>
          <t>Пунктирная линия: «почти получилось, но не закрепилось».</t>
        </is>
      </c>
      <c r="V12" s="47" t="inlineStr">
        <is>
          <t>#Wedgwood #фотохимия #неудача</t>
        </is>
      </c>
      <c r="W12" s="47" t="n"/>
      <c r="X12" s="37" t="inlineStr">
        <is>
          <t>53.0027, -2.1794</t>
        </is>
      </c>
      <c r="Y12" s="37" t="inlineStr">
        <is>
          <t>Фотохимия / первая фиксация</t>
        </is>
      </c>
      <c r="Z12" s="37" t="inlineStr">
        <is>
          <t>Технология / процесс</t>
        </is>
      </c>
    </row>
    <row r="13" ht="30" customHeight="1" s="38">
      <c r="A13" s="47" t="inlineStr">
        <is>
          <t>PL-HIST-0012</t>
        </is>
      </c>
      <c r="B13" s="47" t="inlineStr">
        <is>
          <t>1802</t>
        </is>
      </c>
      <c r="C13" s="47" t="inlineStr">
        <is>
          <t>год</t>
        </is>
      </c>
      <c r="D13" s="47" t="inlineStr">
        <is>
          <t>Великобритания</t>
        </is>
      </c>
      <c r="E13" s="47" t="inlineStr">
        <is>
          <t>Лондон / Бристоль</t>
        </is>
      </c>
      <c r="F13" s="47" t="inlineStr">
        <is>
          <t>Хамфри Дэви и Томас Веджвуд</t>
        </is>
      </c>
      <c r="G13" s="47" t="inlineStr">
        <is>
          <t>Дэви публикует отчёт о методе копирования изображений светом на нитрате серебра.</t>
        </is>
      </c>
      <c r="H13" s="47" t="inlineStr">
        <is>
          <t>Фотохимия</t>
        </is>
      </c>
      <c r="I13" s="47" t="inlineStr">
        <is>
          <t>Photogenic copying on silver nitrate</t>
        </is>
      </c>
      <c r="J13" s="47" t="inlineStr">
        <is>
          <t>Первые эксперименты становятся опубликованным знанием, но без полноценного фиксирования изображения.</t>
        </is>
      </c>
      <c r="K13" s="47" t="inlineStr">
        <is>
          <t>Wedgwood experiments</t>
        </is>
      </c>
      <c r="L13" s="47" t="inlineStr">
        <is>
          <t>Niépce and Talbot later address permanence</t>
        </is>
      </c>
      <c r="M13" s="47" t="inlineStr">
        <is>
          <t>Тупиковая / не получила развития</t>
        </is>
      </c>
      <c r="N13" s="48" t="n">
        <v>4</v>
      </c>
      <c r="O13" s="47" t="inlineStr">
        <is>
          <t>PL-002</t>
        </is>
      </c>
      <c r="P13" s="47" t="inlineStr">
        <is>
          <t>SRC-008</t>
        </is>
      </c>
      <c r="Q13" s="47" t="inlineStr">
        <is>
          <t>Bodleian — Talbot Catalogue: Photogenic Drawing</t>
        </is>
      </c>
      <c r="R13" s="47" t="inlineStr">
        <is>
          <t>https://talbot.bodleian.ox.ac.uk/2017/02/17/an-account-of-the-processes-employed-in-photogenic-drawing/</t>
        </is>
      </c>
      <c r="S13" s="48" t="n">
        <v>4</v>
      </c>
      <c r="T13" s="47" t="inlineStr">
        <is>
          <t>В лекции: до Ньепса уже были люди, которые понимали направление, но не решили задачу постоянства.</t>
        </is>
      </c>
      <c r="U13" s="47" t="inlineStr">
        <is>
          <t>Иконка публикации/лист бумаги, который постепенно темнеет.</t>
        </is>
      </c>
      <c r="V13" s="47" t="inlineStr">
        <is>
          <t>#Davy #Wedgwood #публикация</t>
        </is>
      </c>
      <c r="W13" s="47" t="inlineStr">
        <is>
          <t>Добавить первичный PDF/текст Journal of the Royal Institution при углублении.</t>
        </is>
      </c>
      <c r="X13" s="37" t="inlineStr">
        <is>
          <t>51.5074, -0.1278</t>
        </is>
      </c>
      <c r="Y13" s="37" t="inlineStr">
        <is>
          <t>Фотохимия / публикация</t>
        </is>
      </c>
      <c r="Z13" s="37" t="inlineStr">
        <is>
          <t>Публикация / объявление</t>
        </is>
      </c>
    </row>
    <row r="14" ht="30" customHeight="1" s="38">
      <c r="A14" s="47" t="inlineStr">
        <is>
          <t>PL-HIST-0013</t>
        </is>
      </c>
      <c r="B14" s="47" t="inlineStr">
        <is>
          <t>1806–1807</t>
        </is>
      </c>
      <c r="C14" s="47" t="inlineStr">
        <is>
          <t>диапазон</t>
        </is>
      </c>
      <c r="D14" s="47" t="inlineStr">
        <is>
          <t>Великобритания</t>
        </is>
      </c>
      <c r="E14" s="47" t="inlineStr">
        <is>
          <t>Лондон</t>
        </is>
      </c>
      <c r="F14" s="47" t="inlineStr">
        <is>
          <t>Уильям Хайд Волластон</t>
        </is>
      </c>
      <c r="G14" s="47" t="inlineStr">
        <is>
          <t>Патентует и называет camera lucida — оптический прибор для точного рисования.</t>
        </is>
      </c>
      <c r="H14" s="47" t="inlineStr">
        <is>
          <t>Оптические инструменты</t>
        </is>
      </c>
      <c r="I14" s="47" t="inlineStr">
        <is>
          <t>Camera lucida</t>
        </is>
      </c>
      <c r="J14" s="47" t="inlineStr">
        <is>
          <t>Показывает, что до фотографии общество уже искало способы механизировать точность изображения.</t>
        </is>
      </c>
      <c r="K14" s="47" t="inlineStr">
        <is>
          <t>Camera obscura drawing tools</t>
        </is>
      </c>
      <c r="L14" s="47" t="inlineStr">
        <is>
          <t>Photography will replace drawing aids for some purposes</t>
        </is>
      </c>
      <c r="M14" s="47" t="inlineStr">
        <is>
          <t>Оптическая предпосылка</t>
        </is>
      </c>
      <c r="N14" s="48" t="n">
        <v>3</v>
      </c>
      <c r="O14" s="47" t="inlineStr">
        <is>
          <t>межурочный узел</t>
        </is>
      </c>
      <c r="P14" s="47" t="inlineStr">
        <is>
          <t>SRC-009</t>
        </is>
      </c>
      <c r="Q14" s="47" t="inlineStr">
        <is>
          <t>Smithsonian NMAH — Camera Lucida</t>
        </is>
      </c>
      <c r="R14" s="47" t="inlineStr">
        <is>
          <t>https://americanhistory.si.edu/collections/object/nmah_1184286</t>
        </is>
      </c>
      <c r="S14" s="48" t="n">
        <v>5</v>
      </c>
      <c r="T14" s="47" t="inlineStr">
        <is>
          <t>Это не фотография, но очень полезный узел: люди хотели точного изображения до химической фотографии.</t>
        </is>
      </c>
      <c r="U14" s="47" t="inlineStr">
        <is>
          <t>Иконка призмы и руки художника.</t>
        </is>
      </c>
      <c r="V14" s="47" t="inlineStr">
        <is>
          <t>#оптика #camera-lucida #рисование</t>
        </is>
      </c>
      <c r="W14" s="47" t="n"/>
      <c r="X14" s="37" t="inlineStr">
        <is>
          <t>51.5074, -0.1278</t>
        </is>
      </c>
      <c r="Z14" s="37" t="inlineStr">
        <is>
          <t>Инструмент / устройство</t>
        </is>
      </c>
    </row>
    <row r="15" ht="30" customHeight="1" s="38">
      <c r="A15" s="47" t="inlineStr">
        <is>
          <t>PL-HIST-0014</t>
        </is>
      </c>
      <c r="B15" s="47" t="inlineStr">
        <is>
          <t>1816</t>
        </is>
      </c>
      <c r="C15" s="47" t="inlineStr">
        <is>
          <t>год</t>
        </is>
      </c>
      <c r="D15" s="47" t="inlineStr">
        <is>
          <t>Франция</t>
        </is>
      </c>
      <c r="E15" s="47" t="inlineStr">
        <is>
          <t>Сен-Лу-де-Варенн / Ле-Гра</t>
        </is>
      </c>
      <c r="F15" s="47" t="inlineStr">
        <is>
          <t>Нисефор Ньепс</t>
        </is>
      </c>
      <c r="G15" s="47" t="inlineStr">
        <is>
          <t>Получает исчезающие негативные изображения в камере-обскуре на бумаге с солями серебра.</t>
        </is>
      </c>
      <c r="H15" s="47" t="inlineStr">
        <is>
          <t>Гелиография</t>
        </is>
      </c>
      <c r="I15" s="47" t="inlineStr">
        <is>
          <t>Silver chloride paper negative</t>
        </is>
      </c>
      <c r="J15" s="47" t="inlineStr">
        <is>
          <t>Ньепс впервые подходит к реальной камере-фотографии, но изображение ещё не устойчиво.</t>
        </is>
      </c>
      <c r="K15" s="47" t="inlineStr">
        <is>
          <t>Wedgwood/Davy experiments</t>
        </is>
      </c>
      <c r="L15" s="47" t="inlineStr">
        <is>
          <t>Niépce switches to bitumen heliography</t>
        </is>
      </c>
      <c r="M15" s="47" t="inlineStr">
        <is>
          <t>Переходная технология</t>
        </is>
      </c>
      <c r="N15" s="48" t="n">
        <v>5</v>
      </c>
      <c r="O15" s="47" t="inlineStr">
        <is>
          <t>PL-002</t>
        </is>
      </c>
      <c r="P15" s="47" t="inlineStr">
        <is>
          <t>SRC-011</t>
        </is>
      </c>
      <c r="Q15" s="47" t="inlineStr">
        <is>
          <t>Maison Nicéphore Niépce — First experiments</t>
        </is>
      </c>
      <c r="R15" s="47" t="inlineStr">
        <is>
          <t>https://bicentennial-of-photography.org/niepce-and-the-invention-of-photography-niepce-s-first-experiments/</t>
        </is>
      </c>
      <c r="S15" s="48" t="n">
        <v>4</v>
      </c>
      <c r="T15" s="47" t="inlineStr">
        <is>
          <t>Важно: это не первый сохранившийся снимок, а первая стадия Ньепса — изображение было, но исчезало.</t>
        </is>
      </c>
      <c r="U15" s="47" t="inlineStr">
        <is>
          <t>Светлая линия появляется на бумаге и затем исчезает.</t>
        </is>
      </c>
      <c r="V15" s="47" t="inlineStr">
        <is>
          <t>#Niépce #1816 #PL002 #негатив</t>
        </is>
      </c>
      <c r="W15" s="47" t="n"/>
      <c r="X15" s="37" t="inlineStr">
        <is>
          <t>46.7828, 4.8892</t>
        </is>
      </c>
      <c r="Y15" s="37" t="inlineStr">
        <is>
          <t>Первая фиксация / проблема постоянства</t>
        </is>
      </c>
      <c r="Z15" s="37" t="inlineStr">
        <is>
          <t>Технология / процесс</t>
        </is>
      </c>
    </row>
    <row r="16" ht="45" customHeight="1" s="38">
      <c r="A16" s="47" t="inlineStr">
        <is>
          <t>PL-HIST-0015</t>
        </is>
      </c>
      <c r="B16" s="47" t="inlineStr">
        <is>
          <t>1822–1825</t>
        </is>
      </c>
      <c r="C16" s="47" t="inlineStr">
        <is>
          <t>диапазон</t>
        </is>
      </c>
      <c r="D16" s="47" t="inlineStr">
        <is>
          <t>Франция</t>
        </is>
      </c>
      <c r="E16" s="47" t="inlineStr">
        <is>
          <t>Сен-Лу-де-Варенн / Ле-Гра</t>
        </is>
      </c>
      <c r="F16" s="47" t="inlineStr">
        <is>
          <t>Нисефор Ньепс</t>
        </is>
      </c>
      <c r="G16" s="47" t="inlineStr">
        <is>
          <t>Развивает гелиографию: использует светочувствительный битум для создания устойчивых изображений/копий гравюр.</t>
        </is>
      </c>
      <c r="H16" s="47" t="inlineStr">
        <is>
          <t>Гелиография</t>
        </is>
      </c>
      <c r="I16" s="47" t="inlineStr">
        <is>
          <t>Bitumen of Judea on metal/stone</t>
        </is>
      </c>
      <c r="J16" s="47" t="inlineStr">
        <is>
          <t>Путь меняется: вместо серебряных солей Ньепс ищет материал, который свет делает не темнее, а твёрже/нерастворимее.</t>
        </is>
      </c>
      <c r="K16" s="47" t="inlineStr">
        <is>
          <t>1816 silver-salt negatives</t>
        </is>
      </c>
      <c r="L16" s="47" t="inlineStr">
        <is>
          <t>View from the Window at Le Gras</t>
        </is>
      </c>
      <c r="M16" s="47" t="inlineStr">
        <is>
          <t>Переходная технология</t>
        </is>
      </c>
      <c r="N16" s="48" t="n">
        <v>4</v>
      </c>
      <c r="O16" s="47" t="inlineStr">
        <is>
          <t>PL-002</t>
        </is>
      </c>
      <c r="P16" s="47" t="inlineStr">
        <is>
          <t>SRC-010</t>
        </is>
      </c>
      <c r="Q16" s="47" t="inlineStr">
        <is>
          <t>Harry Ransom Center — The Niépce Heliograph</t>
        </is>
      </c>
      <c r="R16" s="47" t="inlineStr">
        <is>
          <t>https://www.hrc.utexas.edu/niepce-heliograph/</t>
        </is>
      </c>
      <c r="S16" s="48" t="n">
        <v>4</v>
      </c>
      <c r="T16" s="47" t="inlineStr">
        <is>
          <t>Для лекции: Ньепс думал не только о камере, но и о механическом копировании изображений.</t>
        </is>
      </c>
      <c r="U16" s="47" t="inlineStr">
        <is>
          <t>Узел «гелиография»: солнце превращает покрытие в устойчивый след.</t>
        </is>
      </c>
      <c r="V16" s="47" t="inlineStr">
        <is>
          <t>#гелиография #Niépce #битум</t>
        </is>
      </c>
      <c r="W16" s="47" t="inlineStr">
        <is>
          <t>Проверить дату 1822 для несохранившейся heliograph copy.</t>
        </is>
      </c>
      <c r="X16" s="37" t="inlineStr">
        <is>
          <t>46.7828, 4.8892</t>
        </is>
      </c>
      <c r="Z16" s="37" t="inlineStr">
        <is>
          <t>Технология / процесс</t>
        </is>
      </c>
    </row>
    <row r="17" ht="45" customHeight="1" s="38">
      <c r="A17" s="47" t="inlineStr">
        <is>
          <t>PL-HIST-0016</t>
        </is>
      </c>
      <c r="B17" s="47" t="inlineStr">
        <is>
          <t>1826 / 1827</t>
        </is>
      </c>
      <c r="C17" s="47" t="inlineStr">
        <is>
          <t>спорно/уточнить</t>
        </is>
      </c>
      <c r="D17" s="47" t="inlineStr">
        <is>
          <t>Франция</t>
        </is>
      </c>
      <c r="E17" s="47" t="inlineStr">
        <is>
          <t>Ле-Гра, Сен-Лу-де-Варенн</t>
        </is>
      </c>
      <c r="F17" s="47" t="inlineStr">
        <is>
          <t>Нисефор Ньепс</t>
        </is>
      </c>
      <c r="G17" s="47" t="inlineStr">
        <is>
          <t>Создаёт «Вид из окна в Ле-Гра» — самое раннее сохранившееся изображение, полученное с помощью камеры-обскуры.</t>
        </is>
      </c>
      <c r="H17" s="47" t="inlineStr">
        <is>
          <t>Гелиография</t>
        </is>
      </c>
      <c r="I17" s="47" t="inlineStr">
        <is>
          <t>Heliograph on pewter plate</t>
        </is>
      </c>
      <c r="J17" s="47" t="inlineStr">
        <is>
          <t>Изображение впервые не просто возникло, а сохранилось до наших дней.</t>
        </is>
      </c>
      <c r="K17" s="47" t="inlineStr">
        <is>
          <t>Heliographic experiments</t>
        </is>
      </c>
      <c r="L17" s="47" t="inlineStr">
        <is>
          <t>Partnership with Daguerre</t>
        </is>
      </c>
      <c r="M17" s="47" t="inlineStr">
        <is>
          <t>Главная линия</t>
        </is>
      </c>
      <c r="N17" s="48" t="n">
        <v>5</v>
      </c>
      <c r="O17" s="47" t="inlineStr">
        <is>
          <t>PL-002</t>
        </is>
      </c>
      <c r="P17" s="47" t="inlineStr">
        <is>
          <t>SRC-010</t>
        </is>
      </c>
      <c r="Q17" s="47" t="inlineStr">
        <is>
          <t>Harry Ransom Center — The Niépce Heliograph</t>
        </is>
      </c>
      <c r="R17" s="47" t="inlineStr">
        <is>
          <t>https://www.hrc.utexas.edu/niepce-heliograph/</t>
        </is>
      </c>
      <c r="S17" s="48" t="n">
        <v>5</v>
      </c>
      <c r="T17" s="47" t="inlineStr">
        <is>
          <t>Дата встречается как 1826 или 1827; в таблице оставляем спорной/уточняемой.</t>
        </is>
      </c>
      <c r="U17" s="47" t="inlineStr">
        <is>
          <t>Главный узел PL-002: окно, свет, металлическая пластина.</t>
        </is>
      </c>
      <c r="V17" s="47" t="inlineStr">
        <is>
          <t>#Niépce #перваяфотография #гелиография #PL002</t>
        </is>
      </c>
      <c r="W17" s="47" t="inlineStr">
        <is>
          <t>Уточнить редакционную дату: Harvard даёт 1826, HRC — 1827.</t>
        </is>
      </c>
      <c r="X17" s="37" t="inlineStr">
        <is>
          <t>46.7828, 4.8892</t>
        </is>
      </c>
      <c r="Y17" s="37" t="inlineStr">
        <is>
          <t>Гелиография / первая сохранившаяся фотография</t>
        </is>
      </c>
      <c r="Z17" s="37" t="inlineStr">
        <is>
          <t>Ключевой исторический узел</t>
        </is>
      </c>
      <c r="AA17" s="37" t="inlineStr">
        <is>
          <t>да</t>
        </is>
      </c>
    </row>
    <row r="18" ht="30" customHeight="1" s="38">
      <c r="A18" s="47" t="inlineStr">
        <is>
          <t>PL-HIST-0017</t>
        </is>
      </c>
      <c r="B18" s="47" t="inlineStr">
        <is>
          <t>1829</t>
        </is>
      </c>
      <c r="C18" s="47" t="inlineStr">
        <is>
          <t>год</t>
        </is>
      </c>
      <c r="D18" s="47" t="inlineStr">
        <is>
          <t>Франция</t>
        </is>
      </c>
      <c r="E18" s="47" t="inlineStr">
        <is>
          <t>Париж / Сен-Лу-де-Варенн</t>
        </is>
      </c>
      <c r="F18" s="47" t="inlineStr">
        <is>
          <t>Нисефор Ньепс и Луи Дагер</t>
        </is>
      </c>
      <c r="G18" s="47" t="inlineStr">
        <is>
          <t>Ньепс и Дагер вступают в формальное партнёрство для развития фотографического процесса.</t>
        </is>
      </c>
      <c r="H18" s="47" t="inlineStr">
        <is>
          <t>Дагеротип</t>
        </is>
      </c>
      <c r="I18" s="47" t="inlineStr">
        <is>
          <t>Heliography → daguerreotype lineage</t>
        </is>
      </c>
      <c r="J18" s="47" t="inlineStr">
        <is>
          <t>Линия Ньепса соединяется с практическими улучшениями Дагера.</t>
        </is>
      </c>
      <c r="K18" s="47" t="inlineStr">
        <is>
          <t>Niépce heliography</t>
        </is>
      </c>
      <c r="L18" s="47" t="inlineStr">
        <is>
          <t>Daguerreotype announcement</t>
        </is>
      </c>
      <c r="M18" s="47" t="inlineStr">
        <is>
          <t>Главная линия</t>
        </is>
      </c>
      <c r="N18" s="48" t="n">
        <v>4</v>
      </c>
      <c r="O18" s="47" t="inlineStr">
        <is>
          <t>PL-003</t>
        </is>
      </c>
      <c r="P18" s="47" t="inlineStr">
        <is>
          <t>SRC-010</t>
        </is>
      </c>
      <c r="Q18" s="47" t="inlineStr">
        <is>
          <t>Harry Ransom Center — The Niépce Heliograph</t>
        </is>
      </c>
      <c r="R18" s="47" t="inlineStr">
        <is>
          <t>https://www.hrc.utexas.edu/niepce-heliograph/</t>
        </is>
      </c>
      <c r="S18" s="48" t="n">
        <v>5</v>
      </c>
      <c r="T18" s="47" t="inlineStr">
        <is>
          <t>Это не просто смена фамилии: здесь начинается связка Ньепс → Дагер.</t>
        </is>
      </c>
      <c r="U18" s="47" t="inlineStr">
        <is>
          <t>Линия на карте: Ле-Гра → Париж.</t>
        </is>
      </c>
      <c r="V18" s="47" t="inlineStr">
        <is>
          <t>#Niépce #Daguerre #Франция #PL003</t>
        </is>
      </c>
      <c r="W18" s="47" t="n"/>
      <c r="X18" s="37" t="inlineStr">
        <is>
          <t>48.8566, 2.3522</t>
        </is>
      </c>
      <c r="Y18" s="37" t="inlineStr">
        <is>
          <t>Передача идеи / развитие процесса</t>
        </is>
      </c>
      <c r="Z18" s="37" t="inlineStr">
        <is>
          <t>Связь / переход</t>
        </is>
      </c>
    </row>
    <row r="19" ht="30" customHeight="1" s="38">
      <c r="A19" s="47" t="inlineStr">
        <is>
          <t>PL-HIST-0018</t>
        </is>
      </c>
      <c r="B19" s="47" t="inlineStr">
        <is>
          <t>1833</t>
        </is>
      </c>
      <c r="C19" s="47" t="inlineStr">
        <is>
          <t>год</t>
        </is>
      </c>
      <c r="D19" s="47" t="inlineStr">
        <is>
          <t>Франция</t>
        </is>
      </c>
      <c r="E19" s="47" t="inlineStr">
        <is>
          <t>Сен-Лу-де-Варенн</t>
        </is>
      </c>
      <c r="F19" s="47" t="inlineStr">
        <is>
          <t>Нисефор Ньепс / Луи Дагер</t>
        </is>
      </c>
      <c r="G19" s="47" t="inlineStr">
        <is>
          <t>После смерти Ньепса Дагер продолжает работы и в итоге доводит процесс до публичного объявления.</t>
        </is>
      </c>
      <c r="H19" s="47" t="inlineStr">
        <is>
          <t>Дагеротип</t>
        </is>
      </c>
      <c r="I19" s="47" t="inlineStr">
        <is>
          <t>Daguerreotype lineage</t>
        </is>
      </c>
      <c r="J19" s="47" t="inlineStr">
        <is>
          <t>Фотография становится историей не одного человека, а продолжения незавершённой разработки.</t>
        </is>
      </c>
      <c r="K19" s="47" t="inlineStr">
        <is>
          <t>Partnership 1829</t>
        </is>
      </c>
      <c r="L19" s="47" t="inlineStr">
        <is>
          <t>1839 public announcement</t>
        </is>
      </c>
      <c r="M19" s="47" t="inlineStr">
        <is>
          <t>Главная линия</t>
        </is>
      </c>
      <c r="N19" s="48" t="n">
        <v>3</v>
      </c>
      <c r="O19" s="47" t="inlineStr">
        <is>
          <t>PL-003</t>
        </is>
      </c>
      <c r="P19" s="47" t="inlineStr">
        <is>
          <t>SRC-010</t>
        </is>
      </c>
      <c r="Q19" s="47" t="inlineStr">
        <is>
          <t>Harry Ransom Center — The Niépce Heliograph</t>
        </is>
      </c>
      <c r="R19" s="47" t="inlineStr">
        <is>
          <t>https://www.hrc.utexas.edu/niepce-heliograph/</t>
        </is>
      </c>
      <c r="S19" s="48" t="n">
        <v>4</v>
      </c>
      <c r="T19" s="47" t="inlineStr">
        <is>
          <t>Для сериала: Ньепс не увидел публичного триумфа фотографии.</t>
        </is>
      </c>
      <c r="U19" s="47" t="inlineStr">
        <is>
          <t>Линия прерывается у Ньепса и продолжается к Дагеру.</t>
        </is>
      </c>
      <c r="V19" s="47" t="inlineStr">
        <is>
          <t>#Niépce #Daguerre #история</t>
        </is>
      </c>
      <c r="W19" s="47" t="n"/>
      <c r="X19" s="37" t="inlineStr">
        <is>
          <t>46.7828, 4.8892</t>
        </is>
      </c>
      <c r="Y19" s="37" t="inlineStr">
        <is>
          <t>Передача идеи / развитие процесса</t>
        </is>
      </c>
      <c r="Z19" s="37" t="inlineStr">
        <is>
          <t>Связь / переход</t>
        </is>
      </c>
    </row>
    <row r="20" ht="30" customHeight="1" s="38">
      <c r="A20" s="47" t="inlineStr">
        <is>
          <t>PL-HIST-0019</t>
        </is>
      </c>
      <c r="B20" s="47" t="inlineStr">
        <is>
          <t>1834</t>
        </is>
      </c>
      <c r="C20" s="47" t="inlineStr">
        <is>
          <t>год</t>
        </is>
      </c>
      <c r="D20" s="47" t="inlineStr">
        <is>
          <t>Великобритания</t>
        </is>
      </c>
      <c r="E20" s="47" t="inlineStr">
        <is>
          <t>Лэкок-Эбби</t>
        </is>
      </c>
      <c r="F20" s="47" t="inlineStr">
        <is>
          <t>Уильям Генри Фокс Тальбот</t>
        </is>
      </c>
      <c r="G20" s="47" t="inlineStr">
        <is>
          <t>Создаёт фотогенные рисунки: предметы кладутся на светочувствительную бумагу и оставляют силуэт.</t>
        </is>
      </c>
      <c r="H20" s="47" t="inlineStr">
        <is>
          <t>Фотогенный рисунок / фотограмма</t>
        </is>
      </c>
      <c r="I20" s="47" t="inlineStr">
        <is>
          <t>Photogenic drawing</t>
        </is>
      </c>
      <c r="J20" s="47" t="inlineStr">
        <is>
          <t>Параллельно французской линии появляется британская ветка: изображение через негативный след на бумаге.</t>
        </is>
      </c>
      <c r="K20" s="47" t="inlineStr">
        <is>
          <t>Wedgwood/Davy and silver salts</t>
        </is>
      </c>
      <c r="L20" s="47" t="inlineStr">
        <is>
          <t>Calotype and negative-positive process</t>
        </is>
      </c>
      <c r="M20" s="47" t="inlineStr">
        <is>
          <t>Главная линия</t>
        </is>
      </c>
      <c r="N20" s="48" t="n">
        <v>5</v>
      </c>
      <c r="O20" s="47" t="inlineStr">
        <is>
          <t>PL-004</t>
        </is>
      </c>
      <c r="P20" s="47" t="inlineStr">
        <is>
          <t>SRC-023</t>
        </is>
      </c>
      <c r="Q20" s="47" t="inlineStr">
        <is>
          <t>National Gallery of Canada — The Calotype Process</t>
        </is>
      </c>
      <c r="R20" s="47" t="inlineStr">
        <is>
          <t>https://www.gallery.ca/photo-blog/the-calotype-process</t>
        </is>
      </c>
      <c r="S20" s="48" t="n">
        <v>4</v>
      </c>
      <c r="T20" s="47" t="inlineStr">
        <is>
          <t>Важно показать как параллельную работу, а не как продолжение Дагера.</t>
        </is>
      </c>
      <c r="U20" s="47" t="inlineStr">
        <is>
          <t>Отдельная линия Великобритания: лист растения на бумаге.</t>
        </is>
      </c>
      <c r="V20" s="47" t="inlineStr">
        <is>
          <t>#Talbot #photogenic-drawing #PL004</t>
        </is>
      </c>
      <c r="W20" s="47" t="n"/>
      <c r="X20" s="37" t="inlineStr">
        <is>
          <t>51.4136, -2.118</t>
        </is>
      </c>
      <c r="Z20" s="37" t="inlineStr">
        <is>
          <t>Технология / процесс</t>
        </is>
      </c>
    </row>
    <row r="21" ht="30" customHeight="1" s="38">
      <c r="A21" s="47" t="inlineStr">
        <is>
          <t>PL-HIST-0020</t>
        </is>
      </c>
      <c r="B21" s="47" t="inlineStr">
        <is>
          <t>1835</t>
        </is>
      </c>
      <c r="C21" s="47" t="inlineStr">
        <is>
          <t>год</t>
        </is>
      </c>
      <c r="D21" s="47" t="inlineStr">
        <is>
          <t>Великобритания</t>
        </is>
      </c>
      <c r="E21" s="47" t="inlineStr">
        <is>
          <t>Лэкок-Эбби</t>
        </is>
      </c>
      <c r="F21" s="47" t="inlineStr">
        <is>
          <t>Уильям Генри Фокс Тальбот</t>
        </is>
      </c>
      <c r="G21" s="47" t="inlineStr">
        <is>
          <t>Делает ранние маленькие камерные негативы, включая вид окна в Лэкок-Эбби.</t>
        </is>
      </c>
      <c r="H21" s="47" t="inlineStr">
        <is>
          <t>Негатив-позитив</t>
        </is>
      </c>
      <c r="I21" s="47" t="inlineStr">
        <is>
          <t>Paper negative in camera</t>
        </is>
      </c>
      <c r="J21" s="47" t="inlineStr">
        <is>
          <t>Тальбот переносит идею фотогенного рисунка в камеру: бумага становится негативом будущей копии.</t>
        </is>
      </c>
      <c r="K21" s="47" t="inlineStr">
        <is>
          <t>Photogenic drawings</t>
        </is>
      </c>
      <c r="L21" s="47" t="inlineStr">
        <is>
          <t>1839 publication and 1841 calotype</t>
        </is>
      </c>
      <c r="M21" s="47" t="inlineStr">
        <is>
          <t>Главная линия</t>
        </is>
      </c>
      <c r="N21" s="48" t="n">
        <v>4</v>
      </c>
      <c r="O21" s="47" t="inlineStr">
        <is>
          <t>PL-004</t>
        </is>
      </c>
      <c r="P21" s="47" t="inlineStr">
        <is>
          <t>SRC-016</t>
        </is>
      </c>
      <c r="Q21" s="47" t="inlineStr">
        <is>
          <t>The Met — William Henry Fox Talbot</t>
        </is>
      </c>
      <c r="R21" s="47" t="inlineStr">
        <is>
          <t>https://www.metmuseum.org/essays/william-henry-fox-talbot-1800-1877-and-the-invention-of-photography</t>
        </is>
      </c>
      <c r="S21" s="48" t="n">
        <v>4</v>
      </c>
      <c r="T21" s="47" t="inlineStr">
        <is>
          <t>Можно объяснить: у Тальбота фотография думает не как «одна пластинка», а как система копирования.</t>
        </is>
      </c>
      <c r="U21" s="47" t="inlineStr">
        <is>
          <t>Окно Лэкок-Эбби как британская пара к окну Ньепса.</t>
        </is>
      </c>
      <c r="V21" s="47" t="inlineStr">
        <is>
          <t>#Talbot #окно #негатив #PL004</t>
        </is>
      </c>
      <c r="W21" s="47" t="inlineStr">
        <is>
          <t>Проверить источник для конкретной даты и объекта Oriel Window.</t>
        </is>
      </c>
      <c r="X21" s="37" t="inlineStr">
        <is>
          <t>51.4136, -2.118</t>
        </is>
      </c>
      <c r="Z21" s="37" t="inlineStr">
        <is>
          <t>Технология / процесс</t>
        </is>
      </c>
    </row>
    <row r="22" ht="45" customHeight="1" s="38">
      <c r="A22" s="47" t="inlineStr">
        <is>
          <t>PL-HIST-0021</t>
        </is>
      </c>
      <c r="B22" s="47" t="inlineStr">
        <is>
          <t>1837</t>
        </is>
      </c>
      <c r="C22" s="47" t="inlineStr">
        <is>
          <t>год</t>
        </is>
      </c>
      <c r="D22" s="47" t="inlineStr">
        <is>
          <t>Франция</t>
        </is>
      </c>
      <c r="E22" s="47" t="inlineStr">
        <is>
          <t>Париж</t>
        </is>
      </c>
      <c r="F22" s="47" t="inlineStr">
        <is>
          <t>Луи Дагер</t>
        </is>
      </c>
      <c r="G22" s="47" t="inlineStr">
        <is>
          <t>Дагер получает более практичный прямой позитив на серебряной пластине и сокращает экспозицию по сравнению с Ньепсом.</t>
        </is>
      </c>
      <c r="H22" s="47" t="inlineStr">
        <is>
          <t>Дагеротип</t>
        </is>
      </c>
      <c r="I22" s="47" t="inlineStr">
        <is>
          <t>Silver-plated copper plate / direct positive</t>
        </is>
      </c>
      <c r="J22" s="47" t="inlineStr">
        <is>
          <t>Фотография становится резче, быстрее и технически убедительнее, но остаётся уникальным изображением.</t>
        </is>
      </c>
      <c r="K22" s="47" t="inlineStr">
        <is>
          <t>Niépce-Daguerre partnership</t>
        </is>
      </c>
      <c r="L22" s="47" t="inlineStr">
        <is>
          <t>1839 Académie announcement</t>
        </is>
      </c>
      <c r="M22" s="47" t="inlineStr">
        <is>
          <t>Исторически важная ограниченная ветка</t>
        </is>
      </c>
      <c r="N22" s="48" t="n">
        <v>4</v>
      </c>
      <c r="O22" s="47" t="inlineStr">
        <is>
          <t>PL-003</t>
        </is>
      </c>
      <c r="P22" s="47" t="inlineStr">
        <is>
          <t>SRC-013</t>
        </is>
      </c>
      <c r="Q22" s="47" t="inlineStr">
        <is>
          <t>The Met — Daguerre and the Invention of Photography</t>
        </is>
      </c>
      <c r="R22" s="47" t="inlineStr">
        <is>
          <t>https://www.metmuseum.org/essays/daguerre-1787-1851-and-the-invention-of-photography</t>
        </is>
      </c>
      <c r="S22" s="48" t="n">
        <v>3</v>
      </c>
      <c r="T22" s="47" t="inlineStr">
        <is>
          <t>В таблице фиксируем как техническую подготовку к публичному объявлению, но дату/детали уточнить.</t>
        </is>
      </c>
      <c r="U22" s="47" t="inlineStr">
        <is>
          <t>Металлическая пластина + резкое изображение.</t>
        </is>
      </c>
      <c r="V22" s="47" t="inlineStr">
        <is>
          <t>#Daguerre #дагеротип #PL003</t>
        </is>
      </c>
      <c r="W22" s="47" t="inlineStr">
        <is>
          <t>Уточнить первичный источник и дату 1837.</t>
        </is>
      </c>
      <c r="X22" s="37" t="inlineStr">
        <is>
          <t>48.8566, 2.3522</t>
        </is>
      </c>
      <c r="Z22" s="37" t="inlineStr">
        <is>
          <t>Технология / процесс</t>
        </is>
      </c>
      <c r="AA22" s="37" t="inlineStr">
        <is>
          <t>да</t>
        </is>
      </c>
    </row>
    <row r="23" ht="30" customHeight="1" s="38">
      <c r="A23" s="47" t="inlineStr">
        <is>
          <t>PL-HIST-0022</t>
        </is>
      </c>
      <c r="B23" s="47" t="inlineStr">
        <is>
          <t>7 января 1839</t>
        </is>
      </c>
      <c r="C23" s="47" t="inlineStr">
        <is>
          <t>точная дата</t>
        </is>
      </c>
      <c r="D23" s="47" t="inlineStr">
        <is>
          <t>Франция</t>
        </is>
      </c>
      <c r="E23" s="47" t="inlineStr">
        <is>
          <t>Париж</t>
        </is>
      </c>
      <c r="F23" s="47" t="inlineStr">
        <is>
          <t>Франсуа Араго / Луи Дагер</t>
        </is>
      </c>
      <c r="G23" s="47" t="inlineStr">
        <is>
          <t>Французская Академия наук видит результаты процесса Дагера; фотография выходит в публичное научное поле.</t>
        </is>
      </c>
      <c r="H23" s="47" t="inlineStr">
        <is>
          <t>Дагеротип</t>
        </is>
      </c>
      <c r="I23" s="47" t="inlineStr">
        <is>
          <t>Daguerreotype</t>
        </is>
      </c>
      <c r="J23" s="47" t="inlineStr">
        <is>
          <t>Фотография перестаёт быть частной лабораторной тайной и становится событием культуры и науки.</t>
        </is>
      </c>
      <c r="K23" s="47" t="inlineStr">
        <is>
          <t>Daguerre's experiments</t>
        </is>
      </c>
      <c r="L23" s="47" t="inlineStr">
        <is>
          <t>19 August 1839 public disclosure</t>
        </is>
      </c>
      <c r="M23" s="47" t="inlineStr">
        <is>
          <t>Временная доминирующая линия</t>
        </is>
      </c>
      <c r="N23" s="48" t="n">
        <v>5</v>
      </c>
      <c r="O23" s="47" t="inlineStr">
        <is>
          <t>PL-003</t>
        </is>
      </c>
      <c r="P23" s="47" t="inlineStr">
        <is>
          <t>SRC-013</t>
        </is>
      </c>
      <c r="Q23" s="47" t="inlineStr">
        <is>
          <t>The Met — Daguerre and the Invention of Photography</t>
        </is>
      </c>
      <c r="R23" s="47" t="inlineStr">
        <is>
          <t>https://www.metmuseum.org/essays/daguerre-1787-1851-and-the-invention-of-photography</t>
        </is>
      </c>
      <c r="S23" s="48" t="n">
        <v>5</v>
      </c>
      <c r="T23" s="47" t="inlineStr">
        <is>
          <t>Это сильная сцена: не просто изобретение, а момент публичного признания.</t>
        </is>
      </c>
      <c r="U23" s="47" t="inlineStr">
        <is>
          <t>Париж, Академия наук, световая демонстрация.</t>
        </is>
      </c>
      <c r="V23" s="47" t="inlineStr">
        <is>
          <t>#Daguerre #Arago #Париж #PL003</t>
        </is>
      </c>
      <c r="W23" s="47" t="n"/>
      <c r="X23" s="37" t="inlineStr">
        <is>
          <t>48.8566, 2.3522</t>
        </is>
      </c>
      <c r="Y23" s="37" t="inlineStr">
        <is>
          <t>Дагеротип / публичное объявление</t>
        </is>
      </c>
      <c r="Z23" s="37" t="inlineStr">
        <is>
          <t>Публикация / объявление</t>
        </is>
      </c>
    </row>
    <row r="24" ht="30" customHeight="1" s="38">
      <c r="A24" s="47" t="inlineStr">
        <is>
          <t>PL-HIST-0023</t>
        </is>
      </c>
      <c r="B24" s="47" t="inlineStr">
        <is>
          <t>19 августа 1839</t>
        </is>
      </c>
      <c r="C24" s="47" t="inlineStr">
        <is>
          <t>точная дата</t>
        </is>
      </c>
      <c r="D24" s="47" t="inlineStr">
        <is>
          <t>Франция</t>
        </is>
      </c>
      <c r="E24" s="47" t="inlineStr">
        <is>
          <t>Париж</t>
        </is>
      </c>
      <c r="F24" s="47" t="inlineStr">
        <is>
          <t>Луи Дагер / французское государство</t>
        </is>
      </c>
      <c r="G24" s="47" t="inlineStr">
        <is>
          <t>Процесс дагеротипии официально раскрывается публично; Франция фактически дарит процесс миру.</t>
        </is>
      </c>
      <c r="H24" s="47" t="inlineStr">
        <is>
          <t>Дагеротип</t>
        </is>
      </c>
      <c r="I24" s="47" t="inlineStr">
        <is>
          <t>Daguerreotype</t>
        </is>
      </c>
      <c r="J24" s="47" t="inlineStr">
        <is>
          <t>Дагеротип быстро распространяется по Европе и Америке как первый публично объявленный фотографический процесс.</t>
        </is>
      </c>
      <c r="K24" s="47" t="inlineStr">
        <is>
          <t>Academy announcement</t>
        </is>
      </c>
      <c r="L24" s="47" t="inlineStr">
        <is>
          <t>Daguerreotypomania and portrait studios</t>
        </is>
      </c>
      <c r="M24" s="47" t="inlineStr">
        <is>
          <t>Временная доминирующая линия</t>
        </is>
      </c>
      <c r="N24" s="48" t="n">
        <v>5</v>
      </c>
      <c r="O24" s="47" t="inlineStr">
        <is>
          <t>PL-003</t>
        </is>
      </c>
      <c r="P24" s="47" t="inlineStr">
        <is>
          <t>SRC-012</t>
        </is>
      </c>
      <c r="Q24" s="47" t="inlineStr">
        <is>
          <t>Harvard Library — History of Photography Timeline</t>
        </is>
      </c>
      <c r="R24" s="47" t="inlineStr">
        <is>
          <t>https://photographpreservationprogram.hsites.harvard.edu/harvards-history-photography-timeline-text-only</t>
        </is>
      </c>
      <c r="S24" s="48" t="n">
        <v>5</v>
      </c>
      <c r="T24" s="47" t="inlineStr">
        <is>
          <t>В уроке: 1839 — год, когда фотография стала общественным событием.</t>
        </is>
      </c>
      <c r="U24" s="47" t="inlineStr">
        <is>
          <t>Большая точка на Париже и расходящиеся линии по миру.</t>
        </is>
      </c>
      <c r="V24" s="47" t="inlineStr">
        <is>
          <t>#1839 #Daguerre #Франция #распространение</t>
        </is>
      </c>
      <c r="W24" s="47" t="n"/>
      <c r="X24" s="37" t="inlineStr">
        <is>
          <t>48.8566, 2.3522</t>
        </is>
      </c>
      <c r="Y24" s="37" t="inlineStr">
        <is>
          <t>Дагеротип / распространение</t>
        </is>
      </c>
      <c r="Z24" s="37" t="inlineStr">
        <is>
          <t>Публикация / объявление</t>
        </is>
      </c>
    </row>
    <row r="25" ht="45" customHeight="1" s="38">
      <c r="A25" s="47" t="inlineStr">
        <is>
          <t>PL-HIST-0024</t>
        </is>
      </c>
      <c r="B25" s="47" t="inlineStr">
        <is>
          <t>1839</t>
        </is>
      </c>
      <c r="C25" s="47" t="inlineStr">
        <is>
          <t>год</t>
        </is>
      </c>
      <c r="D25" s="47" t="inlineStr">
        <is>
          <t>Великобритания</t>
        </is>
      </c>
      <c r="E25" s="47" t="inlineStr">
        <is>
          <t>Лондон</t>
        </is>
      </c>
      <c r="F25" s="47" t="inlineStr">
        <is>
          <t>Уильям Генри Фокс Тальбот</t>
        </is>
      </c>
      <c r="G25" s="47" t="inlineStr">
        <is>
          <t>Публикует «Some Account of the Art of Photogenic Drawing», представляя свой процесс.</t>
        </is>
      </c>
      <c r="H25" s="47" t="inlineStr">
        <is>
          <t>Фотогенный рисунок / фотограмма</t>
        </is>
      </c>
      <c r="I25" s="47" t="inlineStr">
        <is>
          <t>Photogenic drawing</t>
        </is>
      </c>
      <c r="J25" s="47" t="inlineStr">
        <is>
          <t>Британская линия заявляет о себе почти одновременно с французской, показывая параллельность изобретения фотографии.</t>
        </is>
      </c>
      <c r="K25" s="47" t="inlineStr">
        <is>
          <t>1834–1835 experiments</t>
        </is>
      </c>
      <c r="L25" s="47" t="inlineStr">
        <is>
          <t>Calotype patent 1841</t>
        </is>
      </c>
      <c r="M25" s="47" t="inlineStr">
        <is>
          <t>Главная линия</t>
        </is>
      </c>
      <c r="N25" s="48" t="n">
        <v>5</v>
      </c>
      <c r="O25" s="47" t="inlineStr">
        <is>
          <t>PL-004</t>
        </is>
      </c>
      <c r="P25" s="47" t="inlineStr">
        <is>
          <t>SRC-012</t>
        </is>
      </c>
      <c r="Q25" s="47" t="inlineStr">
        <is>
          <t>Harvard Library — History of Photography Timeline</t>
        </is>
      </c>
      <c r="R25" s="47" t="inlineStr">
        <is>
          <t>https://photographpreservationprogram.hsites.harvard.edu/harvards-history-photography-timeline-text-only</t>
        </is>
      </c>
      <c r="S25" s="48" t="n">
        <v>5</v>
      </c>
      <c r="T25" s="47" t="inlineStr">
        <is>
          <t>Идеально для объяснения: Франция дала резкость и публичный эффект, Британия — логику копии.</t>
        </is>
      </c>
      <c r="U25" s="47" t="inlineStr">
        <is>
          <t>Две линии на карте: Париж и Лондон одновременно загораются в 1839.</t>
        </is>
      </c>
      <c r="V25" s="47" t="inlineStr">
        <is>
          <t>#Talbot #1839 #PL004</t>
        </is>
      </c>
      <c r="W25" s="47" t="n"/>
      <c r="X25" s="37" t="inlineStr">
        <is>
          <t>51.5074, -0.1278</t>
        </is>
      </c>
      <c r="Y25" s="37" t="inlineStr">
        <is>
          <t>Фотогенный рисунок / публикация</t>
        </is>
      </c>
      <c r="Z25" s="37" t="inlineStr">
        <is>
          <t>Публикация / объявление</t>
        </is>
      </c>
    </row>
    <row r="26" ht="45" customHeight="1" s="38">
      <c r="A26" s="47" t="inlineStr">
        <is>
          <t>PL-HIST-0025</t>
        </is>
      </c>
      <c r="B26" s="47" t="inlineStr">
        <is>
          <t>1839</t>
        </is>
      </c>
      <c r="C26" s="47" t="inlineStr">
        <is>
          <t>год</t>
        </is>
      </c>
      <c r="D26" s="47" t="inlineStr">
        <is>
          <t>Великобритания</t>
        </is>
      </c>
      <c r="E26" s="47" t="inlineStr">
        <is>
          <t>Лондон / Slough</t>
        </is>
      </c>
      <c r="F26" s="47" t="inlineStr">
        <is>
          <t>Джон Фредерик Уильям Гершель</t>
        </is>
      </c>
      <c r="G26" s="47" t="inlineStr">
        <is>
          <t>Предлагает использовать hyposulphite of soda как фиксирующее средство для серебряных фотографий.</t>
        </is>
      </c>
      <c r="H26" s="47" t="inlineStr">
        <is>
          <t>Фиксаж / терминология</t>
        </is>
      </c>
      <c r="I26" s="47" t="inlineStr">
        <is>
          <t>Hypo / sodium thiosulfate fixer</t>
        </is>
      </c>
      <c r="J26" s="47" t="inlineStr">
        <is>
          <t>Фотография становится практически долговечной: изображение можно остановить от дальнейшего действия света.</t>
        </is>
      </c>
      <c r="K26" s="47" t="inlineStr">
        <is>
          <t>Silver-salt image instability</t>
        </is>
      </c>
      <c r="L26" s="47" t="inlineStr">
        <is>
          <t>Stable calotypes and later silver processes</t>
        </is>
      </c>
      <c r="M26" s="47" t="inlineStr">
        <is>
          <t>Главная линия</t>
        </is>
      </c>
      <c r="N26" s="48" t="n">
        <v>5</v>
      </c>
      <c r="O26" s="47" t="inlineStr">
        <is>
          <t>PL-004</t>
        </is>
      </c>
      <c r="P26" s="47" t="inlineStr">
        <is>
          <t>SRC-016</t>
        </is>
      </c>
      <c r="Q26" s="47" t="inlineStr">
        <is>
          <t>The Met — William Henry Fox Talbot</t>
        </is>
      </c>
      <c r="R26" s="47" t="inlineStr">
        <is>
          <t>https://www.metmuseum.org/essays/william-henry-fox-talbot-1800-1877-and-the-invention-of-photography</t>
        </is>
      </c>
      <c r="S26" s="48" t="n">
        <v>5</v>
      </c>
      <c r="T26" s="47" t="inlineStr">
        <is>
          <t>Сильный смысл: фотография — это не только камера, но и умение остановить свет.</t>
        </is>
      </c>
      <c r="U26" s="47" t="inlineStr">
        <is>
          <t>Иконка замка/стоп-символа на изображении.</t>
        </is>
      </c>
      <c r="V26" s="47" t="inlineStr">
        <is>
          <t>#Herschel #фиксаж #hypo</t>
        </is>
      </c>
      <c r="W26" s="47" t="n"/>
      <c r="X26" s="37" t="inlineStr">
        <is>
          <t>51.5074, -0.1278</t>
        </is>
      </c>
      <c r="Z26" s="37" t="inlineStr">
        <is>
          <t>Технология / процесс</t>
        </is>
      </c>
    </row>
    <row r="27" ht="45" customHeight="1" s="38">
      <c r="A27" s="47" t="inlineStr">
        <is>
          <t>PL-HIST-0026</t>
        </is>
      </c>
      <c r="B27" s="47" t="inlineStr">
        <is>
          <t>1839</t>
        </is>
      </c>
      <c r="C27" s="47" t="inlineStr">
        <is>
          <t>год</t>
        </is>
      </c>
      <c r="D27" s="47" t="inlineStr">
        <is>
          <t>Великобритания</t>
        </is>
      </c>
      <c r="E27" s="47" t="inlineStr">
        <is>
          <t>Лондон</t>
        </is>
      </c>
      <c r="F27" s="47" t="inlineStr">
        <is>
          <t>Джон Фредерик Уильям Гершель</t>
        </is>
      </c>
      <c r="G27" s="47" t="inlineStr">
        <is>
          <t>Вводит/закрепляет термины «photography», «negative» и «positive» в ранней фотографической культуре.</t>
        </is>
      </c>
      <c r="H27" s="47" t="inlineStr">
        <is>
          <t>Фиксаж / терминология</t>
        </is>
      </c>
      <c r="I27" s="47" t="inlineStr">
        <is>
          <t>Photographic terminology</t>
        </is>
      </c>
      <c r="J27" s="47" t="inlineStr">
        <is>
          <t>Язык фотографии формируется: появляются термины, без которых невозможно объяснить негативно-позитивный процесс.</t>
        </is>
      </c>
      <c r="K27" s="47" t="inlineStr">
        <is>
          <t>Talbot's paper negatives and photogenic drawings</t>
        </is>
      </c>
      <c r="L27" s="47" t="inlineStr">
        <is>
          <t>Calotype and photographic vocabulary</t>
        </is>
      </c>
      <c r="M27" s="47" t="inlineStr">
        <is>
          <t>Главная линия</t>
        </is>
      </c>
      <c r="N27" s="48" t="n">
        <v>4</v>
      </c>
      <c r="O27" s="47" t="inlineStr">
        <is>
          <t>PL-004</t>
        </is>
      </c>
      <c r="P27" s="47" t="inlineStr">
        <is>
          <t>SRC-017</t>
        </is>
      </c>
      <c r="Q27" s="47" t="inlineStr">
        <is>
          <t>Getty — Sir John F. W. Herschel</t>
        </is>
      </c>
      <c r="R27" s="47" t="inlineStr">
        <is>
          <t>https://www.getty.edu/art/collection/person/103KHK</t>
        </is>
      </c>
      <c r="S27" s="48" t="n">
        <v>4</v>
      </c>
      <c r="T27" s="47" t="inlineStr">
        <is>
          <t>Можно сделать мини-вставку: терминология — это тоже технология понимания.</t>
        </is>
      </c>
      <c r="U27" s="47" t="inlineStr">
        <is>
          <t>Карточка слов: PHOTOGRAPHY / NEGATIVE / POSITIVE.</t>
        </is>
      </c>
      <c r="V27" s="47" t="inlineStr">
        <is>
          <t>#Herschel #термины #negative #positive</t>
        </is>
      </c>
      <c r="W27" s="47" t="inlineStr">
        <is>
          <t>Уточнить первичные даты употребления терминов в письмах/докладах.</t>
        </is>
      </c>
      <c r="X27" s="37" t="inlineStr">
        <is>
          <t>51.5074, -0.1278</t>
        </is>
      </c>
      <c r="Z27" s="37" t="inlineStr">
        <is>
          <t>Терминология / язык</t>
        </is>
      </c>
    </row>
    <row r="28" ht="30" customHeight="1" s="38">
      <c r="A28" s="47" t="inlineStr">
        <is>
          <t>PL-HIST-0027</t>
        </is>
      </c>
      <c r="B28" s="47" t="inlineStr">
        <is>
          <t>1839–1840</t>
        </is>
      </c>
      <c r="C28" s="47" t="inlineStr">
        <is>
          <t>диапазон</t>
        </is>
      </c>
      <c r="D28" s="47" t="inlineStr">
        <is>
          <t>Франция</t>
        </is>
      </c>
      <c r="E28" s="47" t="inlineStr">
        <is>
          <t>Париж</t>
        </is>
      </c>
      <c r="F28" s="47" t="inlineStr">
        <is>
          <t>Ипполит Байяр</t>
        </is>
      </c>
      <c r="G28" s="47" t="inlineStr">
        <is>
          <t>Разрабатывает прямой позитивный процесс на бумаге, но оказывается в тени Дагера и Тальбота.</t>
        </is>
      </c>
      <c r="H28" s="47" t="inlineStr">
        <is>
          <t>Уникальный позитив</t>
        </is>
      </c>
      <c r="I28" s="47" t="inlineStr">
        <is>
          <t>Direct positive paper process</t>
        </is>
      </c>
      <c r="J28" s="47" t="inlineStr">
        <is>
          <t>Показывает, что история фотографии была многоголосой: не все ветки получили признание и масштаб.</t>
        </is>
      </c>
      <c r="K28" s="47" t="inlineStr">
        <is>
          <t>French early photographic experiments</t>
        </is>
      </c>
      <c r="L28" s="47" t="inlineStr">
        <is>
          <t>Bayard's staged self-portrait and later history</t>
        </is>
      </c>
      <c r="M28" s="47" t="inlineStr">
        <is>
          <t>Исторически важная ограниченная ветка</t>
        </is>
      </c>
      <c r="N28" s="48" t="n">
        <v>3</v>
      </c>
      <c r="O28" s="47" t="inlineStr">
        <is>
          <t>межурочный узел</t>
        </is>
      </c>
      <c r="P28" s="47" t="inlineStr">
        <is>
          <t>SRC-017</t>
        </is>
      </c>
      <c r="Q28" s="47" t="inlineStr">
        <is>
          <t>Getty — Sir John F. W. Herschel</t>
        </is>
      </c>
      <c r="R28" s="47" t="inlineStr">
        <is>
          <t>https://www.getty.edu/art/collection/person/103KHK</t>
        </is>
      </c>
      <c r="S28" s="48" t="n">
        <v>3</v>
      </c>
      <c r="T28" s="47" t="inlineStr">
        <is>
          <t>Можно использовать как сюжет о несправедливости истории и «забытых изобретателях».</t>
        </is>
      </c>
      <c r="U28" s="47" t="inlineStr">
        <is>
          <t>Пунктирная ветка от Парижа, уходящая в сторону.</t>
        </is>
      </c>
      <c r="V28" s="47" t="inlineStr">
        <is>
          <t>#Bayard #direct-positive #забытые</t>
        </is>
      </c>
      <c r="W28" s="47" t="inlineStr">
        <is>
          <t>Найти лучший источник именно по процессу Байяра, не только биографию Getty.</t>
        </is>
      </c>
      <c r="X28" s="37" t="inlineStr">
        <is>
          <t>48.8566, 2.3522</t>
        </is>
      </c>
      <c r="Z28" s="37" t="inlineStr">
        <is>
          <t>Технология / процесс</t>
        </is>
      </c>
    </row>
    <row r="29" ht="45" customHeight="1" s="38">
      <c r="A29" s="47" t="inlineStr">
        <is>
          <t>PL-HIST-0028</t>
        </is>
      </c>
      <c r="B29" s="47" t="inlineStr">
        <is>
          <t>1838</t>
        </is>
      </c>
      <c r="C29" s="47" t="inlineStr">
        <is>
          <t>год</t>
        </is>
      </c>
      <c r="D29" s="47" t="inlineStr">
        <is>
          <t>Великобритания</t>
        </is>
      </c>
      <c r="E29" s="47" t="inlineStr">
        <is>
          <t>Лондон</t>
        </is>
      </c>
      <c r="F29" s="47" t="inlineStr">
        <is>
          <t>Чарльз Уитстон</t>
        </is>
      </c>
      <c r="G29" s="47" t="inlineStr">
        <is>
          <t>Представляет стереоскоп и демонстрирует принцип бинокулярного зрения.</t>
        </is>
      </c>
      <c r="H29" s="47" t="inlineStr">
        <is>
          <t>Оптические инструменты</t>
        </is>
      </c>
      <c r="I29" s="47" t="inlineStr">
        <is>
          <t>Stereoscope</t>
        </is>
      </c>
      <c r="J29" s="47" t="inlineStr">
        <is>
          <t>Пока ещё не фотографическая технология, но позже стереофотография станет массовой формой визуального опыта.</t>
        </is>
      </c>
      <c r="K29" s="47" t="inlineStr">
        <is>
          <t>Optics of vision</t>
        </is>
      </c>
      <c r="L29" s="47" t="inlineStr">
        <is>
          <t>Photographic stereographs in the 1850s</t>
        </is>
      </c>
      <c r="M29" s="47" t="inlineStr">
        <is>
          <t>Оптическая предпосылка</t>
        </is>
      </c>
      <c r="N29" s="48" t="n">
        <v>3</v>
      </c>
      <c r="O29" s="47" t="inlineStr">
        <is>
          <t>будущие PL</t>
        </is>
      </c>
      <c r="P29" s="47" t="inlineStr">
        <is>
          <t>SRC-024</t>
        </is>
      </c>
      <c r="Q29" s="47" t="inlineStr">
        <is>
          <t>Royal Society / Google Arts &amp; Culture — Stereoscopy</t>
        </is>
      </c>
      <c r="R29" s="47" t="inlineStr">
        <is>
          <t>https://artsandculture.google.com/story/stereoscopy-the-birth-of-3d-technology-the-royal-society/pwWRTNS-hqDN5g</t>
        </is>
      </c>
      <c r="S29" s="48" t="n">
        <v>4</v>
      </c>
      <c r="T29" s="47" t="inlineStr">
        <is>
          <t>Этот узел лучше оставить для будущего раздела о 3D/стереофотографии.</t>
        </is>
      </c>
      <c r="U29" s="47" t="inlineStr">
        <is>
          <t>Иконка двух глаз / двух изображений.</t>
        </is>
      </c>
      <c r="V29" s="47" t="inlineStr">
        <is>
          <t>#стереоскоп #Wheatstone #3D</t>
        </is>
      </c>
      <c r="W29" s="47" t="n"/>
      <c r="X29" s="37" t="inlineStr">
        <is>
          <t>51.5074, -0.1278</t>
        </is>
      </c>
      <c r="Y29" s="37" t="inlineStr">
        <is>
          <t>Оптические инструменты / 3D</t>
        </is>
      </c>
      <c r="Z29" s="37" t="inlineStr">
        <is>
          <t>Инструмент / устройство</t>
        </is>
      </c>
    </row>
    <row r="30" ht="45" customHeight="1" s="38">
      <c r="A30" s="47" t="inlineStr">
        <is>
          <t>PL-HIST-0029</t>
        </is>
      </c>
      <c r="B30" s="47" t="inlineStr">
        <is>
          <t>1840</t>
        </is>
      </c>
      <c r="C30" s="47" t="inlineStr">
        <is>
          <t>год</t>
        </is>
      </c>
      <c r="D30" s="47" t="inlineStr">
        <is>
          <t>Великобритания</t>
        </is>
      </c>
      <c r="E30" s="47" t="inlineStr">
        <is>
          <t>Лэкок-Эбби</t>
        </is>
      </c>
      <c r="F30" s="47" t="inlineStr">
        <is>
          <t>Уильям Генри Фокс Тальбот</t>
        </is>
      </c>
      <c r="G30" s="47" t="inlineStr">
        <is>
          <t>Обнаруживает латентное изображение и проявление галловой кислотой: секунды экспозиции дают скрытый след, который можно проявить.</t>
        </is>
      </c>
      <c r="H30" s="47" t="inlineStr">
        <is>
          <t>Негатив-позитив</t>
        </is>
      </c>
      <c r="I30" s="47" t="inlineStr">
        <is>
          <t>Latent image development</t>
        </is>
      </c>
      <c r="J30" s="47" t="inlineStr">
        <is>
          <t>Это резко ускоряет бумажную фотографию: теперь не нужно ждать видимого потемнения во время экспозиции.</t>
        </is>
      </c>
      <c r="K30" s="47" t="inlineStr">
        <is>
          <t>Photogenic drawing and camera negatives</t>
        </is>
      </c>
      <c r="L30" s="47" t="inlineStr">
        <is>
          <t>Calotype patent 1841</t>
        </is>
      </c>
      <c r="M30" s="47" t="inlineStr">
        <is>
          <t>Главная линия</t>
        </is>
      </c>
      <c r="N30" s="48" t="n">
        <v>5</v>
      </c>
      <c r="O30" s="47" t="inlineStr">
        <is>
          <t>PL-004</t>
        </is>
      </c>
      <c r="P30" s="47" t="inlineStr">
        <is>
          <t>SRC-016</t>
        </is>
      </c>
      <c r="Q30" s="47" t="inlineStr">
        <is>
          <t>The Met — William Henry Fox Talbot</t>
        </is>
      </c>
      <c r="R30" s="47" t="inlineStr">
        <is>
          <t>https://www.metmuseum.org/essays/william-henry-fox-talbot-1800-1877-and-the-invention-of-photography</t>
        </is>
      </c>
      <c r="S30" s="48" t="n">
        <v>5</v>
      </c>
      <c r="T30" s="47" t="inlineStr">
        <is>
          <t>Для новичка: фотография научилась работать со скрытым изображением.</t>
        </is>
      </c>
      <c r="U30" s="47" t="inlineStr">
        <is>
          <t>Схема: невидимый след → проявитель → появляется картинка.</t>
        </is>
      </c>
      <c r="V30" s="47" t="inlineStr">
        <is>
          <t>#latent-image #Talbot #PL004</t>
        </is>
      </c>
      <c r="W30" s="47" t="n"/>
      <c r="X30" s="37" t="inlineStr">
        <is>
          <t>51.4136, -2.118</t>
        </is>
      </c>
      <c r="Y30" s="37" t="inlineStr">
        <is>
          <t>Негатив-позитив / проявление</t>
        </is>
      </c>
      <c r="Z30" s="37" t="inlineStr">
        <is>
          <t>Технология / процесс</t>
        </is>
      </c>
    </row>
    <row r="31" ht="60" customHeight="1" s="38">
      <c r="A31" s="47" t="inlineStr">
        <is>
          <t>PL-HIST-0030</t>
        </is>
      </c>
      <c r="B31" s="47" t="inlineStr">
        <is>
          <t>1840</t>
        </is>
      </c>
      <c r="C31" s="47" t="inlineStr">
        <is>
          <t>год</t>
        </is>
      </c>
      <c r="D31" s="47" t="inlineStr">
        <is>
          <t>США</t>
        </is>
      </c>
      <c r="E31" s="47" t="inlineStr">
        <is>
          <t>Нью-Йорк</t>
        </is>
      </c>
      <c r="F31" s="47" t="inlineStr">
        <is>
          <t>Джон Уильям Дрейпер</t>
        </is>
      </c>
      <c r="G31" s="47" t="inlineStr">
        <is>
          <t>Делает ранние научные дагеротипы, включая одну из первых фотографий Луны.</t>
        </is>
      </c>
      <c r="H31" s="47" t="inlineStr">
        <is>
          <t>Дагеротип</t>
        </is>
      </c>
      <c r="I31" s="47" t="inlineStr">
        <is>
          <t>Daguerreotype for astronomy</t>
        </is>
      </c>
      <c r="J31" s="47" t="inlineStr">
        <is>
          <t>Фотография быстро выходит за пределы портрета и становится научным инструментом.</t>
        </is>
      </c>
      <c r="K31" s="47" t="inlineStr">
        <is>
          <t>Daguerreotype public disclosure</t>
        </is>
      </c>
      <c r="L31" s="47" t="inlineStr">
        <is>
          <t>Astronomical and scientific photography</t>
        </is>
      </c>
      <c r="M31" s="47" t="inlineStr">
        <is>
          <t>Главная линия</t>
        </is>
      </c>
      <c r="N31" s="48" t="n">
        <v>3</v>
      </c>
      <c r="O31" s="47" t="inlineStr">
        <is>
          <t>будущие PL</t>
        </is>
      </c>
      <c r="P31" s="47" t="inlineStr">
        <is>
          <t>SRC-012</t>
        </is>
      </c>
      <c r="Q31" s="47" t="inlineStr">
        <is>
          <t>Harvard Library — History of Photography Timeline</t>
        </is>
      </c>
      <c r="R31" s="47" t="inlineStr">
        <is>
          <t>https://photographpreservationprogram.hsites.harvard.edu/harvards-history-photography-timeline-text-only</t>
        </is>
      </c>
      <c r="S31" s="48" t="n">
        <v>3</v>
      </c>
      <c r="T31" s="47" t="inlineStr">
        <is>
          <t>Будущий узел для урока о научной фотографии.</t>
        </is>
      </c>
      <c r="U31" s="47" t="inlineStr">
        <is>
          <t>Линия Париж → Нью-Йорк + Луна.</t>
        </is>
      </c>
      <c r="V31" s="47" t="inlineStr">
        <is>
          <t>#Draper #астрономия #научнаяфотография</t>
        </is>
      </c>
      <c r="W31" s="47" t="inlineStr">
        <is>
          <t>Добавить более авторитетный музейный источник по Draper. | Ветка нормализована к 13 значениям v0.2 — узел межжанровый, решение неоднозначное (см. Подветка).</t>
        </is>
      </c>
      <c r="X31" s="37" t="inlineStr">
        <is>
          <t>40.7128, -74.006</t>
        </is>
      </c>
      <c r="Y31" s="37" t="inlineStr">
        <is>
          <t>Научная фотография</t>
        </is>
      </c>
      <c r="Z31" s="37" t="inlineStr">
        <is>
          <t>Научное применение / пример</t>
        </is>
      </c>
    </row>
    <row r="32" ht="30" customHeight="1" s="38">
      <c r="A32" s="47" t="inlineStr">
        <is>
          <t>PL-HIST-0031</t>
        </is>
      </c>
      <c r="B32" s="47" t="inlineStr">
        <is>
          <t>1841</t>
        </is>
      </c>
      <c r="C32" s="47" t="inlineStr">
        <is>
          <t>год</t>
        </is>
      </c>
      <c r="D32" s="47" t="inlineStr">
        <is>
          <t>Великобритания</t>
        </is>
      </c>
      <c r="E32" s="47" t="inlineStr">
        <is>
          <t>Лондон / Лэкок-Эбби</t>
        </is>
      </c>
      <c r="F32" s="47" t="inlineStr">
        <is>
          <t>Уильям Генри Фокс Тальбот</t>
        </is>
      </c>
      <c r="G32" s="47" t="inlineStr">
        <is>
          <t>Патентует калотип: усовершенствованный негативно-позитивный процесс на бумаге.</t>
        </is>
      </c>
      <c r="H32" s="47" t="inlineStr">
        <is>
          <t>Негатив-позитив</t>
        </is>
      </c>
      <c r="I32" s="47" t="inlineStr">
        <is>
          <t>Calotype / Talbotype</t>
        </is>
      </c>
      <c r="J32" s="47" t="inlineStr">
        <is>
          <t>Появляется фундаментальная логика фотографии: один негатив может дать много позитивных отпечатков.</t>
        </is>
      </c>
      <c r="K32" s="47" t="inlineStr">
        <is>
          <t>Latent image development 1840</t>
        </is>
      </c>
      <c r="L32" s="47" t="inlineStr">
        <is>
          <t>Salted paper prints and The Pencil of Nature</t>
        </is>
      </c>
      <c r="M32" s="47" t="inlineStr">
        <is>
          <t>Главная линия</t>
        </is>
      </c>
      <c r="N32" s="48" t="n">
        <v>5</v>
      </c>
      <c r="O32" s="47" t="inlineStr">
        <is>
          <t>PL-004</t>
        </is>
      </c>
      <c r="P32" s="47" t="inlineStr">
        <is>
          <t>SRC-015</t>
        </is>
      </c>
      <c r="Q32" s="47" t="inlineStr">
        <is>
          <t>Library of Congress — Calotype and Daguerreotype</t>
        </is>
      </c>
      <c r="R32" s="47" t="inlineStr">
        <is>
          <t>https://blogs.loc.gov/teachers/2018/09/pre-civil-war-photographic-technologies-the-calotype-and-daguerreotype/</t>
        </is>
      </c>
      <c r="S32" s="48" t="n">
        <v>5</v>
      </c>
      <c r="T32" s="47" t="inlineStr">
        <is>
          <t>Ключевой тезис PL-004: калотип менее резкий, чем дагеротип, но его идея победила.</t>
        </is>
      </c>
      <c r="U32" s="47" t="inlineStr">
        <is>
          <t>Разветвление: один негатив → несколько отпечатков.</t>
        </is>
      </c>
      <c r="V32" s="47" t="inlineStr">
        <is>
          <t>#calotype #Talbot #negative-positive #PL004</t>
        </is>
      </c>
      <c r="W32" s="47" t="n"/>
      <c r="X32" s="37" t="inlineStr">
        <is>
          <t>51.5074, -0.1278</t>
        </is>
      </c>
      <c r="Z32" s="37" t="inlineStr">
        <is>
          <t>Технология / процесс</t>
        </is>
      </c>
      <c r="AA32" s="37" t="inlineStr">
        <is>
          <t>да</t>
        </is>
      </c>
    </row>
    <row r="33" ht="30" customHeight="1" s="38">
      <c r="A33" s="47" t="inlineStr">
        <is>
          <t>PL-HIST-0032</t>
        </is>
      </c>
      <c r="B33" s="47" t="inlineStr">
        <is>
          <t>1841</t>
        </is>
      </c>
      <c r="C33" s="47" t="inlineStr">
        <is>
          <t>год</t>
        </is>
      </c>
      <c r="D33" s="47" t="inlineStr">
        <is>
          <t>Великобритания</t>
        </is>
      </c>
      <c r="E33" s="47" t="inlineStr">
        <is>
          <t>Лондон / Лэкок-Эбби</t>
        </is>
      </c>
      <c r="F33" s="47" t="inlineStr">
        <is>
          <t>Уильям Генри Фокс Тальбот</t>
        </is>
      </c>
      <c r="G33" s="47" t="inlineStr">
        <is>
          <t>Солёная бумажная печать становится практическим позитивом с бумажного негатива.</t>
        </is>
      </c>
      <c r="H33" s="47" t="inlineStr">
        <is>
          <t>Печать / тиражирование</t>
        </is>
      </c>
      <c r="I33" s="47" t="inlineStr">
        <is>
          <t>Salted paper print</t>
        </is>
      </c>
      <c r="J33" s="47" t="inlineStr">
        <is>
          <t>Фотография становится печатной системой: негатив и позитив начинают работать вместе.</t>
        </is>
      </c>
      <c r="K33" s="47" t="inlineStr">
        <is>
          <t>Calotype negative</t>
        </is>
      </c>
      <c r="L33" s="47" t="inlineStr">
        <is>
          <t>Pencil of Nature and albumen print</t>
        </is>
      </c>
      <c r="M33" s="47" t="inlineStr">
        <is>
          <t>Главная линия</t>
        </is>
      </c>
      <c r="N33" s="48" t="n">
        <v>4</v>
      </c>
      <c r="O33" s="47" t="inlineStr">
        <is>
          <t>PL-004</t>
        </is>
      </c>
      <c r="P33" s="47" t="inlineStr">
        <is>
          <t>SRC-020</t>
        </is>
      </c>
      <c r="Q33" s="47" t="inlineStr">
        <is>
          <t>V&amp;A — Photography Processes and Techniques</t>
        </is>
      </c>
      <c r="R33" s="47" t="inlineStr">
        <is>
          <t>https://www.vam.ac.uk/info/collection-selection-boxes-photography-processes-and-techniques</t>
        </is>
      </c>
      <c r="S33" s="48" t="n">
        <v>4</v>
      </c>
      <c r="T33" s="47" t="inlineStr">
        <is>
          <t>Для схемы: калотип — это не только негатив, но и контактная печать.</t>
        </is>
      </c>
      <c r="U33" s="47" t="inlineStr">
        <is>
          <t>Контактная рамка: негатив лежит на бумаге под стеклом.</t>
        </is>
      </c>
      <c r="V33" s="47" t="inlineStr">
        <is>
          <t>#salted-paper #print #Talbot</t>
        </is>
      </c>
      <c r="W33" s="47" t="n"/>
      <c r="X33" s="37" t="inlineStr">
        <is>
          <t>51.5074, -0.1278</t>
        </is>
      </c>
      <c r="Z33" s="37" t="inlineStr">
        <is>
          <t>Тиражирование / публикация</t>
        </is>
      </c>
    </row>
    <row r="34" ht="45" customHeight="1" s="38">
      <c r="A34" s="47" t="inlineStr">
        <is>
          <t>PL-HIST-0033</t>
        </is>
      </c>
      <c r="B34" s="47" t="inlineStr">
        <is>
          <t>1842</t>
        </is>
      </c>
      <c r="C34" s="47" t="inlineStr">
        <is>
          <t>год</t>
        </is>
      </c>
      <c r="D34" s="47" t="inlineStr">
        <is>
          <t>Великобритания</t>
        </is>
      </c>
      <c r="E34" s="47" t="inlineStr">
        <is>
          <t>Лондон / Slough</t>
        </is>
      </c>
      <c r="F34" s="47" t="inlineStr">
        <is>
          <t>Джон Фредерик Уильям Гершель</t>
        </is>
      </c>
      <c r="G34" s="47" t="inlineStr">
        <is>
          <t>Изобретает цианотипию — железо-солевой процесс, дающий синий отпечаток.</t>
        </is>
      </c>
      <c r="H34" s="47" t="inlineStr">
        <is>
          <t>Печать / тиражирование</t>
        </is>
      </c>
      <c r="I34" s="47" t="inlineStr">
        <is>
          <t>Cyanotype</t>
        </is>
      </c>
      <c r="J34" s="47" t="inlineStr">
        <is>
          <t>Показывает, что фотография не обязана быть только серебряной; появляется альтернативная печать и будущие blueprint-процессы.</t>
        </is>
      </c>
      <c r="K34" s="47" t="inlineStr">
        <is>
          <t>Herschel's photochemistry</t>
        </is>
      </c>
      <c r="L34" s="47" t="inlineStr">
        <is>
          <t>Anna Atkins's photographic book</t>
        </is>
      </c>
      <c r="M34" s="47" t="inlineStr">
        <is>
          <t>Переходная технология / художественное возрождение</t>
        </is>
      </c>
      <c r="N34" s="48" t="n">
        <v>4</v>
      </c>
      <c r="O34" s="47" t="inlineStr">
        <is>
          <t>будущие PL</t>
        </is>
      </c>
      <c r="P34" s="47" t="inlineStr">
        <is>
          <t>SRC-018</t>
        </is>
      </c>
      <c r="Q34" s="47" t="inlineStr">
        <is>
          <t>HNOC — Cyanotype Process</t>
        </is>
      </c>
      <c r="R34" s="47" t="inlineStr">
        <is>
          <t>https://hnoc.org/virtual-exhibitions/from_daguerreotype_to_digital/cyanotype-process</t>
        </is>
      </c>
      <c r="S34" s="48" t="n">
        <v>5</v>
      </c>
      <c r="T34" s="47" t="inlineStr">
        <is>
          <t>Цианотипия идеальна для практического урока: простой, зрелищный процесс.</t>
        </is>
      </c>
      <c r="U34" s="47" t="inlineStr">
        <is>
          <t>Синяя ветка на карте.</t>
        </is>
      </c>
      <c r="V34" s="47" t="inlineStr">
        <is>
          <t>#cyanotype #Herschel #альтернативныйпроцесс</t>
        </is>
      </c>
      <c r="W34" s="47" t="inlineStr">
        <is>
          <t>Ветка нормализована к 13 значениям v0.2 — узел межжанровый, решение неоднозначное (см. Подветка).</t>
        </is>
      </c>
      <c r="X34" s="37" t="inlineStr">
        <is>
          <t>51.5074, -0.1278</t>
        </is>
      </c>
      <c r="Y34" s="37" t="inlineStr">
        <is>
          <t>Цианотипия</t>
        </is>
      </c>
      <c r="Z34" s="37" t="inlineStr">
        <is>
          <t>Технология / процесс</t>
        </is>
      </c>
    </row>
    <row r="35" ht="45" customHeight="1" s="38">
      <c r="A35" s="47" t="inlineStr">
        <is>
          <t>PL-HIST-0034</t>
        </is>
      </c>
      <c r="B35" s="47" t="inlineStr">
        <is>
          <t>1843</t>
        </is>
      </c>
      <c r="C35" s="47" t="inlineStr">
        <is>
          <t>год</t>
        </is>
      </c>
      <c r="D35" s="47" t="inlineStr">
        <is>
          <t>Великобритания</t>
        </is>
      </c>
      <c r="E35" s="47" t="inlineStr">
        <is>
          <t>Кент</t>
        </is>
      </c>
      <c r="F35" s="47" t="inlineStr">
        <is>
          <t>Анна Аткинс</t>
        </is>
      </c>
      <c r="G35" s="47" t="inlineStr">
        <is>
          <t>Начинает выпуск «Photographs of British Algae: Cyanotype Impressions» — первой книги, напечатанной и иллюстрированной фотографией.</t>
        </is>
      </c>
      <c r="H35" s="47" t="inlineStr">
        <is>
          <t>Печать / тиражирование</t>
        </is>
      </c>
      <c r="I35" s="47" t="inlineStr">
        <is>
          <t>Cyanotype photobook</t>
        </is>
      </c>
      <c r="J35" s="47" t="inlineStr">
        <is>
          <t>Фотография становится способом научной публикации, а не только экспериментом или портретом.</t>
        </is>
      </c>
      <c r="K35" s="47" t="inlineStr">
        <is>
          <t>Cyanotype 1842</t>
        </is>
      </c>
      <c r="L35" s="47" t="inlineStr">
        <is>
          <t>Scientific and documentary photography</t>
        </is>
      </c>
      <c r="M35" s="47" t="inlineStr">
        <is>
          <t>Главная линия</t>
        </is>
      </c>
      <c r="N35" s="48" t="n">
        <v>4</v>
      </c>
      <c r="O35" s="47" t="inlineStr">
        <is>
          <t>будущие PL</t>
        </is>
      </c>
      <c r="P35" s="47" t="inlineStr">
        <is>
          <t>SRC-019</t>
        </is>
      </c>
      <c r="Q35" s="47" t="inlineStr">
        <is>
          <t>Natural History Museum — Anna Atkins's cyanotypes</t>
        </is>
      </c>
      <c r="R35" s="47" t="inlineStr">
        <is>
          <t>https://www.nhm.ac.uk/discover/anna-atkins-cyanotypes-the-first-book-of-photographs.html</t>
        </is>
      </c>
      <c r="S35" s="48" t="n">
        <v>5</v>
      </c>
      <c r="T35" s="47" t="inlineStr">
        <is>
          <t>Очень важный узел: женщина-фотограф, наука, книга и фотография как документ.</t>
        </is>
      </c>
      <c r="U35" s="47" t="inlineStr">
        <is>
          <t>Иконка синей книги с водорослью.</t>
        </is>
      </c>
      <c r="V35" s="47" t="inlineStr">
        <is>
          <t>#AnnaAtkins #cyanotype #photobook</t>
        </is>
      </c>
      <c r="W35" s="47" t="n"/>
      <c r="X35" s="37" t="inlineStr">
        <is>
          <t>51.2787, 0.5217</t>
        </is>
      </c>
      <c r="Y35" s="37" t="inlineStr">
        <is>
          <t>Фотокнига / научная документация</t>
        </is>
      </c>
      <c r="Z35" s="37" t="inlineStr">
        <is>
          <t>Тиражирование / публикация</t>
        </is>
      </c>
    </row>
    <row r="36" ht="45" customHeight="1" s="38">
      <c r="A36" s="47" t="inlineStr">
        <is>
          <t>PL-HIST-0035</t>
        </is>
      </c>
      <c r="B36" s="47" t="inlineStr">
        <is>
          <t>1844</t>
        </is>
      </c>
      <c r="C36" s="47" t="inlineStr">
        <is>
          <t>год</t>
        </is>
      </c>
      <c r="D36" s="47" t="inlineStr">
        <is>
          <t>Великобритания</t>
        </is>
      </c>
      <c r="E36" s="47" t="inlineStr">
        <is>
          <t>Лондон</t>
        </is>
      </c>
      <c r="F36" s="47" t="inlineStr">
        <is>
          <t>Уильям Генри Фокс Тальбот</t>
        </is>
      </c>
      <c r="G36" s="47" t="inlineStr">
        <is>
          <t>Начинает публикацию «The Pencil of Nature» — первой коммерчески изданной книги с фотографическими отпечатками.</t>
        </is>
      </c>
      <c r="H36" s="47" t="inlineStr">
        <is>
          <t>Печать / тиражирование</t>
        </is>
      </c>
      <c r="I36" s="47" t="inlineStr">
        <is>
          <t>Salted paper prints from calotype negatives</t>
        </is>
      </c>
      <c r="J36" s="47" t="inlineStr">
        <is>
          <t>Фотография входит в книгу как новый способ иллюстрации и доказательства.</t>
        </is>
      </c>
      <c r="K36" s="47" t="inlineStr">
        <is>
          <t>Calotype and salted paper print</t>
        </is>
      </c>
      <c r="L36" s="47" t="inlineStr">
        <is>
          <t>Photographic publishing</t>
        </is>
      </c>
      <c r="M36" s="47" t="inlineStr">
        <is>
          <t>Главная линия</t>
        </is>
      </c>
      <c r="N36" s="48" t="n">
        <v>5</v>
      </c>
      <c r="O36" s="47" t="inlineStr">
        <is>
          <t>PL-004</t>
        </is>
      </c>
      <c r="P36" s="47" t="inlineStr">
        <is>
          <t>SRC-016</t>
        </is>
      </c>
      <c r="Q36" s="47" t="inlineStr">
        <is>
          <t>The Met — William Henry Fox Talbot</t>
        </is>
      </c>
      <c r="R36" s="47" t="inlineStr">
        <is>
          <t>https://www.metmuseum.org/essays/william-henry-fox-talbot-1800-1877-and-the-invention-of-photography</t>
        </is>
      </c>
      <c r="S36" s="48" t="n">
        <v>5</v>
      </c>
      <c r="T36" s="47" t="inlineStr">
        <is>
          <t>Сильный мост к бренду PHOTO LAB: фотография становится не только снимком, но и системой распространения знания.</t>
        </is>
      </c>
      <c r="U36" s="47" t="inlineStr">
        <is>
          <t>Книга, из которой выходят маленькие отпечатки.</t>
        </is>
      </c>
      <c r="V36" s="47" t="inlineStr">
        <is>
          <t>#PencilOfNature #Talbot #книга #PL004</t>
        </is>
      </c>
      <c r="W36" s="47" t="n"/>
      <c r="X36" s="37" t="inlineStr">
        <is>
          <t>51.5074, -0.1278</t>
        </is>
      </c>
      <c r="Y36" s="37" t="inlineStr">
        <is>
          <t>Фотокнига / тиражирование</t>
        </is>
      </c>
      <c r="Z36" s="37" t="inlineStr">
        <is>
          <t>Тиражирование / публикация</t>
        </is>
      </c>
    </row>
    <row r="37" ht="45" customHeight="1" s="38">
      <c r="A37" s="47" t="inlineStr">
        <is>
          <t>PL-HIST-0036</t>
        </is>
      </c>
      <c r="B37" s="47" t="inlineStr">
        <is>
          <t>1847</t>
        </is>
      </c>
      <c r="C37" s="47" t="inlineStr">
        <is>
          <t>год</t>
        </is>
      </c>
      <c r="D37" s="47" t="inlineStr">
        <is>
          <t>США</t>
        </is>
      </c>
      <c r="E37" s="47" t="inlineStr">
        <is>
          <t>Бостон</t>
        </is>
      </c>
      <c r="F37" s="47" t="inlineStr">
        <is>
          <t>Southworth &amp; Hawes</t>
        </is>
      </c>
      <c r="G37" s="47" t="inlineStr">
        <is>
          <t>Создают дагеротипы медицинских операций с эфирной анестезией в Massachusetts General Hospital.</t>
        </is>
      </c>
      <c r="H37" s="47" t="inlineStr">
        <is>
          <t>Дагеротип</t>
        </is>
      </c>
      <c r="I37" s="47" t="inlineStr">
        <is>
          <t>Daguerreotype documentation</t>
        </is>
      </c>
      <c r="J37" s="47" t="inlineStr">
        <is>
          <t>Фотография быстро становится инструментом медицинского и научного свидетельства.</t>
        </is>
      </c>
      <c r="K37" s="47" t="inlineStr">
        <is>
          <t>Daguerreotype portrait/studio practice</t>
        </is>
      </c>
      <c r="L37" s="47" t="inlineStr">
        <is>
          <t>Documentary and medical photography</t>
        </is>
      </c>
      <c r="M37" s="47" t="inlineStr">
        <is>
          <t>Главная линия</t>
        </is>
      </c>
      <c r="N37" s="48" t="n">
        <v>3</v>
      </c>
      <c r="O37" s="47" t="inlineStr">
        <is>
          <t>будущие PL</t>
        </is>
      </c>
      <c r="P37" s="47" t="inlineStr">
        <is>
          <t>SRC-012</t>
        </is>
      </c>
      <c r="Q37" s="47" t="inlineStr">
        <is>
          <t>Harvard Library — History of Photography Timeline</t>
        </is>
      </c>
      <c r="R37" s="47" t="inlineStr">
        <is>
          <t>https://photographpreservationprogram.hsites.harvard.edu/harvards-history-photography-timeline-text-only</t>
        </is>
      </c>
      <c r="S37" s="48" t="n">
        <v>4</v>
      </c>
      <c r="T37" s="47" t="inlineStr">
        <is>
          <t>Этот узел можно оставить для будущего урока о документальности фотографии.</t>
        </is>
      </c>
      <c r="U37" s="47" t="inlineStr">
        <is>
          <t>Иконка больницы/операционной + дагеротип.</t>
        </is>
      </c>
      <c r="V37" s="47" t="inlineStr">
        <is>
          <t>#medical-photography #daguerreotype #Boston</t>
        </is>
      </c>
      <c r="W37" s="47" t="inlineStr">
        <is>
          <t>Ветка нормализована к 13 значениям v0.2 — узел межжанровый, решение неоднозначное (см. Подветка).</t>
        </is>
      </c>
      <c r="X37" s="37" t="inlineStr">
        <is>
          <t>42.3601, -71.0589</t>
        </is>
      </c>
      <c r="Y37" s="37" t="inlineStr">
        <is>
          <t>Научная / медицинская фотография</t>
        </is>
      </c>
      <c r="Z37" s="37" t="inlineStr">
        <is>
          <t>Научное применение / пример</t>
        </is>
      </c>
    </row>
    <row r="38" ht="30" customHeight="1" s="38">
      <c r="A38" s="47" t="inlineStr">
        <is>
          <t>PL-HIST-0037</t>
        </is>
      </c>
      <c r="B38" s="47" t="inlineStr">
        <is>
          <t>1847</t>
        </is>
      </c>
      <c r="C38" s="47" t="inlineStr">
        <is>
          <t>год</t>
        </is>
      </c>
      <c r="D38" s="47" t="inlineStr">
        <is>
          <t>Франция</t>
        </is>
      </c>
      <c r="E38" s="47" t="inlineStr">
        <is>
          <t>Лилль / Париж</t>
        </is>
      </c>
      <c r="F38" s="47" t="inlineStr">
        <is>
          <t>Луи-Дезире Бланкар-Эврар</t>
        </is>
      </c>
      <c r="G38" s="47" t="inlineStr">
        <is>
          <t>Развивает и публикует улучшения бумажных негативно-позитивных процессов во Франции.</t>
        </is>
      </c>
      <c r="H38" s="47" t="inlineStr">
        <is>
          <t>Печать / тиражирование</t>
        </is>
      </c>
      <c r="I38" s="47" t="inlineStr">
        <is>
          <t>Paper negative-positive process</t>
        </is>
      </c>
      <c r="J38" s="47" t="inlineStr">
        <is>
          <t>Французская фотография получает не только дагеротипическую, но и бумажную тиражируемую ветку.</t>
        </is>
      </c>
      <c r="K38" s="47" t="inlineStr">
        <is>
          <t>Talbot calotype influence</t>
        </is>
      </c>
      <c r="L38" s="47" t="inlineStr">
        <is>
          <t>Albumen paper 1850</t>
        </is>
      </c>
      <c r="M38" s="47" t="inlineStr">
        <is>
          <t>Главная линия</t>
        </is>
      </c>
      <c r="N38" s="48" t="n">
        <v>3</v>
      </c>
      <c r="O38" s="47" t="inlineStr">
        <is>
          <t>будущие PL</t>
        </is>
      </c>
      <c r="P38" s="47" t="inlineStr">
        <is>
          <t>SRC-017</t>
        </is>
      </c>
      <c r="Q38" s="47" t="inlineStr">
        <is>
          <t>Getty — Sir John F. W. Herschel</t>
        </is>
      </c>
      <c r="R38" s="47" t="inlineStr">
        <is>
          <t>https://www.getty.edu/art/collection/person/103KHK</t>
        </is>
      </c>
      <c r="S38" s="48" t="n">
        <v>2</v>
      </c>
      <c r="T38" s="47" t="inlineStr">
        <is>
          <t>Пока источник не идеален; оставить как узел на доработку.</t>
        </is>
      </c>
      <c r="U38" s="47" t="inlineStr">
        <is>
          <t>Франция получает ответвление бумажной печати.</t>
        </is>
      </c>
      <c r="V38" s="47" t="inlineStr">
        <is>
          <t>#BlanquartEvrard #France #paper-process</t>
        </is>
      </c>
      <c r="W38" s="47" t="inlineStr">
        <is>
          <t>Найти лучший источник по 1847 публикации Бланкара-Эврара.</t>
        </is>
      </c>
      <c r="X38" s="37" t="inlineStr">
        <is>
          <t>50.6292, 3.0573</t>
        </is>
      </c>
      <c r="Z38" s="37" t="inlineStr">
        <is>
          <t>Распространение / коммерциализация</t>
        </is>
      </c>
    </row>
    <row r="39" ht="30" customHeight="1" s="38">
      <c r="A39" s="47" t="inlineStr">
        <is>
          <t>PL-HIST-0038</t>
        </is>
      </c>
      <c r="B39" s="47" t="inlineStr">
        <is>
          <t>1848</t>
        </is>
      </c>
      <c r="C39" s="47" t="inlineStr">
        <is>
          <t>год</t>
        </is>
      </c>
      <c r="D39" s="47" t="inlineStr">
        <is>
          <t>Франция</t>
        </is>
      </c>
      <c r="E39" s="47" t="inlineStr">
        <is>
          <t>Париж</t>
        </is>
      </c>
      <c r="F39" s="47" t="inlineStr">
        <is>
          <t>Эдмон Беккерель</t>
        </is>
      </c>
      <c r="G39" s="47" t="inlineStr">
        <is>
          <t>Создаёт ранний цветной фотографический процесс на основе серебряно-хлоридного слоя.</t>
        </is>
      </c>
      <c r="H39" s="47" t="inlineStr">
        <is>
          <t>Цвет</t>
        </is>
      </c>
      <c r="I39" s="47" t="inlineStr">
        <is>
          <t>Early colour photography / photochromatic images</t>
        </is>
      </c>
      <c r="J39" s="47" t="inlineStr">
        <is>
          <t>Цвет возникает очень рано, но эта ветка пока не становится практичной массовой фотографией.</t>
        </is>
      </c>
      <c r="K39" s="47" t="inlineStr">
        <is>
          <t>Silver-based photochemistry</t>
        </is>
      </c>
      <c r="L39" s="47" t="inlineStr">
        <is>
          <t>Autochrome and later colour processes</t>
        </is>
      </c>
      <c r="M39" s="47" t="inlineStr">
        <is>
          <t>Исторически важная ограниченная ветка</t>
        </is>
      </c>
      <c r="N39" s="48" t="n">
        <v>3</v>
      </c>
      <c r="O39" s="47" t="inlineStr">
        <is>
          <t>будущие PL</t>
        </is>
      </c>
      <c r="P39" s="47" t="inlineStr">
        <is>
          <t>SRC-025</t>
        </is>
      </c>
      <c r="Q39" s="47" t="inlineStr">
        <is>
          <t>Getty Conservation Institute — Atlas: Salt Print PDF</t>
        </is>
      </c>
      <c r="R39" s="47" t="inlineStr">
        <is>
          <t>https://www.getty.edu/conservation/publications_resources/pdf_publications/pdf/atlas_saltprint.pdf</t>
        </is>
      </c>
      <c r="S39" s="48" t="n">
        <v>3</v>
      </c>
      <c r="T39" s="47" t="inlineStr">
        <is>
          <t>На карте: цвет появился рано, но не сразу стал удобным.</t>
        </is>
      </c>
      <c r="U39" s="47" t="inlineStr">
        <is>
          <t>Пунктирная цветная ветка от серебряной химии.</t>
        </is>
      </c>
      <c r="V39" s="47" t="inlineStr">
        <is>
          <t>#color #Becquerel #раннийцвет</t>
        </is>
      </c>
      <c r="W39" s="47" t="inlineStr">
        <is>
          <t>Лучше заменить на специализированный музейный источник по Becquerel.</t>
        </is>
      </c>
      <c r="X39" s="37" t="inlineStr">
        <is>
          <t>48.8566, 2.3522</t>
        </is>
      </c>
      <c r="Z39" s="37" t="inlineStr">
        <is>
          <t>Технология / процесс</t>
        </is>
      </c>
    </row>
    <row r="40" ht="30" customHeight="1" s="38">
      <c r="A40" s="47" t="inlineStr">
        <is>
          <t>PL-HIST-0039</t>
        </is>
      </c>
      <c r="B40" s="47" t="inlineStr">
        <is>
          <t>1848</t>
        </is>
      </c>
      <c r="C40" s="47" t="inlineStr">
        <is>
          <t>год</t>
        </is>
      </c>
      <c r="D40" s="47" t="inlineStr">
        <is>
          <t>США</t>
        </is>
      </c>
      <c r="E40" s="47" t="inlineStr">
        <is>
          <t>Филадельфия</t>
        </is>
      </c>
      <c r="F40" s="47" t="inlineStr">
        <is>
          <t>Братья Лангенхайм</t>
        </is>
      </c>
      <c r="G40" s="47" t="inlineStr">
        <is>
          <t>Вводят первые фотографические фонарные слайды.</t>
        </is>
      </c>
      <c r="H40" s="47" t="inlineStr">
        <is>
          <t>Проекция / распространение</t>
        </is>
      </c>
      <c r="I40" s="47" t="inlineStr">
        <is>
          <t>Photographic lantern slide</t>
        </is>
      </c>
      <c r="J40" s="47" t="inlineStr">
        <is>
          <t>Фотография становится не только отпечатком, но и изображением для публичного показа и обучения.</t>
        </is>
      </c>
      <c r="K40" s="47" t="inlineStr">
        <is>
          <t>Daguerreotype and glass support experimentation</t>
        </is>
      </c>
      <c r="L40" s="47" t="inlineStr">
        <is>
          <t>Educational projection and slide culture</t>
        </is>
      </c>
      <c r="M40" s="47" t="inlineStr">
        <is>
          <t>Переходная технология</t>
        </is>
      </c>
      <c r="N40" s="48" t="n">
        <v>3</v>
      </c>
      <c r="O40" s="47" t="inlineStr">
        <is>
          <t>будущие PL</t>
        </is>
      </c>
      <c r="P40" s="47" t="inlineStr">
        <is>
          <t>SRC-012</t>
        </is>
      </c>
      <c r="Q40" s="47" t="inlineStr">
        <is>
          <t>Harvard Library — History of Photography Timeline</t>
        </is>
      </c>
      <c r="R40" s="47" t="inlineStr">
        <is>
          <t>https://photographpreservationprogram.hsites.harvard.edu/harvards-history-photography-timeline-text-only</t>
        </is>
      </c>
      <c r="S40" s="48" t="n">
        <v>4</v>
      </c>
      <c r="T40" s="47" t="inlineStr">
        <is>
          <t>Хороший узел для темы распространения изображений до кино и презентаций.</t>
        </is>
      </c>
      <c r="U40" s="47" t="inlineStr">
        <is>
          <t>Фонарный проектор + экран.</t>
        </is>
      </c>
      <c r="V40" s="47" t="inlineStr">
        <is>
          <t>#lantern-slide #projection #Langenheim</t>
        </is>
      </c>
      <c r="W40" s="47" t="n"/>
      <c r="X40" s="37" t="inlineStr">
        <is>
          <t>39.9526, -75.1652</t>
        </is>
      </c>
      <c r="Z40" s="37" t="inlineStr">
        <is>
          <t>Распространение / коммерциализация</t>
        </is>
      </c>
    </row>
    <row r="41" ht="30" customHeight="1" s="38">
      <c r="A41" s="47" t="inlineStr">
        <is>
          <t>PL-HIST-0040</t>
        </is>
      </c>
      <c r="B41" s="47" t="inlineStr">
        <is>
          <t>1850</t>
        </is>
      </c>
      <c r="C41" s="47" t="inlineStr">
        <is>
          <t>год</t>
        </is>
      </c>
      <c r="D41" s="47" t="inlineStr">
        <is>
          <t>Франция</t>
        </is>
      </c>
      <c r="E41" s="47" t="inlineStr">
        <is>
          <t>Лилль</t>
        </is>
      </c>
      <c r="F41" s="47" t="inlineStr">
        <is>
          <t>Луи-Дезире Бланкар-Эврар</t>
        </is>
      </c>
      <c r="G41" s="47" t="inlineStr">
        <is>
          <t>Изобретает альбуминовую печать, которая станет ведущим типом фотопечати XIX века.</t>
        </is>
      </c>
      <c r="H41" s="47" t="inlineStr">
        <is>
          <t>Печать / тиражирование</t>
        </is>
      </c>
      <c r="I41" s="47" t="inlineStr">
        <is>
          <t>Albumen print</t>
        </is>
      </c>
      <c r="J41" s="47" t="inlineStr">
        <is>
          <t>Печать становится более детальной, тональной и удобной для массовой фотографии XIX века.</t>
        </is>
      </c>
      <c r="K41" s="47" t="inlineStr">
        <is>
          <t>Salted paper print</t>
        </is>
      </c>
      <c r="L41" s="47" t="inlineStr">
        <is>
          <t>Wet collodion negative + albumen print dominance</t>
        </is>
      </c>
      <c r="M41" s="47" t="inlineStr">
        <is>
          <t>Главная линия</t>
        </is>
      </c>
      <c r="N41" s="48" t="n">
        <v>5</v>
      </c>
      <c r="O41" s="47" t="inlineStr">
        <is>
          <t>будущие PL</t>
        </is>
      </c>
      <c r="P41" s="47" t="inlineStr">
        <is>
          <t>SRC-020</t>
        </is>
      </c>
      <c r="Q41" s="47" t="inlineStr">
        <is>
          <t>V&amp;A — Photography Processes and Techniques</t>
        </is>
      </c>
      <c r="R41" s="47" t="inlineStr">
        <is>
          <t>https://www.vam.ac.uk/info/collection-selection-boxes-photography-processes-and-techniques</t>
        </is>
      </c>
      <c r="S41" s="48" t="n">
        <v>5</v>
      </c>
      <c r="T41" s="47" t="inlineStr">
        <is>
          <t>Важный мост к мокрому коллодию: резкий стеклянный негатив + альбуминовая бумага = визуальный язык XIX века.</t>
        </is>
      </c>
      <c r="U41" s="47" t="inlineStr">
        <is>
          <t>Яичный белок/лист бумаги + стеклянный негатив.</t>
        </is>
      </c>
      <c r="V41" s="47" t="inlineStr">
        <is>
          <t>#albumen #print #BlanquartEvrard</t>
        </is>
      </c>
      <c r="W41" s="47" t="n"/>
      <c r="X41" s="37" t="inlineStr">
        <is>
          <t>50.6292, 3.0573</t>
        </is>
      </c>
      <c r="Z41" s="37" t="inlineStr">
        <is>
          <t>Тиражирование / публикация</t>
        </is>
      </c>
    </row>
    <row r="42" ht="45" customHeight="1" s="38">
      <c r="A42" s="47" t="inlineStr">
        <is>
          <t>PL-HIST-0041</t>
        </is>
      </c>
      <c r="B42" s="47" t="inlineStr">
        <is>
          <t>1851</t>
        </is>
      </c>
      <c r="C42" s="47" t="inlineStr">
        <is>
          <t>год</t>
        </is>
      </c>
      <c r="D42" s="47" t="inlineStr">
        <is>
          <t>Великобритания</t>
        </is>
      </c>
      <c r="E42" s="47" t="inlineStr">
        <is>
          <t>Лондон</t>
        </is>
      </c>
      <c r="F42" s="47" t="inlineStr">
        <is>
          <t>Фредерик Скотт Арчер</t>
        </is>
      </c>
      <c r="G42" s="47" t="inlineStr">
        <is>
          <t>Публикует мокрый коллодионный процесс: стеклянная пластина покрывается коллодием, сенсибилизируется, экспонируется и проявляется влажной.</t>
        </is>
      </c>
      <c r="H42" s="47" t="inlineStr">
        <is>
          <t>Мокрый коллодий</t>
        </is>
      </c>
      <c r="I42" s="47" t="inlineStr">
        <is>
          <t>Wet collodion glass negative</t>
        </is>
      </c>
      <c r="J42" s="47" t="inlineStr">
        <is>
          <t>Соединяет резкость стеклянного носителя и тиражируемость негативно-позитивной системы.</t>
        </is>
      </c>
      <c r="K42" s="47" t="inlineStr">
        <is>
          <t>Daguerreotype sharpness + calotype reproducibility problem</t>
        </is>
      </c>
      <c r="L42" s="47" t="inlineStr">
        <is>
          <t>Albumen prints, ambrotypes, tintypes, documentary photography</t>
        </is>
      </c>
      <c r="M42" s="47" t="inlineStr">
        <is>
          <t>Главная линия / временная доминирующая линия</t>
        </is>
      </c>
      <c r="N42" s="48" t="n">
        <v>5</v>
      </c>
      <c r="O42" s="47" t="inlineStr">
        <is>
          <t>PL-005</t>
        </is>
      </c>
      <c r="P42" s="47" t="inlineStr">
        <is>
          <t>SRC-021</t>
        </is>
      </c>
      <c r="Q42" s="47" t="inlineStr">
        <is>
          <t>National Science and Media Museum — Frederick Scott Archer</t>
        </is>
      </c>
      <c r="R42" s="47" t="inlineStr">
        <is>
          <t>https://blog.scienceandmediamuseum.org.uk/photography-a-z-frederick-scott-archer-wet-collodion-process/</t>
        </is>
      </c>
      <c r="S42" s="48" t="n">
        <v>5</v>
      </c>
      <c r="T42" s="47" t="inlineStr">
        <is>
          <t>Ключ PL-005: резкость дагеротипа и тираж калотипа наконец встретились.</t>
        </is>
      </c>
      <c r="U42" s="47" t="inlineStr">
        <is>
          <t>Главный узел: стеклянная влажная пластина + таймер 15 минут.</t>
        </is>
      </c>
      <c r="V42" s="47" t="inlineStr">
        <is>
          <t>#wet-collodion #Archer #PL005</t>
        </is>
      </c>
      <c r="W42" s="47" t="n"/>
      <c r="X42" s="37" t="inlineStr">
        <is>
          <t>51.5074, -0.1278</t>
        </is>
      </c>
      <c r="Z42" s="37" t="inlineStr">
        <is>
          <t>Технология / процесс</t>
        </is>
      </c>
      <c r="AA42" s="37" t="inlineStr">
        <is>
          <t>да</t>
        </is>
      </c>
    </row>
    <row r="43" ht="45" customHeight="1" s="38">
      <c r="A43" s="47" t="inlineStr">
        <is>
          <t>PL-HIST-0042</t>
        </is>
      </c>
      <c r="B43" s="47" t="inlineStr">
        <is>
          <t>1851–1880-е</t>
        </is>
      </c>
      <c r="C43" s="47" t="inlineStr">
        <is>
          <t>диапазон</t>
        </is>
      </c>
      <c r="D43" s="47" t="inlineStr">
        <is>
          <t>Великобритания / глобально</t>
        </is>
      </c>
      <c r="E43" s="47" t="inlineStr">
        <is>
          <t>Лондон → Европа / Америка</t>
        </is>
      </c>
      <c r="F43" s="47" t="inlineStr">
        <is>
          <t>Фотографы мокрого коллодия</t>
        </is>
      </c>
      <c r="G43" s="47" t="inlineStr">
        <is>
          <t>Мокрый коллодий становится доминирующим процессом на несколько десятилетий.</t>
        </is>
      </c>
      <c r="H43" s="47" t="inlineStr">
        <is>
          <t>Мокрый коллодий</t>
        </is>
      </c>
      <c r="I43" s="47" t="inlineStr">
        <is>
          <t>Wet collodion negative</t>
        </is>
      </c>
      <c r="J43" s="47" t="inlineStr">
        <is>
          <t>Фотография становится более резкой, воспроизводимой и пригодной для документальных задач, но требует мобильной лаборатории.</t>
        </is>
      </c>
      <c r="K43" s="47" t="inlineStr">
        <is>
          <t>Archer's publication</t>
        </is>
      </c>
      <c r="L43" s="47" t="inlineStr">
        <is>
          <t>Dry plates replace wet collodion later</t>
        </is>
      </c>
      <c r="M43" s="47" t="inlineStr">
        <is>
          <t>Временная доминирующая линия</t>
        </is>
      </c>
      <c r="N43" s="48" t="n">
        <v>5</v>
      </c>
      <c r="O43" s="47" t="inlineStr">
        <is>
          <t>PL-005</t>
        </is>
      </c>
      <c r="P43" s="47" t="inlineStr">
        <is>
          <t>SRC-021</t>
        </is>
      </c>
      <c r="Q43" s="47" t="inlineStr">
        <is>
          <t>National Science and Media Museum — Frederick Scott Archer</t>
        </is>
      </c>
      <c r="R43" s="47" t="inlineStr">
        <is>
          <t>https://blog.scienceandmediamuseum.org.uk/photography-a-z-frederick-scott-archer-wet-collodion-process/</t>
        </is>
      </c>
      <c r="S43" s="48" t="n">
        <v>5</v>
      </c>
      <c r="T43" s="47" t="inlineStr">
        <is>
          <t>Важно: это не тупик сразу; это главный мост середины XIX века.</t>
        </is>
      </c>
      <c r="U43" s="47" t="inlineStr">
        <is>
          <t>Широкие линии от Лондона по Европе и Америке.</t>
        </is>
      </c>
      <c r="V43" s="47" t="inlineStr">
        <is>
          <t>#wet-collodion #dominant-process #PL005</t>
        </is>
      </c>
      <c r="W43" s="47" t="n"/>
      <c r="X43" s="37" t="inlineStr">
        <is>
          <t>51.5074, -0.1278</t>
        </is>
      </c>
      <c r="Y43" s="37" t="inlineStr">
        <is>
          <t>Мокрый коллодий / распространение</t>
        </is>
      </c>
      <c r="Z43" s="37" t="inlineStr">
        <is>
          <t>Распространение / коммерциализация</t>
        </is>
      </c>
    </row>
    <row r="44" ht="45" customHeight="1" s="38">
      <c r="A44" s="47" t="inlineStr">
        <is>
          <t>PL-HIST-0043</t>
        </is>
      </c>
      <c r="B44" s="47" t="inlineStr">
        <is>
          <t>1851</t>
        </is>
      </c>
      <c r="C44" s="47" t="inlineStr">
        <is>
          <t>год</t>
        </is>
      </c>
      <c r="D44" s="47" t="inlineStr">
        <is>
          <t>Великобритания</t>
        </is>
      </c>
      <c r="E44" s="47" t="inlineStr">
        <is>
          <t>Лондон</t>
        </is>
      </c>
      <c r="F44" s="47" t="inlineStr">
        <is>
          <t>Фредерик Скотт Арчер</t>
        </is>
      </c>
      <c r="G44" s="47" t="inlineStr">
        <is>
          <t>Показывает практическую формулу мокрого коллодия: коллодий + йодид калия + нитрат серебра + немедленное проявление/фиксаж.</t>
        </is>
      </c>
      <c r="H44" s="47" t="inlineStr">
        <is>
          <t>Мокрый коллодий</t>
        </is>
      </c>
      <c r="I44" s="47" t="inlineStr">
        <is>
          <t>Collodion + silver nitrate</t>
        </is>
      </c>
      <c r="J44" s="47" t="inlineStr">
        <is>
          <t>Процесс требует скорости и дисциплины: пластину надо подготовить, снять и проявить пока она влажная.</t>
        </is>
      </c>
      <c r="K44" s="47" t="inlineStr">
        <is>
          <t>Photographic chemistry and glass supports</t>
        </is>
      </c>
      <c r="L44" s="47" t="inlineStr">
        <is>
          <t>Portable darkrooms and field photography</t>
        </is>
      </c>
      <c r="M44" s="47" t="inlineStr">
        <is>
          <t>Главная линия / временная доминирующая линия</t>
        </is>
      </c>
      <c r="N44" s="48" t="n">
        <v>5</v>
      </c>
      <c r="O44" s="47" t="inlineStr">
        <is>
          <t>PL-005</t>
        </is>
      </c>
      <c r="P44" s="47" t="inlineStr">
        <is>
          <t>SRC-021</t>
        </is>
      </c>
      <c r="Q44" s="47" t="inlineStr">
        <is>
          <t>National Science and Media Museum — Frederick Scott Archer</t>
        </is>
      </c>
      <c r="R44" s="47" t="inlineStr">
        <is>
          <t>https://blog.scienceandmediamuseum.org.uk/photography-a-z-frederick-scott-archer-wet-collodion-process/</t>
        </is>
      </c>
      <c r="S44" s="48" t="n">
        <v>5</v>
      </c>
      <c r="T44" s="47" t="inlineStr">
        <is>
          <t>Для урока: здесь появляется драматургия «15 минут, пока пластина влажная».</t>
        </is>
      </c>
      <c r="U44" s="47" t="inlineStr">
        <is>
          <t>Схема-алгоритм из 5 шагов вокруг стеклянной пластины.</t>
        </is>
      </c>
      <c r="V44" s="47" t="inlineStr">
        <is>
          <t>#химия #коллодий #стекло #PL005</t>
        </is>
      </c>
      <c r="W44" s="47" t="n"/>
      <c r="X44" s="37" t="inlineStr">
        <is>
          <t>51.5074, -0.1278</t>
        </is>
      </c>
      <c r="Y44" s="37" t="inlineStr">
        <is>
          <t>Мокрый коллодий / химия</t>
        </is>
      </c>
      <c r="Z44" s="37" t="inlineStr">
        <is>
          <t>Технология / процесс</t>
        </is>
      </c>
    </row>
    <row r="45" ht="30" customHeight="1" s="38">
      <c r="A45" s="47" t="inlineStr">
        <is>
          <t>PL-HIST-0044</t>
        </is>
      </c>
      <c r="B45" s="47" t="inlineStr">
        <is>
          <t>1853</t>
        </is>
      </c>
      <c r="C45" s="47" t="inlineStr">
        <is>
          <t>год</t>
        </is>
      </c>
      <c r="D45" s="47" t="inlineStr">
        <is>
          <t>Великобритания</t>
        </is>
      </c>
      <c r="E45" s="47" t="inlineStr">
        <is>
          <t>Лондон</t>
        </is>
      </c>
      <c r="F45" s="47" t="inlineStr">
        <is>
          <t>Фредерик Скотт Арчер</t>
        </is>
      </c>
      <c r="G45" s="47" t="inlineStr">
        <is>
          <t>Демонстрирует складную коллодионную камеру, совмещённую с мини-тёмной комнатой.</t>
        </is>
      </c>
      <c r="H45" s="47" t="inlineStr">
        <is>
          <t>Мокрый коллодий</t>
        </is>
      </c>
      <c r="I45" s="47" t="inlineStr">
        <is>
          <t>Folding collodion camera / portable darkroom</t>
        </is>
      </c>
      <c r="J45" s="47" t="inlineStr">
        <is>
          <t>Техническая проблема процесса решается конструкцией: фотографу нужно работать с пластиной на месте.</t>
        </is>
      </c>
      <c r="K45" s="47" t="inlineStr">
        <is>
          <t>Wet collodion process 1851</t>
        </is>
      </c>
      <c r="L45" s="47" t="inlineStr">
        <is>
          <t>Field photography and mobile darkrooms</t>
        </is>
      </c>
      <c r="M45" s="47" t="inlineStr">
        <is>
          <t>Переходная технология</t>
        </is>
      </c>
      <c r="N45" s="48" t="n">
        <v>4</v>
      </c>
      <c r="O45" s="47" t="inlineStr">
        <is>
          <t>PL-005</t>
        </is>
      </c>
      <c r="P45" s="47" t="inlineStr">
        <is>
          <t>SRC-021</t>
        </is>
      </c>
      <c r="Q45" s="47" t="inlineStr">
        <is>
          <t>National Science and Media Museum — Frederick Scott Archer</t>
        </is>
      </c>
      <c r="R45" s="47" t="inlineStr">
        <is>
          <t>https://blog.scienceandmediamuseum.org.uk/photography-a-z-frederick-scott-archer-wet-collodion-process/</t>
        </is>
      </c>
      <c r="S45" s="48" t="n">
        <v>5</v>
      </c>
      <c r="T45" s="47" t="inlineStr">
        <is>
          <t>Хороший визуальный сюжет: камера как чемодан-лаборатория.</t>
        </is>
      </c>
      <c r="U45" s="47" t="inlineStr">
        <is>
          <t>Иконка камеры с рукавами и стеклянной пластиной внутри.</t>
        </is>
      </c>
      <c r="V45" s="47" t="inlineStr">
        <is>
          <t>#Archer #collodion-camera #PL005</t>
        </is>
      </c>
      <c r="W45" s="47" t="n"/>
      <c r="X45" s="37" t="inlineStr">
        <is>
          <t>51.5074, -0.1278</t>
        </is>
      </c>
      <c r="Y45" s="37" t="inlineStr">
        <is>
          <t>Мокрый коллодий / камера</t>
        </is>
      </c>
      <c r="Z45" s="37" t="inlineStr">
        <is>
          <t>Инструмент / устройство</t>
        </is>
      </c>
    </row>
    <row r="46" ht="30" customHeight="1" s="38">
      <c r="A46" s="47" t="inlineStr">
        <is>
          <t>PL-HIST-0045</t>
        </is>
      </c>
      <c r="B46" s="47" t="inlineStr">
        <is>
          <t>ок. 1853</t>
        </is>
      </c>
      <c r="C46" s="47" t="inlineStr">
        <is>
          <t>примерно</t>
        </is>
      </c>
      <c r="D46" s="47" t="inlineStr">
        <is>
          <t>Великобритания / США</t>
        </is>
      </c>
      <c r="E46" s="47" t="inlineStr">
        <is>
          <t>Лондон / Бостон</t>
        </is>
      </c>
      <c r="F46" s="47" t="inlineStr">
        <is>
          <t>Фотографы коллодионного процесса</t>
        </is>
      </c>
      <c r="G46" s="47" t="inlineStr">
        <is>
          <t>Появляется коллодионный позитив на стекле, позже известный как амбротип.</t>
        </is>
      </c>
      <c r="H46" s="47" t="inlineStr">
        <is>
          <t>Уникальный позитив</t>
        </is>
      </c>
      <c r="I46" s="47" t="inlineStr">
        <is>
          <t>Ambrotype / collodion positive</t>
        </is>
      </c>
      <c r="J46" s="47" t="inlineStr">
        <is>
          <t>Мокрый коллодий даёт не только негативы для печати, но и дешёвые уникальные портреты.</t>
        </is>
      </c>
      <c r="K46" s="47" t="inlineStr">
        <is>
          <t>Wet collodion process</t>
        </is>
      </c>
      <c r="L46" s="47" t="inlineStr">
        <is>
          <t>Cutting patent 1854 and tintype</t>
        </is>
      </c>
      <c r="M46" s="47" t="inlineStr">
        <is>
          <t>Исторически важная ограниченная ветка</t>
        </is>
      </c>
      <c r="N46" s="48" t="n">
        <v>4</v>
      </c>
      <c r="O46" s="47" t="inlineStr">
        <is>
          <t>PL-005</t>
        </is>
      </c>
      <c r="P46" s="47" t="inlineStr">
        <is>
          <t>SRC-022</t>
        </is>
      </c>
      <c r="Q46" s="47" t="inlineStr">
        <is>
          <t>Library of Congress — Ambrotypes and Tintypes</t>
        </is>
      </c>
      <c r="R46" s="47" t="inlineStr">
        <is>
          <t>https://www.loc.gov/collections/liljenquist-civil-war-photographs/articles-and-essays/ambrotypes-and-tintypes/</t>
        </is>
      </c>
      <c r="S46" s="48" t="n">
        <v>4</v>
      </c>
      <c r="T46" s="47" t="inlineStr">
        <is>
          <t>В PL-005 можно сказать: один процесс породил сразу несколько форм — негатив, амбротип, тинтайп.</t>
        </is>
      </c>
      <c r="U46" s="47" t="inlineStr">
        <is>
          <t>От основной коллодионной ветки отходит стеклянный позитив.</t>
        </is>
      </c>
      <c r="V46" s="47" t="inlineStr">
        <is>
          <t>#ambrotype #collodion-positive #PL005</t>
        </is>
      </c>
      <c r="W46" s="47" t="n"/>
      <c r="X46" s="37" t="inlineStr">
        <is>
          <t>51.5074, -0.1278</t>
        </is>
      </c>
      <c r="Y46" s="37" t="inlineStr">
        <is>
          <t>Уникальный позитив / мокрый коллодий</t>
        </is>
      </c>
      <c r="Z46" s="37" t="inlineStr">
        <is>
          <t>Технология / процесс</t>
        </is>
      </c>
    </row>
    <row r="47" ht="30" customHeight="1" s="38">
      <c r="A47" s="47" t="inlineStr">
        <is>
          <t>PL-HIST-0046</t>
        </is>
      </c>
      <c r="B47" s="47" t="inlineStr">
        <is>
          <t>1854</t>
        </is>
      </c>
      <c r="C47" s="47" t="inlineStr">
        <is>
          <t>год</t>
        </is>
      </c>
      <c r="D47" s="47" t="inlineStr">
        <is>
          <t>США</t>
        </is>
      </c>
      <c r="E47" s="47" t="inlineStr">
        <is>
          <t>Бостон</t>
        </is>
      </c>
      <c r="F47" s="47" t="inlineStr">
        <is>
          <t>Джеймс Амброуз Каттинг</t>
        </is>
      </c>
      <c r="G47" s="47" t="inlineStr">
        <is>
          <t>Патентует улучшения амбротипного процесса.</t>
        </is>
      </c>
      <c r="H47" s="47" t="inlineStr">
        <is>
          <t>Уникальный позитив</t>
        </is>
      </c>
      <c r="I47" s="47" t="inlineStr">
        <is>
          <t>Ambrotype</t>
        </is>
      </c>
      <c r="J47" s="47" t="inlineStr">
        <is>
          <t>Коллодионный позитив становится коммерческой портретной практикой, особенно в 1850–1860-х.</t>
        </is>
      </c>
      <c r="K47" s="47" t="inlineStr">
        <is>
          <t>Collodion positive around 1853</t>
        </is>
      </c>
      <c r="L47" s="47" t="inlineStr">
        <is>
          <t>Tintype and paper print competition</t>
        </is>
      </c>
      <c r="M47" s="47" t="inlineStr">
        <is>
          <t>Исторически важная ограниченная ветка</t>
        </is>
      </c>
      <c r="N47" s="48" t="n">
        <v>3</v>
      </c>
      <c r="O47" s="47" t="inlineStr">
        <is>
          <t>PL-005</t>
        </is>
      </c>
      <c r="P47" s="47" t="inlineStr">
        <is>
          <t>SRC-022</t>
        </is>
      </c>
      <c r="Q47" s="47" t="inlineStr">
        <is>
          <t>Library of Congress — Ambrotypes and Tintypes</t>
        </is>
      </c>
      <c r="R47" s="47" t="inlineStr">
        <is>
          <t>https://www.loc.gov/collections/liljenquist-civil-war-photographs/articles-and-essays/ambrotypes-and-tintypes/</t>
        </is>
      </c>
      <c r="S47" s="48" t="n">
        <v>5</v>
      </c>
      <c r="T47" s="47" t="inlineStr">
        <is>
          <t>Для карты: ветка не главная, но культурно важная — доступные портреты.</t>
        </is>
      </c>
      <c r="U47" s="47" t="inlineStr">
        <is>
          <t>Портрет на стекле с тёмной подложкой.</t>
        </is>
      </c>
      <c r="V47" s="47" t="inlineStr">
        <is>
          <t>#ambrotype #Cutting #portrait</t>
        </is>
      </c>
      <c r="W47" s="47" t="n"/>
      <c r="X47" s="37" t="inlineStr">
        <is>
          <t>42.3601, -71.0589</t>
        </is>
      </c>
      <c r="Y47" s="37" t="inlineStr">
        <is>
          <t>Уникальный позитив / мокрый коллодий</t>
        </is>
      </c>
      <c r="Z47" s="37" t="inlineStr">
        <is>
          <t>Технология / процесс</t>
        </is>
      </c>
    </row>
    <row r="48" ht="45" customHeight="1" s="38">
      <c r="A48" s="47" t="inlineStr">
        <is>
          <t>PL-HIST-0047</t>
        </is>
      </c>
      <c r="B48" s="47" t="inlineStr">
        <is>
          <t>1855–1881</t>
        </is>
      </c>
      <c r="C48" s="47" t="inlineStr">
        <is>
          <t>диапазон</t>
        </is>
      </c>
      <c r="D48" s="47" t="inlineStr">
        <is>
          <t>Европа / США</t>
        </is>
      </c>
      <c r="E48" s="47" t="inlineStr">
        <is>
          <t>Студии и полевые лаборатории</t>
        </is>
      </c>
      <c r="F48" s="47" t="inlineStr">
        <is>
          <t>Фотографы мокрого коллодия</t>
        </is>
      </c>
      <c r="G48" s="47" t="inlineStr">
        <is>
          <t>Мокрый коллодионный негатив + альбуминовая печать формируют классический визуальный язык середины XIX века.</t>
        </is>
      </c>
      <c r="H48" s="47" t="inlineStr">
        <is>
          <t>Мокрый коллодий</t>
        </is>
      </c>
      <c r="I48" s="47" t="inlineStr">
        <is>
          <t>Wet collodion negative + albumen print</t>
        </is>
      </c>
      <c r="J48" s="47" t="inlineStr">
        <is>
          <t>Появляется связка: резкий стеклянный негатив даёт детальные бумажные отпечатки.</t>
        </is>
      </c>
      <c r="K48" s="47" t="inlineStr">
        <is>
          <t>Albumen print 1850 + wet collodion 1851</t>
        </is>
      </c>
      <c r="L48" s="47" t="inlineStr">
        <is>
          <t>Dry plate and gelatin processes later</t>
        </is>
      </c>
      <c r="M48" s="47" t="inlineStr">
        <is>
          <t>Главная линия / временная доминирующая линия</t>
        </is>
      </c>
      <c r="N48" s="48" t="n">
        <v>5</v>
      </c>
      <c r="O48" s="47" t="inlineStr">
        <is>
          <t>PL-005</t>
        </is>
      </c>
      <c r="P48" s="47" t="inlineStr">
        <is>
          <t>SRC-020</t>
        </is>
      </c>
      <c r="Q48" s="47" t="inlineStr">
        <is>
          <t>V&amp;A — Photography Processes and Techniques</t>
        </is>
      </c>
      <c r="R48" s="47" t="inlineStr">
        <is>
          <t>https://www.vam.ac.uk/info/collection-selection-boxes-photography-processes-and-techniques</t>
        </is>
      </c>
      <c r="S48" s="48" t="n">
        <v>5</v>
      </c>
      <c r="T48" s="47" t="inlineStr">
        <is>
          <t>Это финальная формула PL-005: не один процесс, а связка негатив + печать.</t>
        </is>
      </c>
      <c r="U48" s="47" t="inlineStr">
        <is>
          <t>Двойной узел: стеклянная пластина → альбуминовый отпечаток.</t>
        </is>
      </c>
      <c r="V48" s="47" t="inlineStr">
        <is>
          <t>#wet-collodion #albumen #print #PL005</t>
        </is>
      </c>
      <c r="W48" s="47" t="n"/>
      <c r="Y48" s="37" t="inlineStr">
        <is>
          <t>Мокрый коллодий + печать</t>
        </is>
      </c>
      <c r="Z48" s="37" t="inlineStr">
        <is>
          <t>Тиражирование / публикация</t>
        </is>
      </c>
    </row>
    <row r="49" ht="45" customHeight="1" s="38">
      <c r="A49" s="47" t="inlineStr">
        <is>
          <t>PL-HIST-0048</t>
        </is>
      </c>
      <c r="B49" s="47" t="inlineStr">
        <is>
          <t>1856</t>
        </is>
      </c>
      <c r="C49" s="47" t="inlineStr">
        <is>
          <t>год</t>
        </is>
      </c>
      <c r="D49" s="47" t="inlineStr">
        <is>
          <t>США / Великобритания</t>
        </is>
      </c>
      <c r="E49" s="47" t="inlineStr">
        <is>
          <t>США / Великобритания</t>
        </is>
      </c>
      <c r="F49" s="47" t="inlineStr">
        <is>
          <t>Hamilton Smith / William Kloen / другие</t>
        </is>
      </c>
      <c r="G49" s="47" t="inlineStr">
        <is>
          <t>Тинтайп/ферротип закрепляется как дешёвый прямой позитив на лакированном металле, связанный с мокрым коллодием.</t>
        </is>
      </c>
      <c r="H49" s="47" t="inlineStr">
        <is>
          <t>Уникальный позитив</t>
        </is>
      </c>
      <c r="I49" s="47" t="inlineStr">
        <is>
          <t>Tintype / ferrotype</t>
        </is>
      </c>
      <c r="J49" s="47" t="inlineStr">
        <is>
          <t>Фотография становится более дешёвой, прочной и мобильной для массового портрета.</t>
        </is>
      </c>
      <c r="K49" s="47" t="inlineStr">
        <is>
          <t>Ambrotype and wet collodion</t>
        </is>
      </c>
      <c r="L49" s="47" t="inlineStr">
        <is>
          <t>Civil War era portraiture and itinerant photography</t>
        </is>
      </c>
      <c r="M49" s="47" t="inlineStr">
        <is>
          <t>Исторически важная ограниченная ветка / художественное возрождение</t>
        </is>
      </c>
      <c r="N49" s="48" t="n">
        <v>3</v>
      </c>
      <c r="O49" s="47" t="inlineStr">
        <is>
          <t>PL-005</t>
        </is>
      </c>
      <c r="P49" s="47" t="inlineStr">
        <is>
          <t>SRC-022</t>
        </is>
      </c>
      <c r="Q49" s="47" t="inlineStr">
        <is>
          <t>Library of Congress — Ambrotypes and Tintypes</t>
        </is>
      </c>
      <c r="R49" s="47" t="inlineStr">
        <is>
          <t>https://www.loc.gov/collections/liljenquist-civil-war-photographs/articles-and-essays/ambrotypes-and-tintypes/</t>
        </is>
      </c>
      <c r="S49" s="48" t="n">
        <v>4</v>
      </c>
      <c r="T49" s="47" t="inlineStr">
        <is>
          <t>Это ветка массового портрета: не главная линия к плёнке, но важная социально.</t>
        </is>
      </c>
      <c r="U49" s="47" t="inlineStr">
        <is>
          <t>Металлическая пластинка-портрет, ярмарка/палатка.</t>
        </is>
      </c>
      <c r="V49" s="47" t="inlineStr">
        <is>
          <t>#tintype #ferrotype #collodion #portrait</t>
        </is>
      </c>
      <c r="W49" s="47" t="inlineStr">
        <is>
          <t>Уточнить авторство/патенты 1856 по отдельным источникам.</t>
        </is>
      </c>
      <c r="Y49" s="37" t="inlineStr">
        <is>
          <t>Уникальный позитив / массовый портрет</t>
        </is>
      </c>
      <c r="Z49" s="37" t="inlineStr">
        <is>
          <t>Технология / процесс</t>
        </is>
      </c>
    </row>
    <row r="50" ht="45.75" customHeight="1" s="38">
      <c r="A50" s="49" t="inlineStr">
        <is>
          <t>PL-HIST-0049</t>
        </is>
      </c>
      <c r="B50" s="49" t="inlineStr">
        <is>
          <t>1871</t>
        </is>
      </c>
      <c r="C50" s="49" t="inlineStr">
        <is>
          <t>год</t>
        </is>
      </c>
      <c r="D50" s="49" t="inlineStr">
        <is>
          <t>Великобритания</t>
        </is>
      </c>
      <c r="E50" s="49" t="inlineStr">
        <is>
          <t>Лондон (публикация)</t>
        </is>
      </c>
      <c r="F50" s="49" t="inlineStr">
        <is>
          <t>Ричард Лич Мэддокс</t>
        </is>
      </c>
      <c r="G50" s="49" t="inlineStr">
        <is>
          <t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t>
        </is>
      </c>
      <c r="H50" s="49" t="inlineStr">
        <is>
          <t>Негатив-позитив</t>
        </is>
      </c>
      <c r="I50" s="49" t="inlineStr">
        <is>
          <t>Gelatino-bromide dry plate</t>
        </is>
      </c>
      <c r="J50" s="49" t="inlineStr">
        <is>
          <t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t>
        </is>
      </c>
      <c r="K50" s="49" t="inlineStr">
        <is>
          <t>Мокрый коллодий требовал немедленно готовить, снимать и проявлять пластину</t>
        </is>
      </c>
      <c r="L50" s="49" t="inlineStr">
        <is>
          <t>Эксперименты Бёрджесса, Кеннетта и Беннетта; коммерческие сухие пластины</t>
        </is>
      </c>
      <c r="M50" s="49" t="inlineStr">
        <is>
          <t>Главная линия</t>
        </is>
      </c>
      <c r="N50" s="49" t="n">
        <v>5</v>
      </c>
      <c r="O50" s="49" t="inlineStr">
        <is>
          <t>PL-006</t>
        </is>
      </c>
      <c r="P50" s="49" t="inlineStr">
        <is>
          <t>SRC-027</t>
        </is>
      </c>
      <c r="Q50" s="49" t="inlineStr">
        <is>
          <t>National Science and Media Museum — Kodak and Ilford camera factories</t>
        </is>
      </c>
      <c r="R50" s="49" t="inlineStr">
        <is>
          <t>https://www.scienceandmediamuseum.org.uk/objects-and-stories/kodak-ilford-camera-factories-1930s</t>
        </is>
      </c>
      <c r="S50" s="49" t="n">
        <v>5</v>
      </c>
      <c r="T50" s="49" t="inlineStr">
        <is>
          <t>В уроке важно объяснить: Мэддокс не сделал фотографию моментально массовой, но открыл принцип — стеклянную пластину можно готовить заранее.</t>
        </is>
      </c>
      <c r="U50" s="49" t="inlineStr">
        <is>
          <t>На карте: влажная красная линия коллодия переходит в сухую стеклянную пластину с желатиновой эмульсией.</t>
        </is>
      </c>
      <c r="V50" s="49" t="inlineStr">
        <is>
          <t>#PL006 #dry-plate #Maddox #gelatin #negative-positive</t>
        </is>
      </c>
      <c r="W50" s="49" t="inlineStr">
        <is>
          <t>Уточнить, стоит ли привязывать город к Лондону как месту публикации, а не к месту экспериментов.</t>
        </is>
      </c>
      <c r="X50" s="49" t="inlineStr">
        <is>
          <t>51.5074, -0.1278</t>
        </is>
      </c>
      <c r="Y50" s="49" t="inlineStr">
        <is>
          <t>Сухие желатиновые пластины / химия</t>
        </is>
      </c>
      <c r="Z50" s="49" t="inlineStr">
        <is>
          <t>Технология / процесс</t>
        </is>
      </c>
      <c r="AA50" s="37" t="inlineStr">
        <is>
          <t>да</t>
        </is>
      </c>
    </row>
    <row r="51" ht="45.75" customHeight="1" s="38">
      <c r="A51" s="49" t="inlineStr">
        <is>
          <t>PL-HIST-0050</t>
        </is>
      </c>
      <c r="B51" s="49" t="inlineStr">
        <is>
          <t>1874</t>
        </is>
      </c>
      <c r="C51" s="49" t="inlineStr">
        <is>
          <t>год</t>
        </is>
      </c>
      <c r="D51" s="49" t="inlineStr">
        <is>
          <t>Великобритания</t>
        </is>
      </c>
      <c r="E51" s="49" t="inlineStr">
        <is>
          <t>Ливерпуль</t>
        </is>
      </c>
      <c r="F51" s="49" t="inlineStr">
        <is>
          <t>Liverpool Dry Plate Company / ранние производители</t>
        </is>
      </c>
      <c r="G51" s="49" t="inlineStr">
        <is>
          <t>Начинаются коммерческие продажи желатиновых сухих пластин; одним из первых производителей называется Liverpool Dry Plate Company.</t>
        </is>
      </c>
      <c r="H51" s="49" t="inlineStr">
        <is>
          <t>Негатив-позитив</t>
        </is>
      </c>
      <c r="I51" s="49" t="inlineStr">
        <is>
          <t>Commercial gelatin dry plates</t>
        </is>
      </c>
      <c r="J51" s="49" t="inlineStr">
        <is>
          <t>Фотограф впервые может не готовить пластину сам перед съёмкой, а купить готовый чувствительный материал.</t>
        </is>
      </c>
      <c r="K51" s="49" t="inlineStr">
        <is>
          <t>Публикация Мэддокса 1871 и последующие улучшения</t>
        </is>
      </c>
      <c r="L51" s="49" t="inlineStr">
        <is>
          <t>Беннетт повышает чувствительность эмульсии; производство становится практичнее</t>
        </is>
      </c>
      <c r="M51" s="49" t="inlineStr">
        <is>
          <t>Распространение / коммерциализация</t>
        </is>
      </c>
      <c r="N51" s="49" t="n">
        <v>4</v>
      </c>
      <c r="O51" s="49" t="inlineStr">
        <is>
          <t>PL-006</t>
        </is>
      </c>
      <c r="P51" s="49" t="inlineStr">
        <is>
          <t>SRC-027</t>
        </is>
      </c>
      <c r="Q51" s="49" t="inlineStr">
        <is>
          <t>National Science and Media Museum — Kodak and Ilford camera factories</t>
        </is>
      </c>
      <c r="R51" s="49" t="inlineStr">
        <is>
          <t>https://www.scienceandmediamuseum.org.uk/objects-and-stories/kodak-ilford-camera-factories-1930s</t>
        </is>
      </c>
      <c r="S51" s="49" t="n">
        <v>4</v>
      </c>
      <c r="T51" s="49" t="inlineStr">
        <is>
          <t>Для новичка: это переход от «сам себе химик» к покупке готового фотоматериала.</t>
        </is>
      </c>
      <c r="U51" s="49" t="inlineStr">
        <is>
          <t>Иконка фабричной коробки сухих пластин рядом со стеклянной пластиной.</t>
        </is>
      </c>
      <c r="V51" s="49" t="inlineStr">
        <is>
          <t>#PL006 #LiverpoolDryPlate #commercial #dry-plate</t>
        </is>
      </c>
      <c r="W51" s="49" t="inlineStr">
        <is>
          <t>Проверить по отдельному источнику точное название компании и формат первых продаж.</t>
        </is>
      </c>
      <c r="X51" s="49" t="inlineStr">
        <is>
          <t>53.4084, -2.9916</t>
        </is>
      </c>
      <c r="Y51" s="49" t="inlineStr">
        <is>
          <t>Сухие желатиновые пластины / коммерциализация</t>
        </is>
      </c>
      <c r="Z51" s="49" t="inlineStr">
        <is>
          <t>Распространение / коммерциализация</t>
        </is>
      </c>
    </row>
    <row r="52" ht="34.5" customHeight="1" s="38">
      <c r="A52" s="49" t="inlineStr">
        <is>
          <t>PL-HIST-0051</t>
        </is>
      </c>
      <c r="B52" s="49" t="inlineStr">
        <is>
          <t>1878</t>
        </is>
      </c>
      <c r="C52" s="49" t="inlineStr">
        <is>
          <t>год</t>
        </is>
      </c>
      <c r="D52" s="49" t="inlineStr">
        <is>
          <t>Великобритания</t>
        </is>
      </c>
      <c r="E52" s="49" t="inlineStr">
        <is>
          <t>Лондон</t>
        </is>
      </c>
      <c r="F52" s="49" t="inlineStr">
        <is>
          <t>Чарльз Харпер Беннетт</t>
        </is>
      </c>
      <c r="G52" s="49" t="inlineStr">
        <is>
          <t>Предлагает нагревать/«созревать» желатиновую эмульсию перед нанесением на стекло, резко повышая её светочувствительность.</t>
        </is>
      </c>
      <c r="H52" s="49" t="inlineStr">
        <is>
          <t>Негатив-позитив</t>
        </is>
      </c>
      <c r="I52" s="49" t="inlineStr">
        <is>
          <t>Ripened gelatin-bromide emulsion</t>
        </is>
      </c>
      <c r="J52" s="49" t="inlineStr">
        <is>
          <t>Сухая пластина становится достаточно быстрой для коротких выдержек и съёмки более живого движения.</t>
        </is>
      </c>
      <c r="K52" s="49" t="inlineStr">
        <is>
          <t>Желатино-бромидная сухая пластина Мэддокса</t>
        </is>
      </c>
      <c r="L52" s="49" t="inlineStr">
        <is>
          <t>Сухие пластины входят в широкое производство и начинают вытеснять мокрый коллодий</t>
        </is>
      </c>
      <c r="M52" s="49" t="inlineStr">
        <is>
          <t>Главная линия</t>
        </is>
      </c>
      <c r="N52" s="49" t="n">
        <v>5</v>
      </c>
      <c r="O52" s="49" t="inlineStr">
        <is>
          <t>PL-006</t>
        </is>
      </c>
      <c r="P52" s="49" t="inlineStr">
        <is>
          <t>SRC-029</t>
        </is>
      </c>
      <c r="Q52" s="49" t="inlineStr">
        <is>
          <t>Swiss Camera Museum — Gelatine bromide plates</t>
        </is>
      </c>
      <c r="R52" s="49" t="inlineStr">
        <is>
          <t>https://www.cameramuseum.ch/en/discover/permanent-exhibition/the-plate-era/gelatine-bromide-plates/</t>
        </is>
      </c>
      <c r="S52" s="49" t="n">
        <v>5</v>
      </c>
      <c r="T52" s="49" t="inlineStr">
        <is>
          <t>Драматургия урока: сухая пластина была удобной, но сначала слабой; Беннетт сделал её действительно быстрой.</t>
        </is>
      </c>
      <c r="U52" s="49" t="inlineStr">
        <is>
          <t>Иконка нагрева эмульсии + секундомер/короткая выдержка.</t>
        </is>
      </c>
      <c r="V52" s="49" t="inlineStr">
        <is>
          <t>#PL006 #Bennett #gelatin-bromide #instantaneous</t>
        </is>
      </c>
      <c r="W52" s="49" t="n"/>
      <c r="X52" s="49" t="inlineStr">
        <is>
          <t>51.5074, -0.1278</t>
        </is>
      </c>
      <c r="Y52" s="49" t="inlineStr">
        <is>
          <t>Сухие желатиновые пластины / повышение чувствительности</t>
        </is>
      </c>
      <c r="Z52" s="49" t="inlineStr">
        <is>
          <t>Технология / процесс</t>
        </is>
      </c>
    </row>
    <row r="53" ht="34.5" customHeight="1" s="38">
      <c r="A53" s="49" t="inlineStr">
        <is>
          <t>PL-HIST-0052</t>
        </is>
      </c>
      <c r="B53" s="49" t="inlineStr">
        <is>
          <t>1878</t>
        </is>
      </c>
      <c r="C53" s="49" t="inlineStr">
        <is>
          <t>год</t>
        </is>
      </c>
      <c r="D53" s="49" t="inlineStr">
        <is>
          <t>Великобритания / Европа</t>
        </is>
      </c>
      <c r="E53" s="49" t="inlineStr">
        <is>
          <t>Лондон / промышленные центры</t>
        </is>
      </c>
      <c r="F53" s="49" t="inlineStr">
        <is>
          <t>Производители фотоматериалов</t>
        </is>
      </c>
      <c r="G53" s="49" t="inlineStr">
        <is>
          <t>После улучшений сухие желатиновые пластины переходят к общему производству и начинают быстро заменять мокрый коллодионный процесс.</t>
        </is>
      </c>
      <c r="H53" s="49" t="inlineStr">
        <is>
          <t>Негатив-позитив</t>
        </is>
      </c>
      <c r="I53" s="49" t="inlineStr">
        <is>
          <t>Manufactured gelatin dry plates</t>
        </is>
      </c>
      <c r="J53" s="49" t="inlineStr">
        <is>
          <t>Фотографу больше не нужна переносная тёмная комната на каждую съёмку; процесс становится удобнее, чище и предсказуемее.</t>
        </is>
      </c>
      <c r="K53" s="49" t="inlineStr">
        <is>
          <t>Улучшение чувствительности эмульсии Беннеттом</t>
        </is>
      </c>
      <c r="L53" s="49" t="inlineStr">
        <is>
          <t>Фабричное производство пластин и рост любительской фотографии</t>
        </is>
      </c>
      <c r="M53" s="49" t="inlineStr">
        <is>
          <t>Главная линия / временная доминирующая линия</t>
        </is>
      </c>
      <c r="N53" s="49" t="n">
        <v>5</v>
      </c>
      <c r="O53" s="49" t="inlineStr">
        <is>
          <t>PL-006</t>
        </is>
      </c>
      <c r="P53" s="49" t="inlineStr">
        <is>
          <t>SRC-028</t>
        </is>
      </c>
      <c r="Q53" s="49" t="inlineStr">
        <is>
          <t>National Science and Media Museum — A brief guide to photographs on glass</t>
        </is>
      </c>
      <c r="R53" s="49" t="inlineStr">
        <is>
          <t>https://blog.scienceandmediamuseum.org.uk/a-brief-guide-to-photographs-on-glass/</t>
        </is>
      </c>
      <c r="S53" s="49" t="n">
        <v>5</v>
      </c>
      <c r="T53" s="49" t="inlineStr">
        <is>
          <t>Это ключевой смысл PL-006: фотография освобождается от немедленной химической гонки мокрого коллодия.</t>
        </is>
      </c>
      <c r="U53" s="49" t="inlineStr">
        <is>
          <t>Линия: палатка-лаборатория исчезает, остаётся камера + коробка готовых пластин.</t>
        </is>
      </c>
      <c r="V53" s="49" t="inlineStr">
        <is>
          <t>#PL006 #manufacture #dry-plate #wet-collodion</t>
        </is>
      </c>
      <c r="W53" s="49" t="n"/>
      <c r="X53" s="49" t="inlineStr">
        <is>
          <t>51.5074, -0.1278</t>
        </is>
      </c>
      <c r="Y53" s="49" t="inlineStr">
        <is>
          <t>Сухие желатиновые пластины / переход от мокрого коллодия</t>
        </is>
      </c>
      <c r="Z53" s="49" t="inlineStr">
        <is>
          <t>Связь / переход</t>
        </is>
      </c>
    </row>
    <row r="54" ht="45.75" customHeight="1" s="38">
      <c r="A54" s="49" t="inlineStr">
        <is>
          <t>PL-HIST-0053</t>
        </is>
      </c>
      <c r="B54" s="49" t="inlineStr">
        <is>
          <t>конец 1870-х – 1880-е</t>
        </is>
      </c>
      <c r="C54" s="49" t="inlineStr">
        <is>
          <t>диапазон</t>
        </is>
      </c>
      <c r="D54" s="49" t="inlineStr">
        <is>
          <t>Европа / США</t>
        </is>
      </c>
      <c r="E54" s="49" t="inlineStr">
        <is>
          <t>распределённый процесс</t>
        </is>
      </c>
      <c r="F54" s="49" t="inlineStr">
        <is>
          <t>Фотографы и производители сухих пластин</t>
        </is>
      </c>
      <c r="G54" s="49" t="inlineStr">
        <is>
          <t>Более быстрые сухие пластины позволяют увереннее снимать события, повседневную жизнь и движение, а не только тщательно поставленные сцены.</t>
        </is>
      </c>
      <c r="H54" s="49" t="inlineStr">
        <is>
          <t>Негатив-позитив</t>
        </is>
      </c>
      <c r="I54" s="49" t="inlineStr">
        <is>
          <t>Fast dry plate / instantaneous photography</t>
        </is>
      </c>
      <c r="J54" s="49" t="inlineStr">
        <is>
          <t>Сокращение выдержки меняет не только технику, но и визуальный язык: фотография становится ближе к «моменту».</t>
        </is>
      </c>
      <c r="K54" s="49" t="inlineStr">
        <is>
          <t>Беннетт повышает чувствительность эмульсии</t>
        </is>
      </c>
      <c r="L54" s="49" t="inlineStr">
        <is>
          <t>Распространение портативных камер, любительской съёмки и последующий переход к плёнке</t>
        </is>
      </c>
      <c r="M54" s="49" t="inlineStr">
        <is>
          <t>Главная линия</t>
        </is>
      </c>
      <c r="N54" s="49" t="n">
        <v>4</v>
      </c>
      <c r="O54" s="49" t="inlineStr">
        <is>
          <t>PL-006</t>
        </is>
      </c>
      <c r="P54" s="49" t="inlineStr">
        <is>
          <t>SRC-030</t>
        </is>
      </c>
      <c r="Q54" s="49" t="inlineStr">
        <is>
          <t>Cornell Library — Dawn's Early Light: Towards Modern Photography</t>
        </is>
      </c>
      <c r="R54" s="49" t="inlineStr">
        <is>
          <t>https://rmc.library.cornell.edu/DawnsEarlyLight/exhibition/modernphotography/index.html</t>
        </is>
      </c>
      <c r="S54" s="49" t="n">
        <v>4</v>
      </c>
      <c r="T54" s="49" t="inlineStr">
        <is>
          <t>Для лекции: сухая пластина — это не просто удобство хранения, а новая скорость взгляда.</t>
        </is>
      </c>
      <c r="U54" s="49" t="inlineStr">
        <is>
          <t>На карте: рядом с пластиной появляется значок бегущего человека/движения.</t>
        </is>
      </c>
      <c r="V54" s="49" t="inlineStr">
        <is>
          <t>#PL006 #instantaneous #motion #dry-plate</t>
        </is>
      </c>
      <c r="W54" s="49" t="n"/>
      <c r="X54" s="49" t="n"/>
      <c r="Y54" s="49" t="inlineStr">
        <is>
          <t>Сухие желатиновые пластины / скорость и движение</t>
        </is>
      </c>
      <c r="Z54" s="49" t="inlineStr">
        <is>
          <t>Применение / жанр</t>
        </is>
      </c>
    </row>
    <row r="55" ht="34.5" customHeight="1" s="38">
      <c r="A55" s="49" t="inlineStr">
        <is>
          <t>PL-HIST-0054</t>
        </is>
      </c>
      <c r="B55" s="49" t="inlineStr">
        <is>
          <t>1880</t>
        </is>
      </c>
      <c r="C55" s="49" t="inlineStr">
        <is>
          <t>год</t>
        </is>
      </c>
      <c r="D55" s="49" t="inlineStr">
        <is>
          <t>США</t>
        </is>
      </c>
      <c r="E55" s="49" t="inlineStr">
        <is>
          <t>Рочестер, Нью-Йорк</t>
        </is>
      </c>
      <c r="F55" s="49" t="inlineStr">
        <is>
          <t>Джордж Истмен</t>
        </is>
      </c>
      <c r="G55" s="49" t="inlineStr">
        <is>
          <t>Начинает коммерчески производить сухие пластины в США и масштабировать их изготовление.</t>
        </is>
      </c>
      <c r="H55" s="49" t="inlineStr">
        <is>
          <t>Негатив-позитив</t>
        </is>
      </c>
      <c r="I55" s="49" t="inlineStr">
        <is>
          <t>Eastman dry plates</t>
        </is>
      </c>
      <c r="J55" s="49" t="inlineStr">
        <is>
          <t>Сухая пластина становится не только европейским техническим процессом, но и основой американской фотоиндустрии.</t>
        </is>
      </c>
      <c r="K55" s="49" t="inlineStr">
        <is>
          <t>Коммерческие сухие пластины в Великобритании и улучшения Беннетта</t>
        </is>
      </c>
      <c r="L55" s="49" t="inlineStr">
        <is>
          <t>Eastman Dry Plate Company; дальнейший поиск замены стекла гибким носителем</t>
        </is>
      </c>
      <c r="M55" s="49" t="inlineStr">
        <is>
          <t>Распространение / коммерциализация</t>
        </is>
      </c>
      <c r="N55" s="49" t="n">
        <v>4</v>
      </c>
      <c r="O55" s="49" t="inlineStr">
        <is>
          <t>PL-006</t>
        </is>
      </c>
      <c r="P55" s="49" t="inlineStr">
        <is>
          <t>SRC-031</t>
        </is>
      </c>
      <c r="Q55" s="49" t="inlineStr">
        <is>
          <t>Kodak — History</t>
        </is>
      </c>
      <c r="R55" s="49" t="inlineStr">
        <is>
          <t>https://www.kodak.com/en/company/page/history/</t>
        </is>
      </c>
      <c r="S55" s="49" t="n">
        <v>5</v>
      </c>
      <c r="T55" s="49" t="inlineStr">
        <is>
          <t>Здесь появляется мост к Kodak: сначала Истмен работает не с плёнкой, а именно с сухими пластинами.</t>
        </is>
      </c>
      <c r="U55" s="49" t="inlineStr">
        <is>
          <t>Иконка Рочестера/фабрики + коробка Eastman dry plates.</t>
        </is>
      </c>
      <c r="V55" s="49" t="inlineStr">
        <is>
          <t>#PL006 #Eastman #Rochester #dry-plate #Kodak</t>
        </is>
      </c>
      <c r="W55" s="49" t="n"/>
      <c r="X55" s="49" t="inlineStr">
        <is>
          <t>43.1566, -77.6088</t>
        </is>
      </c>
      <c r="Y55" s="49" t="inlineStr">
        <is>
          <t>Сухие желатиновые пластины / американская индустрия</t>
        </is>
      </c>
      <c r="Z55" s="49" t="inlineStr">
        <is>
          <t>Распространение / коммерциализация</t>
        </is>
      </c>
    </row>
    <row r="56" ht="34.5" customHeight="1" s="38">
      <c r="A56" s="49" t="inlineStr">
        <is>
          <t>PL-HIST-0055</t>
        </is>
      </c>
      <c r="B56" s="49" t="inlineStr">
        <is>
          <t>1881</t>
        </is>
      </c>
      <c r="C56" s="49" t="inlineStr">
        <is>
          <t>точная дата</t>
        </is>
      </c>
      <c r="D56" s="49" t="inlineStr">
        <is>
          <t>США</t>
        </is>
      </c>
      <c r="E56" s="49" t="inlineStr">
        <is>
          <t>Рочестер, Нью-Йорк</t>
        </is>
      </c>
      <c r="F56" s="49" t="inlineStr">
        <is>
          <t>Джордж Истмен / Генри Стронг</t>
        </is>
      </c>
      <c r="G56" s="49" t="inlineStr">
        <is>
          <t>1 января 1881 года создаётся Eastman Dry Plate Company.</t>
        </is>
      </c>
      <c r="H56" s="49" t="inlineStr">
        <is>
          <t>Негатив-позитив</t>
        </is>
      </c>
      <c r="I56" s="49" t="inlineStr">
        <is>
          <t>Eastman Dry Plate Company</t>
        </is>
      </c>
      <c r="J56" s="49" t="inlineStr">
        <is>
          <t>Промышленная логика фотографии усиливается: производство чувствительного материала становится самостоятельным бизнесом.</t>
        </is>
      </c>
      <c r="K56" s="49" t="inlineStr">
        <is>
          <t>Истмен начинает коммерческое производство сухих пластин в 1880</t>
        </is>
      </c>
      <c r="L56" s="49" t="inlineStr">
        <is>
          <t>Eastman Dry Plate and Film Company; рулонные носители и Kodak</t>
        </is>
      </c>
      <c r="M56" s="49" t="inlineStr">
        <is>
          <t>Распространение / коммерциализация</t>
        </is>
      </c>
      <c r="N56" s="49" t="n">
        <v>4</v>
      </c>
      <c r="O56" s="49" t="inlineStr">
        <is>
          <t>PL-006</t>
        </is>
      </c>
      <c r="P56" s="49" t="inlineStr">
        <is>
          <t>SRC-032</t>
        </is>
      </c>
      <c r="Q56" s="49" t="inlineStr">
        <is>
          <t>Kodak — George Eastman History</t>
        </is>
      </c>
      <c r="R56" s="49" t="inlineStr">
        <is>
          <t>https://www.kodak.com/en/company/page/george-eastman-history/</t>
        </is>
      </c>
      <c r="S56" s="49" t="n">
        <v>5</v>
      </c>
      <c r="T56" s="49" t="inlineStr">
        <is>
          <t>Это важный узел для перехода: Kodak родился не сразу как камера для всех, а из бизнеса сухих пластин.</t>
        </is>
      </c>
      <c r="U56" s="49" t="inlineStr">
        <is>
          <t>На карте: фабрика/брендовый узел между сухими пластинами и будущей плёнкой.</t>
        </is>
      </c>
      <c r="V56" s="49" t="inlineStr">
        <is>
          <t>#PL006 #EastmanDryPlateCompany #Rochester #Kodak</t>
        </is>
      </c>
      <c r="W56" s="49" t="n"/>
      <c r="X56" s="49" t="inlineStr">
        <is>
          <t>43.1566, -77.6088</t>
        </is>
      </c>
      <c r="Y56" s="49" t="inlineStr">
        <is>
          <t>Сухие желатиновые пластины / бизнес и масштабирование</t>
        </is>
      </c>
      <c r="Z56" s="49" t="inlineStr">
        <is>
          <t>Распространение / коммерциализация</t>
        </is>
      </c>
    </row>
    <row r="57" ht="34.5" customHeight="1" s="38">
      <c r="A57" s="49" t="inlineStr">
        <is>
          <t>PL-HIST-0056</t>
        </is>
      </c>
      <c r="B57" s="49" t="inlineStr">
        <is>
          <t>1880–1900</t>
        </is>
      </c>
      <c r="C57" s="49" t="inlineStr">
        <is>
          <t>диапазон</t>
        </is>
      </c>
      <c r="D57" s="49" t="inlineStr">
        <is>
          <t>Европа / США</t>
        </is>
      </c>
      <c r="E57" s="49" t="inlineStr">
        <is>
          <t>распределённый процесс</t>
        </is>
      </c>
      <c r="F57" s="49" t="inlineStr">
        <is>
          <t>Фотографы конца XIX века</t>
        </is>
      </c>
      <c r="G57" s="49" t="inlineStr">
        <is>
          <t>Желатиновые сухие пластинные негативы становятся наиболее распространённой формой негативов примерно с 1880 по 1900 год.</t>
        </is>
      </c>
      <c r="H57" s="49" t="inlineStr">
        <is>
          <t>Негатив-позитив</t>
        </is>
      </c>
      <c r="I57" s="49" t="inlineStr">
        <is>
          <t>Gelatin dry plate negative</t>
        </is>
      </c>
      <c r="J57" s="49" t="inlineStr">
        <is>
          <t>На два десятилетия сухая пластина становится нормой профессиональной и серьёзной любительской фотографии.</t>
        </is>
      </c>
      <c r="K57" s="49" t="inlineStr">
        <is>
          <t>Производство сухих пластин и рост чувствительности эмульсий</t>
        </is>
      </c>
      <c r="L57" s="49" t="inlineStr">
        <is>
          <t>Гибкая плёнка постепенно заменяет стеклянную пластину в массовой фотографии</t>
        </is>
      </c>
      <c r="M57" s="49" t="inlineStr">
        <is>
          <t>Главная линия / временная доминирующая линия</t>
        </is>
      </c>
      <c r="N57" s="49" t="n">
        <v>4</v>
      </c>
      <c r="O57" s="49" t="inlineStr">
        <is>
          <t>PL-006</t>
        </is>
      </c>
      <c r="P57" s="49" t="inlineStr">
        <is>
          <t>SRC-033</t>
        </is>
      </c>
      <c r="Q57" s="49" t="inlineStr">
        <is>
          <t>Smithsonian Institution Archives — Gelatin Dry Plate Negatives</t>
        </is>
      </c>
      <c r="R57" s="49" t="inlineStr">
        <is>
          <t>https://siarchives.si.edu/blog/highlight-photo-cold-vault-gelatin-dry-plate-negatives</t>
        </is>
      </c>
      <c r="S57" s="49" t="n">
        <v>5</v>
      </c>
      <c r="T57" s="49" t="inlineStr">
        <is>
          <t>Формула для урока: мокрый коллодий был революцией середины века, сухая пластина — нормой конца века.</t>
        </is>
      </c>
      <c r="U57" s="49" t="inlineStr">
        <is>
          <t>Широкая полоса на таймлайне 1880–1900: «эпоха сухих пластин».</t>
        </is>
      </c>
      <c r="V57" s="49" t="inlineStr">
        <is>
          <t>#PL006 #1880s #dry-plate-negative #glass-negative</t>
        </is>
      </c>
      <c r="W57" s="49" t="n"/>
      <c r="X57" s="49" t="n"/>
      <c r="Y57" s="49" t="inlineStr">
        <is>
          <t>Сухие желатиновые пластины / доминирующая практика</t>
        </is>
      </c>
      <c r="Z57" s="49" t="inlineStr">
        <is>
          <t>Ключевой исторический узел</t>
        </is>
      </c>
    </row>
    <row r="58" ht="45.75" customHeight="1" s="38">
      <c r="A58" s="49" t="inlineStr">
        <is>
          <t>PL-HIST-0057</t>
        </is>
      </c>
      <c r="B58" s="49" t="inlineStr">
        <is>
          <t>1880-е</t>
        </is>
      </c>
      <c r="C58" s="49" t="inlineStr">
        <is>
          <t>диапазон</t>
        </is>
      </c>
      <c r="D58" s="49" t="inlineStr">
        <is>
          <t>Европа / США</t>
        </is>
      </c>
      <c r="E58" s="49" t="inlineStr">
        <is>
          <t>распределённый процесс</t>
        </is>
      </c>
      <c r="F58" s="49" t="inlineStr">
        <is>
          <t>Профессиональные и любительские фотографы</t>
        </is>
      </c>
      <c r="G58" s="49" t="inlineStr">
        <is>
          <t>Сухие пластины можно было экспонировать в одном месте, а проявлять позже в тёмной комнате; это убирало зависимость от немедленной полевой химии.</t>
        </is>
      </c>
      <c r="H58" s="49" t="inlineStr">
        <is>
          <t>Негатив-позитив</t>
        </is>
      </c>
      <c r="I58" s="49" t="inlineStr">
        <is>
          <t>Prepared dry plates / delayed development</t>
        </is>
      </c>
      <c r="J58" s="49" t="inlineStr">
        <is>
          <t>Фотограф получает свободу маршрута: съёмка и проявка впервые заметно расходятся во времени и пространстве.</t>
        </is>
      </c>
      <c r="K58" s="49" t="inlineStr">
        <is>
          <t>Wet collodion field darkroom</t>
        </is>
      </c>
      <c r="L58" s="49" t="inlineStr">
        <is>
          <t>Portable cameras, amateur photography and roll film systems</t>
        </is>
      </c>
      <c r="M58" s="49" t="inlineStr">
        <is>
          <t>Главная линия</t>
        </is>
      </c>
      <c r="N58" s="49" t="n">
        <v>5</v>
      </c>
      <c r="O58" s="49" t="inlineStr">
        <is>
          <t>PL-006</t>
        </is>
      </c>
      <c r="P58" s="49" t="inlineStr">
        <is>
          <t>SRC-034</t>
        </is>
      </c>
      <c r="Q58" s="49" t="inlineStr">
        <is>
          <t>George Eastman Museum — Dry Plates in the Woods</t>
        </is>
      </c>
      <c r="R58" s="49" t="inlineStr">
        <is>
          <t>https://www.eastman.org/blog/dry-plates-woods-using-19th-century-photographic-processes-capture-letchworth-state-park</t>
        </is>
      </c>
      <c r="S58" s="49" t="n">
        <v>5</v>
      </c>
      <c r="T58" s="49" t="inlineStr">
        <is>
          <t>Очень понятная фраза для новичка: теперь не нужно тащить лабораторию за каждым кадром.</t>
        </is>
      </c>
      <c r="U58" s="49" t="inlineStr">
        <is>
          <t>Маршрутная линия: фотограф уходит из лаборатории на улицу/в лес, а проявляет позже.</t>
        </is>
      </c>
      <c r="V58" s="49" t="inlineStr">
        <is>
          <t>#PL006 #mobility #delayed-development #dry-plate</t>
        </is>
      </c>
      <c r="W58" s="49" t="n"/>
      <c r="X58" s="49" t="n"/>
      <c r="Y58" s="49" t="inlineStr">
        <is>
          <t>Сухие желатиновые пластины / мобильность</t>
        </is>
      </c>
      <c r="Z58" s="49" t="inlineStr">
        <is>
          <t>Связь / переход</t>
        </is>
      </c>
    </row>
    <row r="59" ht="45.75" customHeight="1" s="38">
      <c r="A59" s="49" t="inlineStr">
        <is>
          <t>PL-HIST-0058</t>
        </is>
      </c>
      <c r="B59" s="49" t="inlineStr">
        <is>
          <t>1880-е</t>
        </is>
      </c>
      <c r="C59" s="49" t="inlineStr">
        <is>
          <t>диапазон</t>
        </is>
      </c>
      <c r="D59" s="49" t="inlineStr">
        <is>
          <t>США / Великобритания</t>
        </is>
      </c>
      <c r="E59" s="49" t="inlineStr">
        <is>
          <t>Рочестер / промышленные центры</t>
        </is>
      </c>
      <c r="F59" s="49" t="inlineStr">
        <is>
          <t>Джордж Истмен и производители фотоматериалов</t>
        </is>
      </c>
      <c r="G59" s="49" t="inlineStr">
        <is>
          <t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t>
        </is>
      </c>
      <c r="H59" s="49" t="inlineStr">
        <is>
          <t>Негатив-позитив</t>
        </is>
      </c>
      <c r="I59" s="49" t="inlineStr">
        <is>
          <t>Bridge from glass plates to roll film</t>
        </is>
      </c>
      <c r="J59" s="49" t="inlineStr">
        <is>
          <t>PL-006 логически открывает PL-007: после свободы от мокрой химии фотография начинает освобождаться от стеклянной пластины.</t>
        </is>
      </c>
      <c r="K59" s="49" t="inlineStr">
        <is>
          <t>Сухие желатиновые пластины как удобный готовый негативный материал</t>
        </is>
      </c>
      <c r="L59" s="49" t="inlineStr">
        <is>
          <t>Рулонная плёнка, Kodak camera 1888, массовая любительская фотография</t>
        </is>
      </c>
      <c r="M59" s="49" t="inlineStr">
        <is>
          <t>Связь / переход</t>
        </is>
      </c>
      <c r="N59" s="49" t="n">
        <v>5</v>
      </c>
      <c r="O59" s="49" t="inlineStr">
        <is>
          <t>PL-006</t>
        </is>
      </c>
      <c r="P59" s="49" t="inlineStr">
        <is>
          <t>SRC-031</t>
        </is>
      </c>
      <c r="Q59" s="49" t="inlineStr">
        <is>
          <t>Kodak — History</t>
        </is>
      </c>
      <c r="R59" s="49" t="inlineStr">
        <is>
          <t>https://www.kodak.com/en/company/page/history/</t>
        </is>
      </c>
      <c r="S59" s="49" t="n">
        <v>4</v>
      </c>
      <c r="T59" s="49" t="inlineStr">
        <is>
          <t>Это интрига на следующий урок: фотография стала сухой, но пока ещё стеклянной.</t>
        </is>
      </c>
      <c r="U59" s="49" t="inlineStr">
        <is>
          <t>Стеклянная пластина превращается в гибкую ленту/рулон — стрелка к будущему PL-007.</t>
        </is>
      </c>
      <c r="V59" s="49" t="inlineStr">
        <is>
          <t>#PL006 #bridge #roll-film #Kodak #future-PL</t>
        </is>
      </c>
      <c r="W59" s="49" t="inlineStr">
        <is>
          <t>При планировании PL-007 уточнить отдельными источниками Eastman-Walker roll holder и даты ранней рулонной плёнки.</t>
        </is>
      </c>
      <c r="X59" s="49" t="inlineStr">
        <is>
          <t>43.1566, -77.6088</t>
        </is>
      </c>
      <c r="Y59" s="49" t="inlineStr">
        <is>
          <t>Сухие желатиновые пластины / мост к плёнке</t>
        </is>
      </c>
      <c r="Z59" s="49" t="inlineStr">
        <is>
          <t>Связь / переход</t>
        </is>
      </c>
    </row>
    <row r="60" ht="12.75" customHeight="1" s="38">
      <c r="A60" s="45" t="inlineStr">
        <is>
          <t>PL-HIST-0059</t>
        </is>
      </c>
      <c r="B60" s="45" t="inlineStr">
        <is>
          <t>1884</t>
        </is>
      </c>
      <c r="C60" s="45" t="inlineStr">
        <is>
          <t>год</t>
        </is>
      </c>
      <c r="D60" s="45" t="inlineStr">
        <is>
          <t>США</t>
        </is>
      </c>
      <c r="E60" s="45" t="inlineStr">
        <is>
          <t>Рочестер, Нью-Йорк</t>
        </is>
      </c>
      <c r="F60" s="45" t="inlineStr">
        <is>
          <t>Джордж Истмен / Eastman Dry Plate and Film Company</t>
        </is>
      </c>
      <c r="G60" s="45" t="inlineStr">
        <is>
          <t>Компания Истмена меняет акцент с одних сухих пластин на поиск более удобного рулонного носителя для фотографии.</t>
        </is>
      </c>
      <c r="H60" s="45" t="inlineStr">
        <is>
          <t>Негатив-позитив</t>
        </is>
      </c>
      <c r="I60" s="45" t="inlineStr">
        <is>
          <t>Eastman Dry Plate and Film Company / roll-film direction</t>
        </is>
      </c>
      <c r="J60" s="45" t="inlineStr">
        <is>
          <t>После сухих пластин следующей проблемой становится не химия, а носитель: стекло нужно заменить чем-то гибким и лёгким.</t>
        </is>
      </c>
      <c r="K60" s="45" t="inlineStr">
        <is>
          <t>Сухие желатиновые пластины освободили фотографа от мокрой лаборатории, но не от тяжёлого стекла.</t>
        </is>
      </c>
      <c r="L60" s="45" t="inlineStr">
        <is>
          <t>Eastman-Walker roll holder и бумажная рулонная плёнка</t>
        </is>
      </c>
      <c r="M60" s="45" t="inlineStr">
        <is>
          <t>Связь / переход</t>
        </is>
      </c>
      <c r="N60" s="45" t="n">
        <v>4</v>
      </c>
      <c r="O60" s="45" t="inlineStr">
        <is>
          <t>PL-007</t>
        </is>
      </c>
      <c r="P60" s="45" t="inlineStr">
        <is>
          <t>SRC-031</t>
        </is>
      </c>
      <c r="Q60" s="45" t="inlineStr">
        <is>
          <t>Kodak — History</t>
        </is>
      </c>
      <c r="R60" s="45" t="inlineStr">
        <is>
          <t>https://www.kodak.com/en/company/page/history/</t>
        </is>
      </c>
      <c r="S60" s="45" t="n">
        <v>4</v>
      </c>
      <c r="T60" s="45" t="inlineStr">
        <is>
          <t>В уроке это мост: фотография уже стала сухой, но ещё остаётся стеклянной. Истмен ищет следующий уровень удобства.</t>
        </is>
      </c>
      <c r="U60" s="45" t="inlineStr">
        <is>
          <t>Стеклянная пластина на карте превращается в намотанную ленту.</t>
        </is>
      </c>
      <c r="V60" s="45" t="inlineStr">
        <is>
          <t>#PL007 #Eastman #roll-film #Rochester #bridge</t>
        </is>
      </c>
      <c r="W60" s="45" t="inlineStr">
        <is>
          <t>Уточнить, нужна ли отдельная строка по юридическому переименованию компании 1884 или достаточно оставить как контекст.</t>
        </is>
      </c>
      <c r="X60" s="45" t="inlineStr">
        <is>
          <t>43.1566, -77.6088</t>
        </is>
      </c>
      <c r="Y60" s="45" t="inlineStr">
        <is>
          <t>Рулонная плёнка / бизнес-переход</t>
        </is>
      </c>
      <c r="Z60" s="45" t="inlineStr">
        <is>
          <t>Связь / переход</t>
        </is>
      </c>
      <c r="AA60" s="45" t="n"/>
    </row>
    <row r="61" ht="12.75" customHeight="1" s="38">
      <c r="A61" s="45" t="inlineStr">
        <is>
          <t>PL-HIST-0060</t>
        </is>
      </c>
      <c r="B61" s="45" t="inlineStr">
        <is>
          <t>1885</t>
        </is>
      </c>
      <c r="C61" s="45" t="inlineStr">
        <is>
          <t>год</t>
        </is>
      </c>
      <c r="D61" s="45" t="inlineStr">
        <is>
          <t>США</t>
        </is>
      </c>
      <c r="E61" s="45" t="inlineStr">
        <is>
          <t>Рочестер, Нью-Йорк</t>
        </is>
      </c>
      <c r="F61" s="45" t="inlineStr">
        <is>
          <t>Джордж Истмен / Уильям Холл Уокер</t>
        </is>
      </c>
      <c r="G61" s="45" t="inlineStr">
        <is>
          <t>Появляется Eastman-Walker roll holder — держатель, позволявший использовать рулонный носитель в камерах, рассчитанных на пластины.</t>
        </is>
      </c>
      <c r="H61" s="45" t="inlineStr">
        <is>
          <t>Негатив-позитив</t>
        </is>
      </c>
      <c r="I61" s="45" t="inlineStr">
        <is>
          <t>Eastman-Walker roll holder</t>
        </is>
      </c>
      <c r="J61" s="45" t="inlineStr">
        <is>
          <t>Камера начинает работать не с одиночными стеклянными пластинами, а с последовательностью кадров на рулоне.</t>
        </is>
      </c>
      <c r="K61" s="45" t="inlineStr">
        <is>
          <t>Сухая пластина как готовый негативный материал</t>
        </is>
      </c>
      <c r="L61" s="45" t="inlineStr">
        <is>
          <t>American Film и первые попытки коммерческого рулонного процесса</t>
        </is>
      </c>
      <c r="M61" s="45" t="inlineStr">
        <is>
          <t>Главная линия</t>
        </is>
      </c>
      <c r="N61" s="45" t="n">
        <v>5</v>
      </c>
      <c r="O61" s="45" t="inlineStr">
        <is>
          <t>PL-007</t>
        </is>
      </c>
      <c r="P61" s="45" t="inlineStr">
        <is>
          <t>SRC-035</t>
        </is>
      </c>
      <c r="Q61" s="45" t="inlineStr">
        <is>
          <t>Science Museum Group — Eastman-Walker roll holder</t>
        </is>
      </c>
      <c r="R61" s="45" t="inlineStr">
        <is>
          <t>https://collection.sciencemuseumgroup.org.uk/objects/co15879/eastman-walker-roll-holder</t>
        </is>
      </c>
      <c r="S61" s="45" t="n">
        <v>5</v>
      </c>
      <c r="T61" s="45" t="inlineStr">
        <is>
          <t>Для новичка: рулонная плёнка сначала вошла не как маленькая камера Kodak, а как приставка/держатель для уже существующих камер.</t>
        </is>
      </c>
      <c r="U61" s="45" t="inlineStr">
        <is>
          <t>На карте: рядом с камерой появляется рулонный модуль вместо стопки стеклянных пластин.</t>
        </is>
      </c>
      <c r="V61" s="45" t="inlineStr">
        <is>
          <t>#PL007 #EastmanWalker #roll-holder #Rochester</t>
        </is>
      </c>
      <c r="W61" s="45" t="n"/>
      <c r="X61" s="45" t="inlineStr">
        <is>
          <t>43.1566, -77.6088</t>
        </is>
      </c>
      <c r="Y61" s="45" t="inlineStr">
        <is>
          <t>Рулонная плёнка / держатель</t>
        </is>
      </c>
      <c r="Z61" s="45" t="inlineStr">
        <is>
          <t>Инструмент / устройство</t>
        </is>
      </c>
      <c r="AA61" s="45" t="n"/>
    </row>
    <row r="62" ht="12.75" customHeight="1" s="38">
      <c r="A62" s="45" t="inlineStr">
        <is>
          <t>PL-HIST-0061</t>
        </is>
      </c>
      <c r="B62" s="45" t="inlineStr">
        <is>
          <t>1885</t>
        </is>
      </c>
      <c r="C62" s="45" t="inlineStr">
        <is>
          <t>год</t>
        </is>
      </c>
      <c r="D62" s="45" t="inlineStr">
        <is>
          <t>США</t>
        </is>
      </c>
      <c r="E62" s="45" t="inlineStr">
        <is>
          <t>Рочестер, Нью-Йорк</t>
        </is>
      </c>
      <c r="F62" s="45" t="inlineStr">
        <is>
          <t>Джордж Истмен / Eastman Dry Plate and Film Company</t>
        </is>
      </c>
      <c r="G62" s="45" t="inlineStr">
        <is>
          <t>Eastman American Film с бумажной основой вводится вместе с Eastman-Walker roll holder и предлагается профессиональным фотографам.</t>
        </is>
      </c>
      <c r="H62" s="45" t="inlineStr">
        <is>
          <t>Негатив-позитив</t>
        </is>
      </c>
      <c r="I62" s="45" t="inlineStr">
        <is>
          <t>American Film / paper-based roll film</t>
        </is>
      </c>
      <c r="J62" s="45" t="inlineStr">
        <is>
          <t>Рулонный носитель становится реальным коммерческим продуктом, но бумажная основа ещё даёт ограничения по качеству.</t>
        </is>
      </c>
      <c r="K62" s="45" t="inlineStr">
        <is>
          <t>Eastman-Walker roll holder</t>
        </is>
      </c>
      <c r="L62" s="45" t="inlineStr">
        <is>
          <t>Kodak camera 1888 и прозрачная рулонная плёнка 1889</t>
        </is>
      </c>
      <c r="M62" s="45" t="inlineStr">
        <is>
          <t>Переходная технология</t>
        </is>
      </c>
      <c r="N62" s="45" t="n">
        <v>4</v>
      </c>
      <c r="O62" s="45" t="inlineStr">
        <is>
          <t>PL-007</t>
        </is>
      </c>
      <c r="P62" s="45" t="inlineStr">
        <is>
          <t>SRC-036</t>
        </is>
      </c>
      <c r="Q62" s="45" t="inlineStr">
        <is>
          <t>George Eastman Museum — Two rare rolls of early Kodak film</t>
        </is>
      </c>
      <c r="R62" s="45" t="inlineStr">
        <is>
          <t>https://www.eastman.org/two-rare-rolls-early-kodak-film-acquired-george-eastman-museum</t>
        </is>
      </c>
      <c r="S62" s="45" t="n">
        <v>5</v>
      </c>
      <c r="T62" s="45" t="inlineStr">
        <is>
          <t>Важно показать честно: первая рулонная плёнка была удобнее стекла, но ещё не идеальна по изображению.</t>
        </is>
      </c>
      <c r="U62" s="45" t="inlineStr">
        <is>
          <t>Пунктирная лента: рулон уже появился, но ещё требует улучшения.</t>
        </is>
      </c>
      <c r="V62" s="45" t="inlineStr">
        <is>
          <t>#PL007 #AmericanFilm #paper-roll-film #Eastman</t>
        </is>
      </c>
      <c r="W62" s="45" t="n"/>
      <c r="X62" s="45" t="inlineStr">
        <is>
          <t>43.1566, -77.6088</t>
        </is>
      </c>
      <c r="Y62" s="45" t="inlineStr">
        <is>
          <t>Рулонная плёнка / бумажная основа</t>
        </is>
      </c>
      <c r="Z62" s="45" t="inlineStr">
        <is>
          <t>Технология / процесс</t>
        </is>
      </c>
      <c r="AA62" s="45" t="n"/>
    </row>
    <row r="63" ht="12.75" customHeight="1" s="38">
      <c r="A63" s="45" t="inlineStr">
        <is>
          <t>PL-HIST-0062</t>
        </is>
      </c>
      <c r="B63" s="45" t="inlineStr">
        <is>
          <t>1887</t>
        </is>
      </c>
      <c r="C63" s="45" t="inlineStr">
        <is>
          <t>год</t>
        </is>
      </c>
      <c r="D63" s="45" t="inlineStr">
        <is>
          <t>США</t>
        </is>
      </c>
      <c r="E63" s="45" t="inlineStr">
        <is>
          <t>Ньюарк, Нью-Джерси</t>
        </is>
      </c>
      <c r="F63" s="45" t="inlineStr">
        <is>
          <t>Ганнибал Гудвин</t>
        </is>
      </c>
      <c r="G63" s="45" t="inlineStr">
        <is>
          <t>Гудвин подаёт патентную заявку на прозрачную гибкую фотографическую плёнку на нитроцеллюлозной основе.</t>
        </is>
      </c>
      <c r="H63" s="45" t="inlineStr">
        <is>
          <t>Негатив-позитив</t>
        </is>
      </c>
      <c r="I63" s="45" t="inlineStr">
        <is>
          <t>Flexible transparent nitrocellulose film</t>
        </is>
      </c>
      <c r="J63" s="45" t="inlineStr">
        <is>
          <t>Рулонная фотография получает направление к прозрачной гибкой основе, которая лучше подходит для качественного негатива и будущего кино.</t>
        </is>
      </c>
      <c r="K63" s="45" t="inlineStr">
        <is>
          <t>Ограничения бумажной рулонной плёнки</t>
        </is>
      </c>
      <c r="L63" s="45" t="inlineStr">
        <is>
          <t>Прозрачная плёнка Eastman/Reichenbach и патентные споры вокруг целлулоидной основы</t>
        </is>
      </c>
      <c r="M63" s="45" t="inlineStr">
        <is>
          <t>Исторически важная ограниченная ветка</t>
        </is>
      </c>
      <c r="N63" s="45" t="n">
        <v>4</v>
      </c>
      <c r="O63" s="45" t="inlineStr">
        <is>
          <t>PL-007</t>
        </is>
      </c>
      <c r="P63" s="45" t="inlineStr">
        <is>
          <t>SRC-037</t>
        </is>
      </c>
      <c r="Q63" s="45" t="inlineStr">
        <is>
          <t>National Inventors Hall of Fame — Hannibal Goodwin</t>
        </is>
      </c>
      <c r="R63" s="45" t="inlineStr">
        <is>
          <t>https://www.invent.org/inductees/hannibal-goodwin</t>
        </is>
      </c>
      <c r="S63" s="45" t="n">
        <v>4</v>
      </c>
      <c r="T63" s="45" t="inlineStr">
        <is>
          <t>Этот узел нужен как параллельная ветка: история плёнки — не только Истмен, но и спорная линия Гудвина.</t>
        </is>
      </c>
      <c r="U63" s="45" t="inlineStr">
        <is>
          <t>От основной линии Kodak отходит пунктирная ветка к Ньюарку: изобретатель вне большой фабрики.</t>
        </is>
      </c>
      <c r="V63" s="45" t="inlineStr">
        <is>
          <t>#PL007 #Goodwin #celluloid #transparent-film #patent</t>
        </is>
      </c>
      <c r="W63" s="45" t="inlineStr">
        <is>
          <t>Проверить формулировку: заявка 1887, патент выдан позже; не писать как мгновенно утверждённый патент.</t>
        </is>
      </c>
      <c r="X63" s="45" t="inlineStr">
        <is>
          <t>40.7357, -74.1724</t>
        </is>
      </c>
      <c r="Y63" s="45" t="inlineStr">
        <is>
          <t>Рулонная плёнка / целлулоидная основа</t>
        </is>
      </c>
      <c r="Z63" s="45" t="inlineStr">
        <is>
          <t>Технология / процесс</t>
        </is>
      </c>
      <c r="AA63" s="45" t="n"/>
    </row>
    <row r="64" ht="12.75" customHeight="1" s="38">
      <c r="A64" s="45" t="inlineStr">
        <is>
          <t>PL-HIST-0063</t>
        </is>
      </c>
      <c r="B64" s="45" t="inlineStr">
        <is>
          <t>1888</t>
        </is>
      </c>
      <c r="C64" s="45" t="inlineStr">
        <is>
          <t>год</t>
        </is>
      </c>
      <c r="D64" s="45" t="inlineStr">
        <is>
          <t>США</t>
        </is>
      </c>
      <c r="E64" s="45" t="inlineStr">
        <is>
          <t>Рочестер, Нью-Йорк</t>
        </is>
      </c>
      <c r="F64" s="45" t="inlineStr">
        <is>
          <t>Джордж Истмен / Kodak</t>
        </is>
      </c>
      <c r="G64" s="45" t="inlineStr">
        <is>
          <t>Появляется первая камера Kodak: простая box-camera, заранее заряженная рулоном на 100 снимков.</t>
        </is>
      </c>
      <c r="H64" s="45" t="inlineStr">
        <is>
          <t>Негатив-позитив</t>
        </is>
      </c>
      <c r="I64" s="45" t="inlineStr">
        <is>
          <t>Original Kodak camera / roll-film camera</t>
        </is>
      </c>
      <c r="J64" s="45" t="inlineStr">
        <is>
          <t>Фотография становится не только технологией профессионалов: пользователь нажимает кнопку, а сложную обработку берёт на себя компания.</t>
        </is>
      </c>
      <c r="K64" s="45" t="inlineStr">
        <is>
          <t>American Film и попытки заменить стеклянную пластину рулонным носителем</t>
        </is>
      </c>
      <c r="L64" s="45" t="inlineStr">
        <is>
          <t>Сервисная модель Kodak и массовая любительская фотография</t>
        </is>
      </c>
      <c r="M64" s="45" t="inlineStr">
        <is>
          <t>Главная линия</t>
        </is>
      </c>
      <c r="N64" s="45" t="n">
        <v>5</v>
      </c>
      <c r="O64" s="45" t="inlineStr">
        <is>
          <t>PL-007</t>
        </is>
      </c>
      <c r="P64" s="45" t="inlineStr">
        <is>
          <t>SRC-038</t>
        </is>
      </c>
      <c r="Q64" s="45" t="inlineStr">
        <is>
          <t>Smithsonian NMAH — Original Kodak Camera, Serial No. 540</t>
        </is>
      </c>
      <c r="R64" s="45" t="inlineStr">
        <is>
          <t>https://americanhistory.si.edu/collections/object/nmah_760118</t>
        </is>
      </c>
      <c r="S64" s="45" t="n">
        <v>5</v>
      </c>
      <c r="T64" s="45" t="inlineStr">
        <is>
          <t>Это флагман PL-007: камера Kodak изменила не только материал, но и саму роль фотографа.</t>
        </is>
      </c>
      <c r="U64" s="45" t="inlineStr">
        <is>
          <t>Главный узел: маленькая box-camera с рулоном внутри, от неё расходится линия к массовой фотографии.</t>
        </is>
      </c>
      <c r="V64" s="45" t="inlineStr">
        <is>
          <t>#PL007 #Kodak #roll-film-camera #Eastman #Rochester</t>
        </is>
      </c>
      <c r="W64" s="45" t="n"/>
      <c r="X64" s="45" t="inlineStr">
        <is>
          <t>43.1566, -77.6088</t>
        </is>
      </c>
      <c r="Y64" s="45" t="inlineStr">
        <is>
          <t>Рулонная плёнка / Kodak camera</t>
        </is>
      </c>
      <c r="Z64" s="45" t="inlineStr">
        <is>
          <t>Ключевой исторический узел</t>
        </is>
      </c>
      <c r="AA64" s="45" t="inlineStr">
        <is>
          <t>да</t>
        </is>
      </c>
    </row>
    <row r="65" ht="12.75" customHeight="1" s="38">
      <c r="A65" s="45" t="inlineStr">
        <is>
          <t>PL-HIST-0064</t>
        </is>
      </c>
      <c r="B65" s="45" t="inlineStr">
        <is>
          <t>1888</t>
        </is>
      </c>
      <c r="C65" s="45" t="inlineStr">
        <is>
          <t>год</t>
        </is>
      </c>
      <c r="D65" s="45" t="inlineStr">
        <is>
          <t>США</t>
        </is>
      </c>
      <c r="E65" s="45" t="inlineStr">
        <is>
          <t>Рочестер, Нью-Йорк</t>
        </is>
      </c>
      <c r="F65" s="45" t="inlineStr">
        <is>
          <t>Джордж Истмен / Kodak</t>
        </is>
      </c>
      <c r="G65" s="45" t="inlineStr">
        <is>
          <t>Kodak продаёт камеру уже заряженной плёнкой; после съёмки всю камеру отправляют в Рочестер для проявки, печати и перезарядки.</t>
        </is>
      </c>
      <c r="H65" s="45" t="inlineStr">
        <is>
          <t>Негатив-позитив</t>
        </is>
      </c>
      <c r="I65" s="45" t="inlineStr">
        <is>
          <t>Kodak processing service model</t>
        </is>
      </c>
      <c r="J65" s="45" t="inlineStr">
        <is>
          <t>Фотограф больше не обязан быть химиком и печатником: процесс съёмки отделяется от лабораторной обработки.</t>
        </is>
      </c>
      <c r="K65" s="45" t="inlineStr">
        <is>
          <t>Original Kodak camera 1888</t>
        </is>
      </c>
      <c r="L65" s="45" t="inlineStr">
        <is>
          <t>Слоган «You press the button, we do the rest» и рост любительской фотографии</t>
        </is>
      </c>
      <c r="M65" s="45" t="inlineStr">
        <is>
          <t>Распространение / коммерциализация</t>
        </is>
      </c>
      <c r="N65" s="45" t="n">
        <v>5</v>
      </c>
      <c r="O65" s="45" t="inlineStr">
        <is>
          <t>PL-007</t>
        </is>
      </c>
      <c r="P65" s="45" t="inlineStr">
        <is>
          <t>SRC-039</t>
        </is>
      </c>
      <c r="Q65" s="45" t="inlineStr">
        <is>
          <t>The Met — Kodak and the Rise of Amateur Photography</t>
        </is>
      </c>
      <c r="R65" s="45" t="inlineStr">
        <is>
          <t>https://www.metmuseum.org/essays/kodak-and-the-rise-of-amateur-photography</t>
        </is>
      </c>
      <c r="S65" s="45" t="n">
        <v>5</v>
      </c>
      <c r="T65" s="45" t="inlineStr">
        <is>
          <t>Главная мысль для лекции: Kodak продавал не просто камеру, а целую систему — камера + плёнка + обработка.</t>
        </is>
      </c>
      <c r="U65" s="45" t="inlineStr">
        <is>
          <t>Маршрут: камера у пользователя → фабрика в Рочестере → готовые отпечатки возвращаются обратно.</t>
        </is>
      </c>
      <c r="V65" s="45" t="inlineStr">
        <is>
          <t>#PL007 #Kodak #service-model #amateur-photography</t>
        </is>
      </c>
      <c r="W65" s="45" t="n"/>
      <c r="X65" s="45" t="inlineStr">
        <is>
          <t>43.1566, -77.6088</t>
        </is>
      </c>
      <c r="Y65" s="45" t="inlineStr">
        <is>
          <t>Рулонная плёнка / сервисная модель</t>
        </is>
      </c>
      <c r="Z65" s="45" t="inlineStr">
        <is>
          <t>Распространение / коммерциализация</t>
        </is>
      </c>
      <c r="AA65" s="45" t="n"/>
    </row>
    <row r="66" ht="12.75" customHeight="1" s="38">
      <c r="A66" s="45" t="inlineStr">
        <is>
          <t>PL-HIST-0065</t>
        </is>
      </c>
      <c r="B66" s="45" t="inlineStr">
        <is>
          <t>4 сентября 1888</t>
        </is>
      </c>
      <c r="C66" s="45" t="inlineStr">
        <is>
          <t>точная дата</t>
        </is>
      </c>
      <c r="D66" s="45" t="inlineStr">
        <is>
          <t>США</t>
        </is>
      </c>
      <c r="E66" s="45" t="inlineStr">
        <is>
          <t>Рочестер, Нью-Йорк</t>
        </is>
      </c>
      <c r="F66" s="45" t="inlineStr">
        <is>
          <t>Джордж Истмен / Kodak</t>
        </is>
      </c>
      <c r="G66" s="45" t="inlineStr">
        <is>
          <t>Истмен получает патент на камеру Kodak и регистрирует товарный знак Kodak.</t>
        </is>
      </c>
      <c r="H66" s="45" t="inlineStr">
        <is>
          <t>Негатив-позитив</t>
        </is>
      </c>
      <c r="I66" s="45" t="inlineStr">
        <is>
          <t>Kodak patent and trademark</t>
        </is>
      </c>
      <c r="J66" s="45" t="inlineStr">
        <is>
          <t>Рулонная камера становится не только техническим устройством, но и брендом, который легко запомнить и продвигать.</t>
        </is>
      </c>
      <c r="K66" s="45" t="inlineStr">
        <is>
          <t>Original Kodak camera 1888</t>
        </is>
      </c>
      <c r="L66" s="45" t="inlineStr">
        <is>
          <t>Переименование компании и формирование Kodak как массового фотобренда</t>
        </is>
      </c>
      <c r="M66" s="45" t="inlineStr">
        <is>
          <t>Распространение / коммерциализация</t>
        </is>
      </c>
      <c r="N66" s="45" t="n">
        <v>4</v>
      </c>
      <c r="O66" s="45" t="inlineStr">
        <is>
          <t>PL-007</t>
        </is>
      </c>
      <c r="P66" s="45" t="inlineStr">
        <is>
          <t>SRC-040</t>
        </is>
      </c>
      <c r="Q66" s="45" t="inlineStr">
        <is>
          <t>George Eastman Museum — From the Camera Obscura to the Revolutionary Kodak</t>
        </is>
      </c>
      <c r="R66" s="45" t="inlineStr">
        <is>
          <t>https://www.eastman.org/camera-obscura-revolutionary-kodak</t>
        </is>
      </c>
      <c r="S66" s="45" t="n">
        <v>5</v>
      </c>
      <c r="T66" s="45" t="inlineStr">
        <is>
          <t>Этот узел можно использовать коротко: фотография входит в эпоху бренда, рекламы и простого обещания пользователю.</t>
        </is>
      </c>
      <c r="U66" s="45" t="inlineStr">
        <is>
          <t>На карте: рядом с Рочестером появляется знак KODAK как брендовый маяк.</t>
        </is>
      </c>
      <c r="V66" s="45" t="inlineStr">
        <is>
          <t>#PL007 #Kodak #patent #trademark #brand</t>
        </is>
      </c>
      <c r="W66" s="45" t="n"/>
      <c r="X66" s="45" t="inlineStr">
        <is>
          <t>43.1566, -77.6088</t>
        </is>
      </c>
      <c r="Y66" s="45" t="inlineStr">
        <is>
          <t>Рулонная плёнка / патент и бренд</t>
        </is>
      </c>
      <c r="Z66" s="45" t="inlineStr">
        <is>
          <t>Публикация / объявление</t>
        </is>
      </c>
      <c r="AA66" s="45" t="n"/>
    </row>
    <row r="67" ht="12.75" customHeight="1" s="38">
      <c r="A67" s="45" t="inlineStr">
        <is>
          <t>PL-HIST-0066</t>
        </is>
      </c>
      <c r="B67" s="45" t="inlineStr">
        <is>
          <t>1889</t>
        </is>
      </c>
      <c r="C67" s="45" t="inlineStr">
        <is>
          <t>год</t>
        </is>
      </c>
      <c r="D67" s="45" t="inlineStr">
        <is>
          <t>США</t>
        </is>
      </c>
      <c r="E67" s="45" t="inlineStr">
        <is>
          <t>Рочестер, Нью-Йорк</t>
        </is>
      </c>
      <c r="F67" s="45" t="inlineStr">
        <is>
          <t>Джордж Истмен / Генри Райхенбах</t>
        </is>
      </c>
      <c r="G67" s="45" t="inlineStr">
        <is>
          <t>На рынок выходит первая коммерческая прозрачная рулонная плёнка, усовершенствованная Истменом и его химиком.</t>
        </is>
      </c>
      <c r="H67" s="45" t="inlineStr">
        <is>
          <t>Негатив-позитив</t>
        </is>
      </c>
      <c r="I67" s="45" t="inlineStr">
        <is>
          <t>Commercial transparent roll film</t>
        </is>
      </c>
      <c r="J67" s="45" t="inlineStr">
        <is>
          <t>Плёнка становится более удобной для качественного негатива и открывает путь не только фотографии, но и движущемуся изображению.</t>
        </is>
      </c>
      <c r="K67" s="45" t="inlineStr">
        <is>
          <t>Бумажная American Film и поиски прозрачной гибкой основы</t>
        </is>
      </c>
      <c r="L67" s="45" t="inlineStr">
        <is>
          <t>Развитие кинематографа и дальнейшая массовая плёночная фотография</t>
        </is>
      </c>
      <c r="M67" s="45" t="inlineStr">
        <is>
          <t>Главная линия</t>
        </is>
      </c>
      <c r="N67" s="45" t="n">
        <v>5</v>
      </c>
      <c r="O67" s="45" t="inlineStr">
        <is>
          <t>PL-007</t>
        </is>
      </c>
      <c r="P67" s="45" t="inlineStr">
        <is>
          <t>SRC-041</t>
        </is>
      </c>
      <c r="Q67" s="45" t="inlineStr">
        <is>
          <t>Kodak — Chronology of Film</t>
        </is>
      </c>
      <c r="R67" s="45" t="inlineStr">
        <is>
          <t>https://www.kodak.com/en/motion/page/chronology-of-film/</t>
        </is>
      </c>
      <c r="S67" s="45" t="n">
        <v>5</v>
      </c>
      <c r="T67" s="45" t="inlineStr">
        <is>
          <t>В уроке важно отличить: Kodak 1888 уже был рулонной камерой, но прозрачная рулонная плёнка как коммерческий материал — отдельный шаг 1889 года.</t>
        </is>
      </c>
      <c r="U67" s="45" t="inlineStr">
        <is>
          <t>Рулон из полупрозрачной ленты, уходящий от фотографии к кино.</t>
        </is>
      </c>
      <c r="V67" s="45" t="inlineStr">
        <is>
          <t>#PL007 #transparent-roll-film #Reichenbach #Eastman #motion-picture</t>
        </is>
      </c>
      <c r="W67" s="45" t="n"/>
      <c r="X67" s="45" t="inlineStr">
        <is>
          <t>43.1566, -77.6088</t>
        </is>
      </c>
      <c r="Y67" s="45" t="inlineStr">
        <is>
          <t>Рулонная плёнка / прозрачная плёнка</t>
        </is>
      </c>
      <c r="Z67" s="45" t="inlineStr">
        <is>
          <t>Технология / процесс</t>
        </is>
      </c>
      <c r="AA67" s="45" t="n"/>
    </row>
    <row r="68" ht="12.75" customHeight="1" s="38">
      <c r="A68" s="45" t="inlineStr">
        <is>
          <t>PL-HIST-0067</t>
        </is>
      </c>
      <c r="B68" s="45" t="inlineStr">
        <is>
          <t>1891</t>
        </is>
      </c>
      <c r="C68" s="45" t="inlineStr">
        <is>
          <t>год</t>
        </is>
      </c>
      <c r="D68" s="45" t="inlineStr">
        <is>
          <t>США</t>
        </is>
      </c>
      <c r="E68" s="45" t="inlineStr">
        <is>
          <t>Рочестер, Нью-Йорк</t>
        </is>
      </c>
      <c r="F68" s="45" t="inlineStr">
        <is>
          <t>Kodak / Eastman Company</t>
        </is>
      </c>
      <c r="G68" s="45" t="inlineStr">
        <is>
          <t>Kodak выводит первую daylight-loading camera: фотограф может перезаряжать плёнку без тёмной комнаты.</t>
        </is>
      </c>
      <c r="H68" s="45" t="inlineStr">
        <is>
          <t>Негатив-позитив</t>
        </is>
      </c>
      <c r="I68" s="45" t="inlineStr">
        <is>
          <t>Daylight-loading roll-film camera</t>
        </is>
      </c>
      <c r="J68" s="45" t="inlineStr">
        <is>
          <t>Рулонная фотография становится ещё удобнее: перезарядка перестаёт требовать полной темноты.</t>
        </is>
      </c>
      <c r="K68" s="45" t="inlineStr">
        <is>
          <t>Kodak camera 1888 and factory service model</t>
        </is>
      </c>
      <c r="L68" s="45" t="inlineStr">
        <is>
          <t>Pocket Kodak, Folding Pocket Kodak, Brownie and standard roll-film formats</t>
        </is>
      </c>
      <c r="M68" s="45" t="inlineStr">
        <is>
          <t>Главная линия</t>
        </is>
      </c>
      <c r="N68" s="45" t="n">
        <v>4</v>
      </c>
      <c r="O68" s="45" t="inlineStr">
        <is>
          <t>PL-007</t>
        </is>
      </c>
      <c r="P68" s="45" t="inlineStr">
        <is>
          <t>SRC-042</t>
        </is>
      </c>
      <c r="Q68" s="45" t="inlineStr">
        <is>
          <t>Kodak — Milestones</t>
        </is>
      </c>
      <c r="R68" s="45" t="inlineStr">
        <is>
          <t>https://www.kodak.com/en/company/page/milestones/</t>
        </is>
      </c>
      <c r="S68" s="45" t="n">
        <v>5</v>
      </c>
      <c r="T68" s="45" t="inlineStr">
        <is>
          <t>Это не главный герой урока, но важный шаг удобства: фотограф получает больше самостоятельности.</t>
        </is>
      </c>
      <c r="U68" s="45" t="inlineStr">
        <is>
          <t>На карте: маленькая камера открывается на свету без тёмной комнаты.</t>
        </is>
      </c>
      <c r="V68" s="45" t="inlineStr">
        <is>
          <t>#PL007 #daylight-loading #roll-film #Kodak</t>
        </is>
      </c>
      <c r="W68" s="45" t="n"/>
      <c r="X68" s="45" t="inlineStr">
        <is>
          <t>43.1566, -77.6088</t>
        </is>
      </c>
      <c r="Y68" s="45" t="inlineStr">
        <is>
          <t>Рулонная плёнка / дневная перезарядка</t>
        </is>
      </c>
      <c r="Z68" s="45" t="inlineStr">
        <is>
          <t>Технология / процесс</t>
        </is>
      </c>
      <c r="AA68" s="45" t="n"/>
    </row>
    <row r="69" ht="12.75" customHeight="1" s="38">
      <c r="A69" s="45" t="inlineStr">
        <is>
          <t>PL-HIST-0068</t>
        </is>
      </c>
      <c r="B69" s="45" t="inlineStr">
        <is>
          <t>1900</t>
        </is>
      </c>
      <c r="C69" s="45" t="inlineStr">
        <is>
          <t>год</t>
        </is>
      </c>
      <c r="D69" s="45" t="inlineStr">
        <is>
          <t>США</t>
        </is>
      </c>
      <c r="E69" s="45" t="inlineStr">
        <is>
          <t>Рочестер, Нью-Йорк</t>
        </is>
      </c>
      <c r="F69" s="45" t="inlineStr">
        <is>
          <t>Eastman Kodak / Brownie</t>
        </is>
      </c>
      <c r="G69" s="45" t="inlineStr">
        <is>
          <t>Камера Brownie делает рулонную фотографию ещё более дешёвой и доступной для массового пользователя.</t>
        </is>
      </c>
      <c r="H69" s="45" t="inlineStr">
        <is>
          <t>Негатив-позитив</t>
        </is>
      </c>
      <c r="I69" s="45" t="inlineStr">
        <is>
          <t>Kodak Brownie / mass snapshot photography</t>
        </is>
      </c>
      <c r="J69" s="45" t="inlineStr">
        <is>
          <t>Идея Kodak доводится до массового уровня: фотография становится повседневным занятием и семейной практикой.</t>
        </is>
      </c>
      <c r="K69" s="45" t="inlineStr">
        <is>
          <t>Kodak camera 1888 and roll-film service model</t>
        </is>
      </c>
      <c r="L69" s="45" t="inlineStr">
        <is>
          <t>PL-008: массовая любительская фотография, snapshot-культура и Brownie как социальный перелом</t>
        </is>
      </c>
      <c r="M69" s="45" t="inlineStr">
        <is>
          <t>Связь / переход</t>
        </is>
      </c>
      <c r="N69" s="45" t="n">
        <v>4</v>
      </c>
      <c r="O69" s="45" t="inlineStr">
        <is>
          <t>PL-007</t>
        </is>
      </c>
      <c r="P69" s="45" t="inlineStr">
        <is>
          <t>SRC-043</t>
        </is>
      </c>
      <c r="Q69" s="45" t="inlineStr">
        <is>
          <t>National Science and Media Museum — Kodak Gallery</t>
        </is>
      </c>
      <c r="R69" s="45" t="inlineStr">
        <is>
          <t>https://www.scienceandmediamuseum.org.uk/whats-on/kodak-gallery</t>
        </is>
      </c>
      <c r="S69" s="45" t="n">
        <v>5</v>
      </c>
      <c r="T69" s="45" t="inlineStr">
        <is>
          <t>Это мост к следующему уроку: Kodak сделал фотографию проще, Brownie сделает её по-настоящему массовой.</t>
        </is>
      </c>
      <c r="U69" s="45" t="inlineStr">
        <is>
          <t>От Kodak 1888 линия идёт к дешёвой коробочной камере Brownie и семейным снимкам.</t>
        </is>
      </c>
      <c r="V69" s="45" t="inlineStr">
        <is>
          <t>#PL007 #Brownie #snapshot #mass-photography #future-PL</t>
        </is>
      </c>
      <c r="W69" s="45" t="inlineStr">
        <is>
          <t>Решить позже: Brownie оставить как мост в PL-007 или вынести главным узлом PL-008.</t>
        </is>
      </c>
      <c r="X69" s="45" t="inlineStr">
        <is>
          <t>43.1566, -77.6088</t>
        </is>
      </c>
      <c r="Y69" s="45" t="inlineStr">
        <is>
          <t>Рулонная плёнка / массовая фотография</t>
        </is>
      </c>
      <c r="Z69" s="45" t="inlineStr">
        <is>
          <t>Связь / переход</t>
        </is>
      </c>
      <c r="AA69" s="45" t="n"/>
    </row>
    <row r="70" ht="12.75" customHeight="1" s="38">
      <c r="Z70" s="37" t="n"/>
    </row>
    <row r="71" ht="12.75" customHeight="1" s="38">
      <c r="Z71" s="37" t="n"/>
    </row>
    <row r="72" ht="12.75" customHeight="1" s="38">
      <c r="Z72" s="37" t="n"/>
    </row>
    <row r="73" ht="12.75" customHeight="1" s="38">
      <c r="Z73" s="37" t="n"/>
    </row>
    <row r="74" ht="12.75" customHeight="1" s="38">
      <c r="Z74" s="37" t="n"/>
    </row>
    <row r="75" ht="12.75" customHeight="1" s="38">
      <c r="Z75" s="37" t="n"/>
    </row>
    <row r="76" ht="12.75" customHeight="1" s="38">
      <c r="Z76" s="37" t="n"/>
    </row>
    <row r="77" ht="12.75" customHeight="1" s="38">
      <c r="Z77" s="37" t="n"/>
    </row>
    <row r="78" ht="12.75" customHeight="1" s="38">
      <c r="Z78" s="37" t="n"/>
    </row>
    <row r="79" ht="12.75" customHeight="1" s="38">
      <c r="Z79" s="37" t="n"/>
    </row>
    <row r="80" ht="12.75" customHeight="1" s="38">
      <c r="Z80" s="37" t="n"/>
    </row>
    <row r="81" ht="12.75" customHeight="1" s="38">
      <c r="Z81" s="37" t="n"/>
    </row>
    <row r="82" ht="12.75" customHeight="1" s="38">
      <c r="Z82" s="37" t="n"/>
    </row>
    <row r="83" ht="12.75" customHeight="1" s="38">
      <c r="Z83" s="37" t="n"/>
    </row>
    <row r="84" ht="12.75" customHeight="1" s="38">
      <c r="Z84" s="37" t="n"/>
    </row>
    <row r="85" ht="12.75" customHeight="1" s="38">
      <c r="Z85" s="37" t="n"/>
    </row>
    <row r="86" ht="12.75" customHeight="1" s="38">
      <c r="Z86" s="37" t="n"/>
    </row>
    <row r="87" ht="12.75" customHeight="1" s="38">
      <c r="Z87" s="37" t="n"/>
    </row>
    <row r="88" ht="12.75" customHeight="1" s="38">
      <c r="Z88" s="37" t="n"/>
    </row>
    <row r="89" ht="12.75" customHeight="1" s="38">
      <c r="Z89" s="37" t="n"/>
    </row>
    <row r="90" ht="12.75" customHeight="1" s="38">
      <c r="Z90" s="37" t="n"/>
    </row>
    <row r="91" ht="12.75" customHeight="1" s="38">
      <c r="Z91" s="37" t="n"/>
    </row>
    <row r="92" ht="12.75" customHeight="1" s="38">
      <c r="Z92" s="37" t="n"/>
    </row>
    <row r="93" ht="12.75" customHeight="1" s="38">
      <c r="Z93" s="37" t="n"/>
    </row>
    <row r="94" ht="12.75" customHeight="1" s="38">
      <c r="Z94" s="37" t="n"/>
    </row>
    <row r="95" ht="12.75" customHeight="1" s="38">
      <c r="Z95" s="37" t="n"/>
    </row>
    <row r="96" ht="12.75" customHeight="1" s="38">
      <c r="Z96" s="37" t="n"/>
    </row>
    <row r="97" ht="12.75" customHeight="1" s="38">
      <c r="Z97" s="37" t="n"/>
    </row>
    <row r="98" ht="12.75" customHeight="1" s="38">
      <c r="Z98" s="37" t="n"/>
    </row>
    <row r="99" ht="12.75" customHeight="1" s="38">
      <c r="Z99" s="37" t="n"/>
    </row>
    <row r="100" ht="12.75" customHeight="1" s="38">
      <c r="Z100" s="37" t="n"/>
    </row>
    <row r="101" ht="12.75" customHeight="1" s="38">
      <c r="Z101" s="37" t="n"/>
    </row>
    <row r="102" ht="12.75" customHeight="1" s="38">
      <c r="Z102" s="37" t="n"/>
    </row>
    <row r="103" ht="12.75" customHeight="1" s="38">
      <c r="Z103" s="37" t="n"/>
    </row>
    <row r="104" ht="12.75" customHeight="1" s="38">
      <c r="Z104" s="37" t="n"/>
    </row>
    <row r="105" ht="12.75" customHeight="1" s="38">
      <c r="Z105" s="37" t="n"/>
    </row>
    <row r="106" ht="12.75" customHeight="1" s="38">
      <c r="Z106" s="37" t="n"/>
    </row>
    <row r="107" ht="12.75" customHeight="1" s="38">
      <c r="Z107" s="37" t="n"/>
    </row>
    <row r="108" ht="12.75" customHeight="1" s="38">
      <c r="Z108" s="37" t="n"/>
    </row>
    <row r="109" ht="12.75" customHeight="1" s="38">
      <c r="Z109" s="37" t="n"/>
    </row>
    <row r="110" ht="12.75" customHeight="1" s="38">
      <c r="Z110" s="37" t="n"/>
    </row>
    <row r="111" ht="12.75" customHeight="1" s="38">
      <c r="Z111" s="37" t="n"/>
    </row>
    <row r="112" ht="12.75" customHeight="1" s="38">
      <c r="Z112" s="37" t="n"/>
    </row>
    <row r="113" ht="12.75" customHeight="1" s="38">
      <c r="Z113" s="37" t="n"/>
    </row>
    <row r="114" ht="12.75" customHeight="1" s="38">
      <c r="Z114" s="37" t="n"/>
    </row>
    <row r="115" ht="12.75" customHeight="1" s="38">
      <c r="Z115" s="37" t="n"/>
    </row>
    <row r="116" ht="12.75" customHeight="1" s="38">
      <c r="Z116" s="37" t="n"/>
    </row>
    <row r="117" ht="12.75" customHeight="1" s="38">
      <c r="Z117" s="37" t="n"/>
    </row>
    <row r="118" ht="12.75" customHeight="1" s="38">
      <c r="Z118" s="37" t="n"/>
    </row>
    <row r="119" ht="12.75" customHeight="1" s="38">
      <c r="Z119" s="37" t="n"/>
    </row>
    <row r="120" ht="12.75" customHeight="1" s="38">
      <c r="Z120" s="37" t="n"/>
    </row>
    <row r="121" ht="12.75" customHeight="1" s="38">
      <c r="Z121" s="37" t="n"/>
    </row>
    <row r="122" ht="12.75" customHeight="1" s="38">
      <c r="Z122" s="37" t="n"/>
    </row>
    <row r="123" ht="12.75" customHeight="1" s="38">
      <c r="Z123" s="37" t="n"/>
    </row>
    <row r="124" ht="12.75" customHeight="1" s="38">
      <c r="Z124" s="37" t="n"/>
    </row>
    <row r="125" ht="12.75" customHeight="1" s="38">
      <c r="Z125" s="37" t="n"/>
    </row>
    <row r="126" ht="12.75" customHeight="1" s="38">
      <c r="Z126" s="37" t="n"/>
    </row>
    <row r="127" ht="12.75" customHeight="1" s="38">
      <c r="Z127" s="37" t="n"/>
    </row>
    <row r="128" ht="12.75" customHeight="1" s="38">
      <c r="Z128" s="37" t="n"/>
    </row>
    <row r="129" ht="12.75" customHeight="1" s="38">
      <c r="Z129" s="37" t="n"/>
    </row>
    <row r="130" ht="12.75" customHeight="1" s="38">
      <c r="Z130" s="37" t="n"/>
    </row>
    <row r="131" ht="12.75" customHeight="1" s="38">
      <c r="Z131" s="37" t="n"/>
    </row>
    <row r="132" ht="12.75" customHeight="1" s="38">
      <c r="Z132" s="37" t="n"/>
    </row>
    <row r="133" ht="12.75" customHeight="1" s="38">
      <c r="Z133" s="37" t="n"/>
    </row>
    <row r="134" ht="12.75" customHeight="1" s="38">
      <c r="Z134" s="37" t="n"/>
    </row>
    <row r="135" ht="12.75" customHeight="1" s="38">
      <c r="Z135" s="37" t="n"/>
    </row>
    <row r="136" ht="12.75" customHeight="1" s="38">
      <c r="Z136" s="37" t="n"/>
    </row>
    <row r="137" ht="12.75" customHeight="1" s="38">
      <c r="Z137" s="37" t="n"/>
    </row>
    <row r="138" ht="12.75" customHeight="1" s="38">
      <c r="Z138" s="37" t="n"/>
    </row>
    <row r="139" ht="12.75" customHeight="1" s="38">
      <c r="Z139" s="37" t="n"/>
    </row>
    <row r="140" ht="12.75" customHeight="1" s="38">
      <c r="Z140" s="37" t="n"/>
    </row>
    <row r="141" ht="12.75" customHeight="1" s="38">
      <c r="Z141" s="37" t="n"/>
    </row>
    <row r="142" ht="12.75" customHeight="1" s="38">
      <c r="Z142" s="37" t="n"/>
    </row>
    <row r="143" ht="12.75" customHeight="1" s="38">
      <c r="Z143" s="37" t="n"/>
    </row>
    <row r="144" ht="12.75" customHeight="1" s="38">
      <c r="Z144" s="37" t="n"/>
    </row>
    <row r="145" ht="12.75" customHeight="1" s="38">
      <c r="Z145" s="37" t="n"/>
    </row>
    <row r="146" ht="12.75" customHeight="1" s="38">
      <c r="Z146" s="37" t="n"/>
    </row>
    <row r="147" ht="12.75" customHeight="1" s="38">
      <c r="Z147" s="37" t="n"/>
    </row>
    <row r="148" ht="12.75" customHeight="1" s="38">
      <c r="Z148" s="37" t="n"/>
    </row>
    <row r="149" ht="12.75" customHeight="1" s="38">
      <c r="Z149" s="37" t="n"/>
    </row>
    <row r="150" ht="12.75" customHeight="1" s="38">
      <c r="Z150" s="37" t="n"/>
    </row>
    <row r="151" ht="12.75" customHeight="1" s="38">
      <c r="Z151" s="37" t="n"/>
    </row>
    <row r="152" ht="12.75" customHeight="1" s="38">
      <c r="Z152" s="37" t="n"/>
    </row>
    <row r="153" ht="12.75" customHeight="1" s="38">
      <c r="Z153" s="37" t="n"/>
    </row>
    <row r="154" ht="12.75" customHeight="1" s="38">
      <c r="Z154" s="37" t="n"/>
    </row>
    <row r="155" ht="12.75" customHeight="1" s="38">
      <c r="Z155" s="37" t="n"/>
    </row>
    <row r="156" ht="12.75" customHeight="1" s="38">
      <c r="Z156" s="37" t="n"/>
    </row>
    <row r="157" ht="12.75" customHeight="1" s="38">
      <c r="Z157" s="37" t="n"/>
    </row>
    <row r="158" ht="12.75" customHeight="1" s="38">
      <c r="Z158" s="37" t="n"/>
    </row>
    <row r="159" ht="12.75" customHeight="1" s="38">
      <c r="Z159" s="37" t="n"/>
    </row>
    <row r="160" ht="12.75" customHeight="1" s="38">
      <c r="Z160" s="37" t="n"/>
    </row>
    <row r="161" ht="12.75" customHeight="1" s="38">
      <c r="Z161" s="37" t="n"/>
    </row>
    <row r="162" ht="12.75" customHeight="1" s="38">
      <c r="Z162" s="37" t="n"/>
    </row>
    <row r="163" ht="12.75" customHeight="1" s="38">
      <c r="Z163" s="37" t="n"/>
    </row>
    <row r="164" ht="12.75" customHeight="1" s="38">
      <c r="Z164" s="37" t="n"/>
    </row>
    <row r="165" ht="12.75" customHeight="1" s="38">
      <c r="Z165" s="37" t="n"/>
    </row>
    <row r="166" ht="12.75" customHeight="1" s="38">
      <c r="Z166" s="37" t="n"/>
    </row>
    <row r="167" ht="12.75" customHeight="1" s="38">
      <c r="Z167" s="37" t="n"/>
    </row>
    <row r="168" ht="12.75" customHeight="1" s="38">
      <c r="Z168" s="37" t="n"/>
    </row>
    <row r="169" ht="12.75" customHeight="1" s="38">
      <c r="Z169" s="37" t="n"/>
    </row>
    <row r="170" ht="12.75" customHeight="1" s="38">
      <c r="Z170" s="37" t="n"/>
    </row>
    <row r="171" ht="12.75" customHeight="1" s="38">
      <c r="Z171" s="37" t="n"/>
    </row>
    <row r="172" ht="12.75" customHeight="1" s="38">
      <c r="Z172" s="37" t="n"/>
    </row>
    <row r="173" ht="12.75" customHeight="1" s="38">
      <c r="Z173" s="37" t="n"/>
    </row>
    <row r="174" ht="12.75" customHeight="1" s="38">
      <c r="Z174" s="37" t="n"/>
    </row>
    <row r="175" ht="12.75" customHeight="1" s="38">
      <c r="Z175" s="37" t="n"/>
    </row>
    <row r="176" ht="12.75" customHeight="1" s="38">
      <c r="Z176" s="37" t="n"/>
    </row>
    <row r="177" ht="12.75" customHeight="1" s="38">
      <c r="Z177" s="37" t="n"/>
    </row>
    <row r="178" ht="12.75" customHeight="1" s="38">
      <c r="Z178" s="37" t="n"/>
    </row>
    <row r="179" ht="12.75" customHeight="1" s="38">
      <c r="Z179" s="37" t="n"/>
    </row>
    <row r="180" ht="12.75" customHeight="1" s="38">
      <c r="Z180" s="37" t="n"/>
    </row>
    <row r="181" ht="12.75" customHeight="1" s="38">
      <c r="Z181" s="37" t="n"/>
    </row>
    <row r="182" ht="12.75" customHeight="1" s="38">
      <c r="Z182" s="37" t="n"/>
    </row>
    <row r="183" ht="12.75" customHeight="1" s="38">
      <c r="Z183" s="37" t="n"/>
    </row>
    <row r="184" ht="12.75" customHeight="1" s="38">
      <c r="Z184" s="37" t="n"/>
    </row>
    <row r="185" ht="12.75" customHeight="1" s="38">
      <c r="Z185" s="37" t="n"/>
    </row>
    <row r="186" ht="12.75" customHeight="1" s="38">
      <c r="Z186" s="37" t="n"/>
    </row>
    <row r="187" ht="12.75" customHeight="1" s="38">
      <c r="Z187" s="37" t="n"/>
    </row>
    <row r="188" ht="12.75" customHeight="1" s="38">
      <c r="Z188" s="37" t="n"/>
    </row>
    <row r="189" ht="12.75" customHeight="1" s="38">
      <c r="Z189" s="37" t="n"/>
    </row>
    <row r="190" ht="12.75" customHeight="1" s="38">
      <c r="Z190" s="37" t="n"/>
    </row>
    <row r="191" ht="12.75" customHeight="1" s="38">
      <c r="Z191" s="37" t="n"/>
    </row>
    <row r="192" ht="12.75" customHeight="1" s="38">
      <c r="Z192" s="37" t="n"/>
    </row>
    <row r="193" ht="12.75" customHeight="1" s="38">
      <c r="Z193" s="37" t="n"/>
    </row>
    <row r="194" ht="12.75" customHeight="1" s="38">
      <c r="Z194" s="37" t="n"/>
    </row>
    <row r="195" ht="12.75" customHeight="1" s="38">
      <c r="Z195" s="37" t="n"/>
    </row>
    <row r="196" ht="12.75" customHeight="1" s="38">
      <c r="Z196" s="37" t="n"/>
    </row>
    <row r="197" ht="12.75" customHeight="1" s="38">
      <c r="Z197" s="37" t="n"/>
    </row>
    <row r="198" ht="12.75" customHeight="1" s="38">
      <c r="Z198" s="37" t="n"/>
    </row>
    <row r="199" ht="12.75" customHeight="1" s="38">
      <c r="Z199" s="37" t="n"/>
    </row>
    <row r="200" ht="12.75" customHeight="1" s="38">
      <c r="Z200" s="37" t="n"/>
    </row>
    <row r="201" ht="12.75" customHeight="1" s="38">
      <c r="Z201" s="37" t="n"/>
    </row>
    <row r="202" ht="12.75" customHeight="1" s="38">
      <c r="Z202" s="37" t="n"/>
    </row>
    <row r="203" ht="12.75" customHeight="1" s="38">
      <c r="Z203" s="37" t="n"/>
    </row>
    <row r="204" ht="12.75" customHeight="1" s="38">
      <c r="Z204" s="37" t="n"/>
    </row>
    <row r="205" ht="12.75" customHeight="1" s="38">
      <c r="Z205" s="37" t="n"/>
    </row>
    <row r="206" ht="12.75" customHeight="1" s="38">
      <c r="Z206" s="37" t="n"/>
    </row>
    <row r="207" ht="12.75" customHeight="1" s="38">
      <c r="Z207" s="37" t="n"/>
    </row>
    <row r="208" ht="12.75" customHeight="1" s="38">
      <c r="Z208" s="37" t="n"/>
    </row>
    <row r="209" ht="12.75" customHeight="1" s="38">
      <c r="Z209" s="37" t="n"/>
    </row>
    <row r="210" ht="12.75" customHeight="1" s="38">
      <c r="Z210" s="37" t="n"/>
    </row>
    <row r="211" ht="12.75" customHeight="1" s="38">
      <c r="Z211" s="37" t="n"/>
    </row>
    <row r="212" ht="12.75" customHeight="1" s="38">
      <c r="Z212" s="37" t="n"/>
    </row>
    <row r="213" ht="12.75" customHeight="1" s="38">
      <c r="Z213" s="37" t="n"/>
    </row>
    <row r="214" ht="12.75" customHeight="1" s="38">
      <c r="Z214" s="37" t="n"/>
    </row>
    <row r="215" ht="12.75" customHeight="1" s="38">
      <c r="Z215" s="37" t="n"/>
    </row>
    <row r="216" ht="12.75" customHeight="1" s="38">
      <c r="Z216" s="37" t="n"/>
    </row>
    <row r="217" ht="12.75" customHeight="1" s="38">
      <c r="Z217" s="37" t="n"/>
    </row>
    <row r="218" ht="12.75" customHeight="1" s="38">
      <c r="Z218" s="37" t="n"/>
    </row>
    <row r="219" ht="12.75" customHeight="1" s="38">
      <c r="Z219" s="37" t="n"/>
    </row>
    <row r="220" ht="12.75" customHeight="1" s="38">
      <c r="Z220" s="37" t="n"/>
    </row>
    <row r="221" ht="12.75" customHeight="1" s="38">
      <c r="Z221" s="37" t="n"/>
    </row>
    <row r="222" ht="12.75" customHeight="1" s="38">
      <c r="Z222" s="37" t="n"/>
    </row>
    <row r="223" ht="12.75" customHeight="1" s="38">
      <c r="Z223" s="37" t="n"/>
    </row>
    <row r="224" ht="12.75" customHeight="1" s="38">
      <c r="Z224" s="37" t="n"/>
    </row>
    <row r="225" ht="12.75" customHeight="1" s="38">
      <c r="Z225" s="37" t="n"/>
    </row>
    <row r="226" ht="12.75" customHeight="1" s="38">
      <c r="Z226" s="37" t="n"/>
    </row>
    <row r="227" ht="12.75" customHeight="1" s="38">
      <c r="Z227" s="37" t="n"/>
    </row>
    <row r="228" ht="12.75" customHeight="1" s="38">
      <c r="Z228" s="37" t="n"/>
    </row>
    <row r="229" ht="12.75" customHeight="1" s="38">
      <c r="Z229" s="37" t="n"/>
    </row>
    <row r="230" ht="12.75" customHeight="1" s="38">
      <c r="Z230" s="37" t="n"/>
    </row>
    <row r="231" ht="12.75" customHeight="1" s="38">
      <c r="Z231" s="37" t="n"/>
    </row>
    <row r="232" ht="12.75" customHeight="1" s="38">
      <c r="Z232" s="37" t="n"/>
    </row>
    <row r="233" ht="12.75" customHeight="1" s="38">
      <c r="Z233" s="37" t="n"/>
    </row>
    <row r="234" ht="12.75" customHeight="1" s="38">
      <c r="Z234" s="37" t="n"/>
    </row>
    <row r="235" ht="12.75" customHeight="1" s="38">
      <c r="Z235" s="37" t="n"/>
    </row>
    <row r="236" ht="12.75" customHeight="1" s="38">
      <c r="Z236" s="37" t="n"/>
    </row>
    <row r="237" ht="12.75" customHeight="1" s="38">
      <c r="Z237" s="37" t="n"/>
    </row>
    <row r="238" ht="12.75" customHeight="1" s="38">
      <c r="Z238" s="37" t="n"/>
    </row>
    <row r="239" ht="12.75" customHeight="1" s="38">
      <c r="Z239" s="37" t="n"/>
    </row>
    <row r="240" ht="12.75" customHeight="1" s="38">
      <c r="Z240" s="37" t="n"/>
    </row>
    <row r="241" ht="12.75" customHeight="1" s="38">
      <c r="Z241" s="37" t="n"/>
    </row>
    <row r="242" ht="12.75" customHeight="1" s="38">
      <c r="Z242" s="37" t="n"/>
    </row>
    <row r="243" ht="12.75" customHeight="1" s="38">
      <c r="Z243" s="37" t="n"/>
    </row>
    <row r="244" ht="12.75" customHeight="1" s="38">
      <c r="Z244" s="37" t="n"/>
    </row>
    <row r="245" ht="12.75" customHeight="1" s="38">
      <c r="Z245" s="37" t="n"/>
    </row>
    <row r="246" ht="12.75" customHeight="1" s="38">
      <c r="Z246" s="37" t="n"/>
    </row>
    <row r="247" ht="12.75" customHeight="1" s="38">
      <c r="Z247" s="37" t="n"/>
    </row>
    <row r="248" ht="12.75" customHeight="1" s="38">
      <c r="Z248" s="37" t="n"/>
    </row>
    <row r="249" ht="12.75" customHeight="1" s="38">
      <c r="Z249" s="37" t="n"/>
    </row>
    <row r="250" ht="12.75" customHeight="1" s="38">
      <c r="Z250" s="37" t="n"/>
    </row>
    <row r="251" ht="12.75" customHeight="1" s="38">
      <c r="Z251" s="37" t="n"/>
    </row>
    <row r="252" ht="12.75" customHeight="1" s="38">
      <c r="Z252" s="37" t="n"/>
    </row>
    <row r="253" ht="12.75" customHeight="1" s="38">
      <c r="Z253" s="37" t="n"/>
    </row>
    <row r="254" ht="12.75" customHeight="1" s="38">
      <c r="Z254" s="37" t="n"/>
    </row>
    <row r="255" ht="12.75" customHeight="1" s="38">
      <c r="Z255" s="37" t="n"/>
    </row>
    <row r="256" ht="12.75" customHeight="1" s="38">
      <c r="Z256" s="37" t="n"/>
    </row>
    <row r="257" ht="12.75" customHeight="1" s="38">
      <c r="Z257" s="37" t="n"/>
    </row>
    <row r="258" ht="12.75" customHeight="1" s="38">
      <c r="Z258" s="37" t="n"/>
    </row>
    <row r="259" ht="12.75" customHeight="1" s="38">
      <c r="Z259" s="37" t="n"/>
    </row>
    <row r="260" ht="12.75" customHeight="1" s="38">
      <c r="Z260" s="37" t="n"/>
    </row>
    <row r="261" ht="12.75" customHeight="1" s="38">
      <c r="Z261" s="37" t="n"/>
    </row>
    <row r="262" ht="12.75" customHeight="1" s="38">
      <c r="Z262" s="37" t="n"/>
    </row>
    <row r="263" ht="12.75" customHeight="1" s="38">
      <c r="Z263" s="37" t="n"/>
    </row>
    <row r="264" ht="12.75" customHeight="1" s="38">
      <c r="Z264" s="37" t="n"/>
    </row>
    <row r="265" ht="12.75" customHeight="1" s="38">
      <c r="Z265" s="37" t="n"/>
    </row>
    <row r="266" ht="12.75" customHeight="1" s="38">
      <c r="Z266" s="37" t="n"/>
    </row>
    <row r="267" ht="12.75" customHeight="1" s="38">
      <c r="Z267" s="37" t="n"/>
    </row>
    <row r="268" ht="12.75" customHeight="1" s="38">
      <c r="Z268" s="37" t="n"/>
    </row>
    <row r="269" ht="12.75" customHeight="1" s="38">
      <c r="Z269" s="37" t="n"/>
    </row>
    <row r="270" ht="12.75" customHeight="1" s="38">
      <c r="Z270" s="37" t="n"/>
    </row>
    <row r="271" ht="12.75" customHeight="1" s="38">
      <c r="Z271" s="37" t="n"/>
    </row>
    <row r="272" ht="12.75" customHeight="1" s="38">
      <c r="Z272" s="37" t="n"/>
    </row>
    <row r="273" ht="12.75" customHeight="1" s="38">
      <c r="Z273" s="37" t="n"/>
    </row>
    <row r="274" ht="12.75" customHeight="1" s="38">
      <c r="Z274" s="37" t="n"/>
    </row>
    <row r="275" ht="12.75" customHeight="1" s="38">
      <c r="Z275" s="37" t="n"/>
    </row>
    <row r="276" ht="12.75" customHeight="1" s="38">
      <c r="Z276" s="37" t="n"/>
    </row>
    <row r="277" ht="12.75" customHeight="1" s="38">
      <c r="Z277" s="37" t="n"/>
    </row>
    <row r="278" ht="12.75" customHeight="1" s="38">
      <c r="Z278" s="37" t="n"/>
    </row>
    <row r="279" ht="12.75" customHeight="1" s="38">
      <c r="Z279" s="37" t="n"/>
    </row>
    <row r="280" ht="12.75" customHeight="1" s="38">
      <c r="Z280" s="37" t="n"/>
    </row>
    <row r="281" ht="12.75" customHeight="1" s="38">
      <c r="Z281" s="37" t="n"/>
    </row>
    <row r="282" ht="12.75" customHeight="1" s="38">
      <c r="Z282" s="37" t="n"/>
    </row>
    <row r="283" ht="12.75" customHeight="1" s="38">
      <c r="Z283" s="37" t="n"/>
    </row>
    <row r="284" ht="12.75" customHeight="1" s="38">
      <c r="Z284" s="37" t="n"/>
    </row>
    <row r="285" ht="12.75" customHeight="1" s="38">
      <c r="Z285" s="37" t="n"/>
    </row>
    <row r="286" ht="12.75" customHeight="1" s="38">
      <c r="Z286" s="37" t="n"/>
    </row>
    <row r="287" ht="12.75" customHeight="1" s="38">
      <c r="Z287" s="37" t="n"/>
    </row>
    <row r="288" ht="12.75" customHeight="1" s="38">
      <c r="Z288" s="37" t="n"/>
    </row>
    <row r="289" ht="12.75" customHeight="1" s="38">
      <c r="Z289" s="37" t="n"/>
    </row>
    <row r="290" ht="12.75" customHeight="1" s="38">
      <c r="Z290" s="37" t="n"/>
    </row>
    <row r="291" ht="12.75" customHeight="1" s="38">
      <c r="Z291" s="37" t="n"/>
    </row>
    <row r="292" ht="12.75" customHeight="1" s="38">
      <c r="Z292" s="37" t="n"/>
    </row>
    <row r="293" ht="12.75" customHeight="1" s="38">
      <c r="Z293" s="37" t="n"/>
    </row>
    <row r="294" ht="12.75" customHeight="1" s="38">
      <c r="Z294" s="37" t="n"/>
    </row>
    <row r="295" ht="12.75" customHeight="1" s="38">
      <c r="Z295" s="37" t="n"/>
    </row>
    <row r="296" ht="12.75" customHeight="1" s="38">
      <c r="Z296" s="37" t="n"/>
    </row>
    <row r="297" ht="12.75" customHeight="1" s="38">
      <c r="Z297" s="37" t="n"/>
    </row>
    <row r="298" ht="12.75" customHeight="1" s="38">
      <c r="Z298" s="37" t="n"/>
    </row>
    <row r="299" ht="12.75" customHeight="1" s="38">
      <c r="Z299" s="37" t="n"/>
    </row>
    <row r="300" ht="12.75" customHeight="1" s="38">
      <c r="Z300" s="37" t="n"/>
    </row>
    <row r="301" ht="12.75" customHeight="1" s="38">
      <c r="Z301" s="37" t="n"/>
    </row>
    <row r="302" ht="12.75" customHeight="1" s="38">
      <c r="Z302" s="37" t="n"/>
    </row>
    <row r="303" ht="12.75" customHeight="1" s="38">
      <c r="Z303" s="37" t="n"/>
    </row>
    <row r="304" ht="12.75" customHeight="1" s="38">
      <c r="Z304" s="37" t="n"/>
    </row>
    <row r="305" ht="12.75" customHeight="1" s="38">
      <c r="Z305" s="37" t="n"/>
    </row>
    <row r="306" ht="12.75" customHeight="1" s="38">
      <c r="Z306" s="37" t="n"/>
    </row>
    <row r="307" ht="12.75" customHeight="1" s="38">
      <c r="Z307" s="37" t="n"/>
    </row>
    <row r="308" ht="12.75" customHeight="1" s="38">
      <c r="Z308" s="37" t="n"/>
    </row>
    <row r="309" ht="12.75" customHeight="1" s="38">
      <c r="Z309" s="37" t="n"/>
    </row>
    <row r="310" ht="12.75" customHeight="1" s="38">
      <c r="Z310" s="37" t="n"/>
    </row>
    <row r="311" ht="12.75" customHeight="1" s="38">
      <c r="Z311" s="37" t="n"/>
    </row>
    <row r="312" ht="12.75" customHeight="1" s="38">
      <c r="Z312" s="37" t="n"/>
    </row>
    <row r="313" ht="12.75" customHeight="1" s="38">
      <c r="Z313" s="37" t="n"/>
    </row>
    <row r="314" ht="12.75" customHeight="1" s="38">
      <c r="Z314" s="37" t="n"/>
    </row>
    <row r="315" ht="12.75" customHeight="1" s="38">
      <c r="Z315" s="37" t="n"/>
    </row>
    <row r="316" ht="12.75" customHeight="1" s="38">
      <c r="Z316" s="37" t="n"/>
    </row>
    <row r="317" ht="12.75" customHeight="1" s="38">
      <c r="Z317" s="37" t="n"/>
    </row>
    <row r="318" ht="12.75" customHeight="1" s="38">
      <c r="Z318" s="37" t="n"/>
    </row>
    <row r="319" ht="12.75" customHeight="1" s="38">
      <c r="Z319" s="37" t="n"/>
    </row>
    <row r="320" ht="12.75" customHeight="1" s="38">
      <c r="Z320" s="37" t="n"/>
    </row>
    <row r="321" ht="12.75" customHeight="1" s="38">
      <c r="Z321" s="37" t="n"/>
    </row>
    <row r="322" ht="12.75" customHeight="1" s="38">
      <c r="Z322" s="37" t="n"/>
    </row>
    <row r="323" ht="12.75" customHeight="1" s="38">
      <c r="Z323" s="37" t="n"/>
    </row>
    <row r="324" ht="12.75" customHeight="1" s="38">
      <c r="Z324" s="37" t="n"/>
    </row>
    <row r="325" ht="12.75" customHeight="1" s="38">
      <c r="Z325" s="37" t="n"/>
    </row>
    <row r="326" ht="12.75" customHeight="1" s="38">
      <c r="Z326" s="37" t="n"/>
    </row>
    <row r="327" ht="12.75" customHeight="1" s="38">
      <c r="Z327" s="37" t="n"/>
    </row>
    <row r="328" ht="12.75" customHeight="1" s="38">
      <c r="Z328" s="37" t="n"/>
    </row>
    <row r="329" ht="12.75" customHeight="1" s="38">
      <c r="Z329" s="37" t="n"/>
    </row>
    <row r="330" ht="12.75" customHeight="1" s="38">
      <c r="Z330" s="37" t="n"/>
    </row>
    <row r="331" ht="12.75" customHeight="1" s="38">
      <c r="Z331" s="37" t="n"/>
    </row>
    <row r="332" ht="12.75" customHeight="1" s="38">
      <c r="Z332" s="37" t="n"/>
    </row>
    <row r="333" ht="12.75" customHeight="1" s="38">
      <c r="Z333" s="37" t="n"/>
    </row>
    <row r="334" ht="12.75" customHeight="1" s="38">
      <c r="Z334" s="37" t="n"/>
    </row>
    <row r="335" ht="12.75" customHeight="1" s="38">
      <c r="Z335" s="37" t="n"/>
    </row>
    <row r="336" ht="12.75" customHeight="1" s="38">
      <c r="Z336" s="37" t="n"/>
    </row>
    <row r="337" ht="12.75" customHeight="1" s="38">
      <c r="Z337" s="37" t="n"/>
    </row>
    <row r="338" ht="12.75" customHeight="1" s="38">
      <c r="Z338" s="37" t="n"/>
    </row>
    <row r="339" ht="12.75" customHeight="1" s="38">
      <c r="Z339" s="37" t="n"/>
    </row>
    <row r="340" ht="12.75" customHeight="1" s="38">
      <c r="Z340" s="37" t="n"/>
    </row>
    <row r="341" ht="12.75" customHeight="1" s="38">
      <c r="Z341" s="37" t="n"/>
    </row>
    <row r="342" ht="12.75" customHeight="1" s="38">
      <c r="Z342" s="37" t="n"/>
    </row>
    <row r="343" ht="12.75" customHeight="1" s="38">
      <c r="Z343" s="37" t="n"/>
    </row>
    <row r="344" ht="12.75" customHeight="1" s="38">
      <c r="Z344" s="37" t="n"/>
    </row>
    <row r="345" ht="12.75" customHeight="1" s="38">
      <c r="Z345" s="37" t="n"/>
    </row>
    <row r="346" ht="12.75" customHeight="1" s="38">
      <c r="Z346" s="37" t="n"/>
    </row>
    <row r="347" ht="12.75" customHeight="1" s="38">
      <c r="Z347" s="37" t="n"/>
    </row>
    <row r="348" ht="12.75" customHeight="1" s="38">
      <c r="Z348" s="37" t="n"/>
    </row>
    <row r="349" ht="12.75" customHeight="1" s="38">
      <c r="Z349" s="37" t="n"/>
    </row>
    <row r="350" ht="12.75" customHeight="1" s="38">
      <c r="Z350" s="37" t="n"/>
    </row>
    <row r="351" ht="12.75" customHeight="1" s="38">
      <c r="Z351" s="37" t="n"/>
    </row>
    <row r="352" ht="12.75" customHeight="1" s="38">
      <c r="Z352" s="37" t="n"/>
    </row>
    <row r="353" ht="12.75" customHeight="1" s="38">
      <c r="Z353" s="37" t="n"/>
    </row>
    <row r="354" ht="12.75" customHeight="1" s="38">
      <c r="Z354" s="37" t="n"/>
    </row>
    <row r="355" ht="12.75" customHeight="1" s="38">
      <c r="Z355" s="37" t="n"/>
    </row>
    <row r="356" ht="12.75" customHeight="1" s="38">
      <c r="Z356" s="37" t="n"/>
    </row>
    <row r="357" ht="12.75" customHeight="1" s="38">
      <c r="Z357" s="37" t="n"/>
    </row>
    <row r="358" ht="12.75" customHeight="1" s="38">
      <c r="Z358" s="37" t="n"/>
    </row>
    <row r="359" ht="12.75" customHeight="1" s="38">
      <c r="Z359" s="37" t="n"/>
    </row>
    <row r="360" ht="12.75" customHeight="1" s="38">
      <c r="Z360" s="37" t="n"/>
    </row>
    <row r="361" ht="12.75" customHeight="1" s="38">
      <c r="Z361" s="37" t="n"/>
    </row>
    <row r="362" ht="12.75" customHeight="1" s="38">
      <c r="Z362" s="37" t="n"/>
    </row>
    <row r="363" ht="12.75" customHeight="1" s="38">
      <c r="Z363" s="37" t="n"/>
    </row>
    <row r="364" ht="12.75" customHeight="1" s="38">
      <c r="Z364" s="37" t="n"/>
    </row>
    <row r="365" ht="12.75" customHeight="1" s="38">
      <c r="Z365" s="37" t="n"/>
    </row>
    <row r="366" ht="12.75" customHeight="1" s="38">
      <c r="Z366" s="37" t="n"/>
    </row>
    <row r="367" ht="12.75" customHeight="1" s="38">
      <c r="Z367" s="37" t="n"/>
    </row>
    <row r="368" ht="12.75" customHeight="1" s="38">
      <c r="Z368" s="37" t="n"/>
    </row>
    <row r="369" ht="12.75" customHeight="1" s="38">
      <c r="Z369" s="37" t="n"/>
    </row>
    <row r="370" ht="12.75" customHeight="1" s="38">
      <c r="Z370" s="37" t="n"/>
    </row>
    <row r="371" ht="12.75" customHeight="1" s="38">
      <c r="Z371" s="37" t="n"/>
    </row>
    <row r="372" ht="12.75" customHeight="1" s="38">
      <c r="Z372" s="37" t="n"/>
    </row>
    <row r="373" ht="12.75" customHeight="1" s="38">
      <c r="Z373" s="37" t="n"/>
    </row>
    <row r="374" ht="12.75" customHeight="1" s="38">
      <c r="Z374" s="37" t="n"/>
    </row>
    <row r="375" ht="12.75" customHeight="1" s="38">
      <c r="Z375" s="37" t="n"/>
    </row>
    <row r="376" ht="12.75" customHeight="1" s="38">
      <c r="Z376" s="37" t="n"/>
    </row>
    <row r="377" ht="12.75" customHeight="1" s="38">
      <c r="Z377" s="37" t="n"/>
    </row>
    <row r="378" ht="12.75" customHeight="1" s="38">
      <c r="Z378" s="37" t="n"/>
    </row>
    <row r="379" ht="12.75" customHeight="1" s="38">
      <c r="Z379" s="37" t="n"/>
    </row>
    <row r="380" ht="12.75" customHeight="1" s="38">
      <c r="Z380" s="37" t="n"/>
    </row>
    <row r="381" ht="12.75" customHeight="1" s="38">
      <c r="Z381" s="37" t="n"/>
    </row>
    <row r="382" ht="12.75" customHeight="1" s="38">
      <c r="Z382" s="37" t="n"/>
    </row>
    <row r="383" ht="12.75" customHeight="1" s="38">
      <c r="Z383" s="37" t="n"/>
    </row>
    <row r="384" ht="12.75" customHeight="1" s="38">
      <c r="Z384" s="37" t="n"/>
    </row>
    <row r="385" ht="12.75" customHeight="1" s="38">
      <c r="Z385" s="37" t="n"/>
    </row>
    <row r="386" ht="12.75" customHeight="1" s="38">
      <c r="Z386" s="37" t="n"/>
    </row>
    <row r="387" ht="12.75" customHeight="1" s="38">
      <c r="Z387" s="37" t="n"/>
    </row>
    <row r="388" ht="12.75" customHeight="1" s="38">
      <c r="Z388" s="37" t="n"/>
    </row>
    <row r="389" ht="12.75" customHeight="1" s="38">
      <c r="Z389" s="37" t="n"/>
    </row>
    <row r="390" ht="12.75" customHeight="1" s="38">
      <c r="Z390" s="37" t="n"/>
    </row>
    <row r="391" ht="12.75" customHeight="1" s="38">
      <c r="Z391" s="37" t="n"/>
    </row>
    <row r="392" ht="12.75" customHeight="1" s="38">
      <c r="Z392" s="37" t="n"/>
    </row>
    <row r="393" ht="12.75" customHeight="1" s="38">
      <c r="Z393" s="37" t="n"/>
    </row>
    <row r="394" ht="12.75" customHeight="1" s="38">
      <c r="Z394" s="37" t="n"/>
    </row>
    <row r="395" ht="12.75" customHeight="1" s="38">
      <c r="Z395" s="37" t="n"/>
    </row>
    <row r="396" ht="12.75" customHeight="1" s="38">
      <c r="Z396" s="37" t="n"/>
    </row>
    <row r="397" ht="12.75" customHeight="1" s="38">
      <c r="Z397" s="37" t="n"/>
    </row>
    <row r="398" ht="12.75" customHeight="1" s="38">
      <c r="Z398" s="37" t="n"/>
    </row>
    <row r="399" ht="12.75" customHeight="1" s="38">
      <c r="Z399" s="37" t="n"/>
    </row>
    <row r="400" ht="12.75" customHeight="1" s="38">
      <c r="Z400" s="37" t="n"/>
    </row>
    <row r="401" ht="12.75" customHeight="1" s="38">
      <c r="Z401" s="37" t="n"/>
    </row>
    <row r="402" ht="12.75" customHeight="1" s="38">
      <c r="Z402" s="37" t="n"/>
    </row>
    <row r="403" ht="12.75" customHeight="1" s="38">
      <c r="Z403" s="37" t="n"/>
    </row>
    <row r="404" ht="12.75" customHeight="1" s="38">
      <c r="Z404" s="37" t="n"/>
    </row>
    <row r="405" ht="12.75" customHeight="1" s="38">
      <c r="Z405" s="37" t="n"/>
    </row>
    <row r="406" ht="12.75" customHeight="1" s="38">
      <c r="Z406" s="37" t="n"/>
    </row>
    <row r="407" ht="12.75" customHeight="1" s="38">
      <c r="Z407" s="37" t="n"/>
    </row>
    <row r="408" ht="12.75" customHeight="1" s="38">
      <c r="Z408" s="37" t="n"/>
    </row>
    <row r="409" ht="12.75" customHeight="1" s="38">
      <c r="Z409" s="37" t="n"/>
    </row>
    <row r="410" ht="12.75" customHeight="1" s="38">
      <c r="Z410" s="37" t="n"/>
    </row>
    <row r="411" ht="12.75" customHeight="1" s="38">
      <c r="Z411" s="37" t="n"/>
    </row>
    <row r="412" ht="12.75" customHeight="1" s="38">
      <c r="Z412" s="37" t="n"/>
    </row>
    <row r="413" ht="12.75" customHeight="1" s="38">
      <c r="Z413" s="37" t="n"/>
    </row>
    <row r="414" ht="12.75" customHeight="1" s="38">
      <c r="Z414" s="37" t="n"/>
    </row>
    <row r="415" ht="12.75" customHeight="1" s="38">
      <c r="Z415" s="37" t="n"/>
    </row>
    <row r="416" ht="12.75" customHeight="1" s="38">
      <c r="Z416" s="37" t="n"/>
    </row>
    <row r="417" ht="12.75" customHeight="1" s="38">
      <c r="Z417" s="37" t="n"/>
    </row>
    <row r="418" ht="12.75" customHeight="1" s="38">
      <c r="Z418" s="37" t="n"/>
    </row>
    <row r="419" ht="12.75" customHeight="1" s="38">
      <c r="Z419" s="37" t="n"/>
    </row>
    <row r="420" ht="12.75" customHeight="1" s="38">
      <c r="Z420" s="37" t="n"/>
    </row>
    <row r="421" ht="12.75" customHeight="1" s="38">
      <c r="Z421" s="37" t="n"/>
    </row>
    <row r="422" ht="12.75" customHeight="1" s="38">
      <c r="Z422" s="37" t="n"/>
    </row>
    <row r="423" ht="12.75" customHeight="1" s="38">
      <c r="Z423" s="37" t="n"/>
    </row>
    <row r="424" ht="12.75" customHeight="1" s="38">
      <c r="Z424" s="37" t="n"/>
    </row>
    <row r="425" ht="12.75" customHeight="1" s="38">
      <c r="Z425" s="37" t="n"/>
    </row>
    <row r="426" ht="12.75" customHeight="1" s="38">
      <c r="Z426" s="37" t="n"/>
    </row>
    <row r="427" ht="12.75" customHeight="1" s="38">
      <c r="Z427" s="37" t="n"/>
    </row>
    <row r="428" ht="12.75" customHeight="1" s="38">
      <c r="Z428" s="37" t="n"/>
    </row>
    <row r="429" ht="12.75" customHeight="1" s="38">
      <c r="Z429" s="37" t="n"/>
    </row>
    <row r="430" ht="12.75" customHeight="1" s="38">
      <c r="Z430" s="37" t="n"/>
    </row>
    <row r="431" ht="12.75" customHeight="1" s="38">
      <c r="Z431" s="37" t="n"/>
    </row>
    <row r="432" ht="12.75" customHeight="1" s="38">
      <c r="Z432" s="37" t="n"/>
    </row>
    <row r="433" ht="12.75" customHeight="1" s="38">
      <c r="Z433" s="37" t="n"/>
    </row>
    <row r="434" ht="12.75" customHeight="1" s="38">
      <c r="Z434" s="37" t="n"/>
    </row>
    <row r="435" ht="12.75" customHeight="1" s="38">
      <c r="Z435" s="37" t="n"/>
    </row>
    <row r="436" ht="12.75" customHeight="1" s="38">
      <c r="Z436" s="37" t="n"/>
    </row>
    <row r="437" ht="12.75" customHeight="1" s="38">
      <c r="Z437" s="37" t="n"/>
    </row>
    <row r="438" ht="12.75" customHeight="1" s="38">
      <c r="Z438" s="37" t="n"/>
    </row>
    <row r="439" ht="12.75" customHeight="1" s="38">
      <c r="Z439" s="37" t="n"/>
    </row>
    <row r="440" ht="12.75" customHeight="1" s="38">
      <c r="Z440" s="37" t="n"/>
    </row>
    <row r="441" ht="12.75" customHeight="1" s="38">
      <c r="Z441" s="37" t="n"/>
    </row>
    <row r="442" ht="12.75" customHeight="1" s="38">
      <c r="Z442" s="37" t="n"/>
    </row>
    <row r="443" ht="12.75" customHeight="1" s="38">
      <c r="Z443" s="37" t="n"/>
    </row>
    <row r="444" ht="12.75" customHeight="1" s="38">
      <c r="Z444" s="37" t="n"/>
    </row>
    <row r="445" ht="12.75" customHeight="1" s="38">
      <c r="Z445" s="37" t="n"/>
    </row>
    <row r="446" ht="12.75" customHeight="1" s="38">
      <c r="Z446" s="37" t="n"/>
    </row>
    <row r="447" ht="12.75" customHeight="1" s="38">
      <c r="Z447" s="37" t="n"/>
    </row>
    <row r="448" ht="12.75" customHeight="1" s="38">
      <c r="Z448" s="37" t="n"/>
    </row>
    <row r="449" ht="12.75" customHeight="1" s="38">
      <c r="Z449" s="37" t="n"/>
    </row>
    <row r="450" ht="12.75" customHeight="1" s="38">
      <c r="Z450" s="37" t="n"/>
    </row>
    <row r="451" ht="12.75" customHeight="1" s="38">
      <c r="Z451" s="37" t="n"/>
    </row>
    <row r="452" ht="12.75" customHeight="1" s="38">
      <c r="Z452" s="37" t="n"/>
    </row>
    <row r="453" ht="12.75" customHeight="1" s="38">
      <c r="Z453" s="37" t="n"/>
    </row>
    <row r="454" ht="12.75" customHeight="1" s="38">
      <c r="Z454" s="37" t="n"/>
    </row>
    <row r="455" ht="12.75" customHeight="1" s="38">
      <c r="Z455" s="37" t="n"/>
    </row>
    <row r="456" ht="12.75" customHeight="1" s="38">
      <c r="Z456" s="37" t="n"/>
    </row>
    <row r="457" ht="12.75" customHeight="1" s="38">
      <c r="Z457" s="37" t="n"/>
    </row>
    <row r="458" ht="12.75" customHeight="1" s="38">
      <c r="Z458" s="37" t="n"/>
    </row>
    <row r="459" ht="12.75" customHeight="1" s="38">
      <c r="Z459" s="37" t="n"/>
    </row>
    <row r="460" ht="12.75" customHeight="1" s="38">
      <c r="Z460" s="37" t="n"/>
    </row>
    <row r="461" ht="12.75" customHeight="1" s="38">
      <c r="Z461" s="37" t="n"/>
    </row>
    <row r="462" ht="12.75" customHeight="1" s="38">
      <c r="Z462" s="37" t="n"/>
    </row>
    <row r="463" ht="12.75" customHeight="1" s="38">
      <c r="Z463" s="37" t="n"/>
    </row>
    <row r="464" ht="12.75" customHeight="1" s="38">
      <c r="Z464" s="37" t="n"/>
    </row>
    <row r="465" ht="12.75" customHeight="1" s="38">
      <c r="Z465" s="37" t="n"/>
    </row>
    <row r="466" ht="12.75" customHeight="1" s="38">
      <c r="Z466" s="37" t="n"/>
    </row>
    <row r="467" ht="12.75" customHeight="1" s="38">
      <c r="Z467" s="37" t="n"/>
    </row>
    <row r="468" ht="12.75" customHeight="1" s="38">
      <c r="Z468" s="37" t="n"/>
    </row>
    <row r="469" ht="12.75" customHeight="1" s="38">
      <c r="Z469" s="37" t="n"/>
    </row>
    <row r="470" ht="12.75" customHeight="1" s="38">
      <c r="Z470" s="37" t="n"/>
    </row>
    <row r="471" ht="12.75" customHeight="1" s="38">
      <c r="Z471" s="37" t="n"/>
    </row>
    <row r="472" ht="12.75" customHeight="1" s="38">
      <c r="Z472" s="37" t="n"/>
    </row>
    <row r="473" ht="12.75" customHeight="1" s="38">
      <c r="Z473" s="37" t="n"/>
    </row>
    <row r="474" ht="12.75" customHeight="1" s="38">
      <c r="Z474" s="37" t="n"/>
    </row>
    <row r="475" ht="12.75" customHeight="1" s="38">
      <c r="Z475" s="37" t="n"/>
    </row>
    <row r="476" ht="12.75" customHeight="1" s="38">
      <c r="Z476" s="37" t="n"/>
    </row>
    <row r="477" ht="12.75" customHeight="1" s="38">
      <c r="Z477" s="37" t="n"/>
    </row>
    <row r="478" ht="12.75" customHeight="1" s="38">
      <c r="Z478" s="37" t="n"/>
    </row>
    <row r="479" ht="12.75" customHeight="1" s="38">
      <c r="Z479" s="37" t="n"/>
    </row>
    <row r="480" ht="12.75" customHeight="1" s="38">
      <c r="Z480" s="37" t="n"/>
    </row>
    <row r="481" ht="12.75" customHeight="1" s="38">
      <c r="Z481" s="37" t="n"/>
    </row>
    <row r="482" ht="12.75" customHeight="1" s="38">
      <c r="Z482" s="37" t="n"/>
    </row>
    <row r="483" ht="12.75" customHeight="1" s="38">
      <c r="Z483" s="37" t="n"/>
    </row>
    <row r="484" ht="12.75" customHeight="1" s="38">
      <c r="Z484" s="37" t="n"/>
    </row>
    <row r="485" ht="12.75" customHeight="1" s="38">
      <c r="Z485" s="37" t="n"/>
    </row>
    <row r="486" ht="12.75" customHeight="1" s="38">
      <c r="Z486" s="37" t="n"/>
    </row>
    <row r="487" ht="12.75" customHeight="1" s="38">
      <c r="Z487" s="37" t="n"/>
    </row>
    <row r="488" ht="12.75" customHeight="1" s="38">
      <c r="Z488" s="37" t="n"/>
    </row>
    <row r="489" ht="12.75" customHeight="1" s="38">
      <c r="Z489" s="37" t="n"/>
    </row>
    <row r="490" ht="12.75" customHeight="1" s="38">
      <c r="Z490" s="37" t="n"/>
    </row>
    <row r="491" ht="12.75" customHeight="1" s="38">
      <c r="Z491" s="37" t="n"/>
    </row>
    <row r="492" ht="12.75" customHeight="1" s="38">
      <c r="Z492" s="37" t="n"/>
    </row>
    <row r="493" ht="12.75" customHeight="1" s="38">
      <c r="Z493" s="37" t="n"/>
    </row>
    <row r="494" ht="12.75" customHeight="1" s="38">
      <c r="Z494" s="37" t="n"/>
    </row>
    <row r="495" ht="12.75" customHeight="1" s="38">
      <c r="Z495" s="37" t="n"/>
    </row>
    <row r="496" ht="12.75" customHeight="1" s="38">
      <c r="Z496" s="37" t="n"/>
    </row>
    <row r="497" ht="12.75" customHeight="1" s="38">
      <c r="Z497" s="37" t="n"/>
    </row>
    <row r="498" ht="12.75" customHeight="1" s="38">
      <c r="Z498" s="37" t="n"/>
    </row>
    <row r="499" ht="12.75" customHeight="1" s="38">
      <c r="Z499" s="37" t="n"/>
    </row>
    <row r="500" ht="12.75" customHeight="1" s="38">
      <c r="Z500" s="37" t="n"/>
    </row>
  </sheetData>
  <conditionalFormatting sqref="N2:N49">
    <cfRule type="colorScale" priority="2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conditionalFormatting sqref="S2:S49">
    <cfRule type="colorScale" priority="3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dataValidations count="8">
    <dataValidation sqref="C2:C500" showDropDown="0" showInputMessage="0" showErrorMessage="0" allowBlank="0" type="list" errorStyle="stop">
      <formula1>'06_Lists'!$A$2:$A$6</formula1>
    </dataValidation>
    <dataValidation sqref="M2:M500" showDropDown="0" showInputMessage="0" showErrorMessage="0" allowBlank="0" type="list" errorStyle="stop">
      <formula1>'06_Lists'!$B$2:$B$10</formula1>
    </dataValidation>
    <dataValidation sqref="N2:N500" showDropDown="0" showInputMessage="0" showErrorMessage="0" allowBlank="0" type="list" errorStyle="stop">
      <formula1>'06_Lists'!$E$2:$E$6</formula1>
    </dataValidation>
    <dataValidation sqref="O2:O500" showDropDown="0" showInputMessage="0" showErrorMessage="0" allowBlank="0" type="list" errorStyle="stop">
      <formula1>'06_Lists'!$C$2:$C$11</formula1>
    </dataValidation>
    <dataValidation sqref="S2:S500" showDropDown="0" showInputMessage="0" showErrorMessage="0" allowBlank="0" type="list" errorStyle="stop">
      <formula1>'06_Lists'!$F$2:$F$6</formula1>
    </dataValidation>
    <dataValidation sqref="H2:H500" showDropDown="0" showInputMessage="0" showErrorMessage="0" allowBlank="0" type="list" errorStyle="stop">
      <formula1>'06_Lists'!$D$2:$D$14</formula1>
    </dataValidation>
    <dataValidation sqref="Y2:Y500" showDropDown="0" showInputMessage="0" showErrorMessage="0" allowBlank="0" type="list" errorStyle="stop">
      <formula1>'06_Lists'!$H$2:$H$46</formula1>
    </dataValidation>
    <dataValidation sqref="Z2:Z500" showDropDown="0" showInputMessage="0" showErrorMessage="0" allowBlank="0" type="list" errorStyle="stop">
      <formula1>'06_Lists'!$G$2:$G$12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ColWidth="8.66796875" defaultRowHeight="12.75"/>
  <cols>
    <col width="28" customWidth="1" style="37" min="1" max="1"/>
    <col width="44" customWidth="1" style="37" min="2" max="2"/>
    <col width="22" customWidth="1" style="37" min="3" max="3"/>
    <col width="20" customWidth="1" style="37" min="4" max="4"/>
    <col width="42" customWidth="1" style="37" min="5" max="5"/>
  </cols>
  <sheetData>
    <row r="1" ht="27.75" customHeight="1" s="38">
      <c r="A1" s="50" t="inlineStr">
        <is>
          <t>Ветка</t>
        </is>
      </c>
      <c r="B1" s="50" t="inlineStr">
        <is>
          <t>Что включает</t>
        </is>
      </c>
      <c r="C1" s="50" t="inlineStr">
        <is>
          <t>Для каких уроков</t>
        </is>
      </c>
      <c r="D1" s="50" t="inlineStr">
        <is>
          <t>Визуальный цвет/код</t>
        </is>
      </c>
      <c r="E1" s="50" t="inlineStr">
        <is>
          <t>Комментарий</t>
        </is>
      </c>
    </row>
    <row r="2" ht="31.5" customHeight="1" s="38">
      <c r="A2" s="46" t="inlineStr">
        <is>
          <t>Оптика / камера-обскура</t>
        </is>
      </c>
      <c r="B2" s="46" t="inlineStr">
        <is>
          <t>свет, тёмная комната, pinhole, линзы</t>
        </is>
      </c>
      <c r="C2" s="46" t="inlineStr">
        <is>
          <t>PL-001</t>
        </is>
      </c>
      <c r="D2" s="46" t="inlineStr">
        <is>
          <t>синий</t>
        </is>
      </c>
      <c r="E2" s="46" t="inlineStr">
        <is>
          <t>Это предпосылка фотографии, не сама фотография.</t>
        </is>
      </c>
    </row>
    <row r="3" ht="31.5" customHeight="1" s="38">
      <c r="A3" s="46" t="inlineStr">
        <is>
          <t>Оптические инструменты</t>
        </is>
      </c>
      <c r="B3" s="46" t="inlineStr">
        <is>
          <t>camera lucida, stereoscope, portable camera obscura</t>
        </is>
      </c>
      <c r="C3" s="46" t="inlineStr">
        <is>
          <t>PL-001 / будущие PL</t>
        </is>
      </c>
      <c r="D3" s="46" t="inlineStr">
        <is>
          <t>голубой</t>
        </is>
      </c>
      <c r="E3" s="46" t="inlineStr">
        <is>
          <t>Помогает объяснить, что люди стремились к точному изображению до химии.</t>
        </is>
      </c>
    </row>
    <row r="4" ht="15.75" customHeight="1" s="38">
      <c r="A4" s="46" t="inlineStr">
        <is>
          <t>Фотохимия</t>
        </is>
      </c>
      <c r="B4" s="46" t="inlineStr">
        <is>
          <t>серебряные соли, потемнение от света, фиксация, желатиновые эмульсии</t>
        </is>
      </c>
      <c r="C4" s="46" t="inlineStr">
        <is>
          <t>PL-002 / PL-006</t>
        </is>
      </c>
      <c r="D4" s="46" t="inlineStr">
        <is>
          <t>жёлтый</t>
        </is>
      </c>
      <c r="E4" s="46" t="inlineStr">
        <is>
          <t>Химическая половина рождения фотографии.</t>
        </is>
      </c>
    </row>
    <row r="5" ht="15.75" customHeight="1" s="38">
      <c r="A5" s="46" t="inlineStr">
        <is>
          <t>Гелиография</t>
        </is>
      </c>
      <c r="B5" s="46" t="inlineStr">
        <is>
          <t>Ньепс, битум, первое сохранившееся изображение</t>
        </is>
      </c>
      <c r="C5" s="46" t="inlineStr">
        <is>
          <t>PL-002</t>
        </is>
      </c>
      <c r="D5" s="46" t="inlineStr">
        <is>
          <t>золотой</t>
        </is>
      </c>
      <c r="E5" s="46" t="inlineStr">
        <is>
          <t>Путь к постоянному изображению.</t>
        </is>
      </c>
    </row>
    <row r="6" ht="31.5" customHeight="1" s="38">
      <c r="A6" s="46" t="inlineStr">
        <is>
          <t>Дагеротип</t>
        </is>
      </c>
      <c r="B6" s="46" t="inlineStr">
        <is>
          <t>прямой позитив на серебряной пластине</t>
        </is>
      </c>
      <c r="C6" s="46" t="inlineStr">
        <is>
          <t>PL-003</t>
        </is>
      </c>
      <c r="D6" s="46" t="inlineStr">
        <is>
          <t>серебряный</t>
        </is>
      </c>
      <c r="E6" s="46" t="inlineStr">
        <is>
          <t>Резкость и публичный эффект, но уникальный экземпляр.</t>
        </is>
      </c>
    </row>
    <row r="7" ht="31.5" customHeight="1" s="38">
      <c r="A7" s="46" t="inlineStr">
        <is>
          <t>Фотогенный рисунок / фотограмма</t>
        </is>
      </c>
      <c r="B7" s="46" t="inlineStr">
        <is>
          <t>контактные изображения объектов на бумаге</t>
        </is>
      </c>
      <c r="C7" s="46" t="inlineStr">
        <is>
          <t>PL-004</t>
        </is>
      </c>
      <c r="D7" s="46" t="inlineStr">
        <is>
          <t>зелёный</t>
        </is>
      </c>
      <c r="E7" s="46" t="inlineStr">
        <is>
          <t>Британская линия Тальбота.</t>
        </is>
      </c>
    </row>
    <row r="8" ht="15.75" customHeight="1" s="38">
      <c r="A8" s="46" t="inlineStr">
        <is>
          <t>Негатив-позитив</t>
        </is>
      </c>
      <c r="B8" s="46" t="inlineStr">
        <is>
          <t>бумажный негатив, калотип, стеклянный негатив, сухая желатиновая пластина, рулонная плёнка, копирование</t>
        </is>
      </c>
      <c r="C8" s="46" t="inlineStr">
        <is>
          <t>PL-004 / PL-006 / PL-007</t>
        </is>
      </c>
      <c r="D8" s="46" t="inlineStr">
        <is>
          <t>зелёный тёмный</t>
        </is>
      </c>
      <c r="E8" s="46" t="inlineStr">
        <is>
          <t>Главная идея, которая победила исторически.</t>
        </is>
      </c>
    </row>
    <row r="9" ht="15.75" customHeight="1" s="38">
      <c r="A9" s="46" t="inlineStr">
        <is>
          <t>Фиксаж / терминология</t>
        </is>
      </c>
      <c r="B9" s="46" t="inlineStr">
        <is>
          <t>Herschel, hypo, terms photography/negative/positive</t>
        </is>
      </c>
      <c r="C9" s="46" t="inlineStr">
        <is>
          <t>PL-004</t>
        </is>
      </c>
      <c r="D9" s="46" t="inlineStr">
        <is>
          <t>фиолетовый</t>
        </is>
      </c>
      <c r="E9" s="46" t="inlineStr">
        <is>
          <t>Фотография нуждается в языке и стабильности.</t>
        </is>
      </c>
    </row>
    <row r="10" ht="15.75" customHeight="1" s="38">
      <c r="A10" s="46" t="inlineStr">
        <is>
          <t>Печать / тиражирование</t>
        </is>
      </c>
      <c r="B10" s="46" t="inlineStr">
        <is>
          <t>salted paper, albumen print, фотокнига</t>
        </is>
      </c>
      <c r="C10" s="46" t="inlineStr">
        <is>
          <t>PL-004 / будущие PL</t>
        </is>
      </c>
      <c r="D10" s="46" t="inlineStr">
        <is>
          <t>оранжевый</t>
        </is>
      </c>
      <c r="E10" s="46" t="inlineStr">
        <is>
          <t>Ветка распространения изображений.</t>
        </is>
      </c>
    </row>
    <row r="11" ht="15.75" customHeight="1" s="38">
      <c r="A11" s="46" t="inlineStr">
        <is>
          <t>Мокрый коллодий</t>
        </is>
      </c>
      <c r="B11" s="46" t="inlineStr">
        <is>
          <t>стеклянный негатив, коллодий, нитрат серебра</t>
        </is>
      </c>
      <c r="C11" s="46" t="inlineStr">
        <is>
          <t>PL-005</t>
        </is>
      </c>
      <c r="D11" s="46" t="inlineStr">
        <is>
          <t>красный</t>
        </is>
      </c>
      <c r="E11" s="46" t="inlineStr">
        <is>
          <t>Мост между резкостью и тиражом.</t>
        </is>
      </c>
    </row>
    <row r="12" ht="15.75" customHeight="1" s="38">
      <c r="A12" s="46" t="inlineStr">
        <is>
          <t>Уникальный позитив</t>
        </is>
      </c>
      <c r="B12" s="46" t="inlineStr">
        <is>
          <t>Bayard, ambrotype, tintype, direct positive</t>
        </is>
      </c>
      <c r="C12" s="46" t="inlineStr">
        <is>
          <t>PL-003 / PL-005</t>
        </is>
      </c>
      <c r="D12" s="46" t="inlineStr">
        <is>
          <t>серый</t>
        </is>
      </c>
      <c r="E12" s="46" t="inlineStr">
        <is>
          <t>Важные, но технологически ограниченные ветки.</t>
        </is>
      </c>
    </row>
    <row r="13" ht="15.75" customHeight="1" s="38">
      <c r="A13" s="46" t="inlineStr">
        <is>
          <t>Цвет</t>
        </is>
      </c>
      <c r="B13" s="46" t="inlineStr">
        <is>
          <t>ранние опыты, Becquerel, будущий Autochrome</t>
        </is>
      </c>
      <c r="C13" s="46" t="inlineStr">
        <is>
          <t>будущие PL</t>
        </is>
      </c>
      <c r="D13" s="46" t="inlineStr">
        <is>
          <t>радужный</t>
        </is>
      </c>
      <c r="E13" s="46" t="inlineStr">
        <is>
          <t>В v0.1 только ранний ориентир.</t>
        </is>
      </c>
    </row>
    <row r="14" ht="15.75" customHeight="1" s="38">
      <c r="A14" s="46" t="inlineStr">
        <is>
          <t>Проекция / распространение</t>
        </is>
      </c>
      <c r="B14" s="46" t="inlineStr">
        <is>
          <t>lantern slides, публичный показ</t>
        </is>
      </c>
      <c r="C14" s="46" t="inlineStr">
        <is>
          <t>будущие PL</t>
        </is>
      </c>
      <c r="D14" s="46" t="inlineStr">
        <is>
          <t>бирюзовый</t>
        </is>
      </c>
      <c r="E14" s="46" t="inlineStr">
        <is>
          <t>Мост к обучению, лекциям, презентациям.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ColWidth="8.66796875" defaultRowHeight="12.75"/>
  <cols>
    <col width="9.670000076293945" customWidth="1" style="37" min="1" max="1"/>
    <col width="27.34000015258789" customWidth="1" style="37" min="2" max="2"/>
    <col width="42" customWidth="1" style="37" min="3" max="3"/>
    <col width="76.16000366210938" customWidth="1" style="37" min="4" max="4"/>
    <col width="11.32999992370605" customWidth="1" style="37" min="5" max="5"/>
    <col width="28" customWidth="1" style="38" min="6" max="6"/>
  </cols>
  <sheetData>
    <row r="1" ht="27.75" customHeight="1" s="38">
      <c r="A1" s="41" t="inlineStr">
        <is>
          <t>Урок</t>
        </is>
      </c>
      <c r="B1" s="41" t="inlineStr">
        <is>
          <t>Главная тема</t>
        </is>
      </c>
      <c r="C1" s="41" t="inlineStr">
        <is>
          <t>Исторические узлы</t>
        </is>
      </c>
      <c r="D1" s="41" t="inlineStr">
        <is>
          <t>Что должен понять новичок</t>
        </is>
      </c>
      <c r="E1" s="41" t="inlineStr">
        <is>
          <t>Статус</t>
        </is>
      </c>
      <c r="F1" s="45" t="inlineStr">
        <is>
          <t>Ссылка на урок (Telegram)</t>
        </is>
      </c>
    </row>
    <row r="2" ht="31.5" customHeight="1" s="38">
      <c r="A2" s="46" t="inlineStr">
        <is>
          <t>PL-001</t>
        </is>
      </c>
      <c r="B2" s="46" t="inlineStr">
        <is>
          <t>Камера-обскура и оптика</t>
        </is>
      </c>
      <c r="C2" s="46" t="inlineStr">
        <is>
          <t>PL-HIST-0001…0008, 0013, 0028</t>
        </is>
      </c>
      <c r="D2" s="46" t="inlineStr">
        <is>
          <t>Свет умеет строить изображение, но ещё не сохраняет его.</t>
        </is>
      </c>
      <c r="E2" s="46" t="inlineStr">
        <is>
          <t>основа готова</t>
        </is>
      </c>
      <c r="F2" s="45" t="inlineStr">
        <is>
          <t>https://t.me/photolab_vf/39</t>
        </is>
      </c>
    </row>
    <row r="3" ht="31.5" customHeight="1" s="38">
      <c r="A3" s="46" t="inlineStr">
        <is>
          <t>PL-002</t>
        </is>
      </c>
      <c r="B3" s="46" t="inlineStr">
        <is>
          <t>Ньепс и первая фиксация</t>
        </is>
      </c>
      <c r="C3" s="46" t="inlineStr">
        <is>
          <t>PL-HIST-0009…0016</t>
        </is>
      </c>
      <c r="D3" s="46" t="inlineStr">
        <is>
          <t>Недостаточно увидеть изображение — его нужно зафиксировать.</t>
        </is>
      </c>
      <c r="E3" s="46" t="inlineStr">
        <is>
          <t>основа готова</t>
        </is>
      </c>
      <c r="F3" s="45" t="inlineStr">
        <is>
          <t>https://t.me/photolab_vf/45</t>
        </is>
      </c>
    </row>
    <row r="4" ht="31.5" customHeight="1" s="38">
      <c r="A4" s="46" t="inlineStr">
        <is>
          <t>PL-003</t>
        </is>
      </c>
      <c r="B4" s="46" t="inlineStr">
        <is>
          <t>Дагеротип</t>
        </is>
      </c>
      <c r="C4" s="46" t="inlineStr">
        <is>
          <t>PL-HIST-0017…0023, 0027</t>
        </is>
      </c>
      <c r="D4" s="46" t="inlineStr">
        <is>
          <t>Фотография стала публичной, резкой и убедительной, но изображение было уникальным.</t>
        </is>
      </c>
      <c r="E4" s="46" t="inlineStr">
        <is>
          <t>основа готова</t>
        </is>
      </c>
      <c r="F4" s="45" t="inlineStr">
        <is>
          <t>https://t.me/photolab_vf/50</t>
        </is>
      </c>
    </row>
    <row r="5" ht="31.5" customHeight="1" s="38">
      <c r="A5" s="46" t="inlineStr">
        <is>
          <t>PL-004</t>
        </is>
      </c>
      <c r="B5" s="46" t="inlineStr">
        <is>
          <t>Тальбот, калотип, негатив-позитив</t>
        </is>
      </c>
      <c r="C5" s="46" t="inlineStr">
        <is>
          <t>PL-HIST-0019…0026, 0029…0035</t>
        </is>
      </c>
      <c r="D5" s="46" t="inlineStr">
        <is>
          <t>Идея копирования победила: один негатив может дать много отпечатков.</t>
        </is>
      </c>
      <c r="E5" s="46" t="inlineStr">
        <is>
          <t>основа готова</t>
        </is>
      </c>
      <c r="F5" s="45" t="inlineStr">
        <is>
          <t>https://t.me/photolab_vf</t>
        </is>
      </c>
    </row>
    <row r="6" ht="31.5" customHeight="1" s="38">
      <c r="A6" s="46" t="inlineStr">
        <is>
          <t>PL-005</t>
        </is>
      </c>
      <c r="B6" s="46" t="inlineStr">
        <is>
          <t>Мокрый коллодий</t>
        </is>
      </c>
      <c r="C6" s="46" t="inlineStr">
        <is>
          <t>PL-HIST-0041…0048</t>
        </is>
      </c>
      <c r="D6" s="46" t="inlineStr">
        <is>
          <t>Резкость дагеротипа и тираж калотипа встретились на стеклянной влажной пластине.</t>
        </is>
      </c>
      <c r="E6" s="46" t="inlineStr">
        <is>
          <t>основа готова</t>
        </is>
      </c>
      <c r="F6" s="45" t="inlineStr">
        <is>
          <t>https://t.me/photolab_vf</t>
        </is>
      </c>
    </row>
    <row r="7" ht="31.5" customHeight="1" s="38">
      <c r="A7" s="46" t="inlineStr">
        <is>
          <t>PL-006</t>
        </is>
      </c>
      <c r="B7" s="46" t="inlineStr">
        <is>
          <t>Сухие желатиновые пластины</t>
        </is>
      </c>
      <c r="C7" s="46" t="inlineStr">
        <is>
          <t>PL-HIST-0049…0058</t>
        </is>
      </c>
      <c r="D7" s="46" t="inlineStr">
        <is>
          <t>Фотография освобождается от немедленной полевой химии: пластину можно купить, хранить, экспонировать и проявлять позже.</t>
        </is>
      </c>
      <c r="E7" s="46" t="inlineStr">
        <is>
          <t>основа заполнена</t>
        </is>
      </c>
      <c r="F7" s="45" t="inlineStr">
        <is>
          <t>https://t.me/photolab_vf</t>
        </is>
      </c>
    </row>
    <row r="8" ht="12.75" customHeight="1" s="38">
      <c r="A8" s="45" t="inlineStr">
        <is>
          <t>PL-007</t>
        </is>
      </c>
      <c r="B8" s="45" t="inlineStr">
        <is>
          <t>Рулонная плёнка и Kodak</t>
        </is>
      </c>
      <c r="C8" s="45" t="inlineStr">
        <is>
          <t>PL-HIST-0059…0068</t>
        </is>
      </c>
      <c r="D8" s="45" t="inlineStr">
        <is>
          <t>Фотография освобождается от стеклянной пластины: рулонный носитель, Kodak и сервис обработки делают съёмку проще и ближе к массовому пользователю.</t>
        </is>
      </c>
      <c r="E8" s="45" t="inlineStr">
        <is>
          <t>основа заполнена</t>
        </is>
      </c>
      <c r="F8" s="45" t="inlineStr">
        <is>
          <t>https://t.me/photolab_vf</t>
        </is>
      </c>
    </row>
    <row r="9">
      <c r="A9" s="45" t="inlineStr">
        <is>
          <t>будущие PL</t>
        </is>
      </c>
      <c r="B9" s="45" t="inlineStr">
        <is>
          <t>Расширение после PL-007</t>
        </is>
      </c>
      <c r="C9" s="45" t="inlineStr">
        <is>
          <t>Brownie, массовая snapshot-культура, 35 мм, Leica, цвет, цифровая фотография, AI</t>
        </is>
      </c>
      <c r="D9" s="45" t="inlineStr">
        <is>
          <t>Фотография станет дешёвой, массовой, компактной, цветной, цифровой и вычислительной.</t>
        </is>
      </c>
      <c r="E9" s="45" t="inlineStr">
        <is>
          <t>планируется</t>
        </is>
      </c>
      <c r="F9" s="45" t="n"/>
    </row>
    <row r="10">
      <c r="A10" s="37" t="n"/>
      <c r="B10" s="37" t="n"/>
      <c r="C10" s="37" t="n"/>
      <c r="D10" s="37" t="n"/>
      <c r="E10" s="37" t="n"/>
      <c r="F10" s="3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1" workbookViewId="0">
      <selection activeCell="A1" sqref="A1"/>
    </sheetView>
  </sheetViews>
  <sheetFormatPr baseColWidth="8" defaultColWidth="8.66796875" defaultRowHeight="12.75"/>
  <cols>
    <col width="14" customWidth="1" style="37" min="1" max="1"/>
    <col width="42" customWidth="1" style="37" min="2" max="2"/>
    <col width="70" customWidth="1" style="37" min="3" max="3"/>
    <col width="42" customWidth="1" style="37" min="4" max="4"/>
    <col width="30" customWidth="1" style="37" min="5" max="5"/>
  </cols>
  <sheetData>
    <row r="1" ht="27.75" customHeight="1" s="38">
      <c r="A1" s="50" t="inlineStr">
        <is>
          <t>Источник ID</t>
        </is>
      </c>
      <c r="B1" s="50" t="inlineStr">
        <is>
          <t>Название</t>
        </is>
      </c>
      <c r="C1" s="50" t="inlineStr">
        <is>
          <t>URL</t>
        </is>
      </c>
      <c r="D1" s="50" t="inlineStr">
        <is>
          <t>Используется для</t>
        </is>
      </c>
      <c r="E1" s="50" t="inlineStr">
        <is>
          <t>Примечание</t>
        </is>
      </c>
    </row>
    <row r="2" ht="31.5" customHeight="1" s="38">
      <c r="A2" s="46" t="inlineStr">
        <is>
          <t>SRC-001</t>
        </is>
      </c>
      <c r="B2" s="46" t="inlineStr">
        <is>
          <t>AramcoWorld — Ibn al-Haytham: Testing is Believing</t>
        </is>
      </c>
      <c r="C2" s="46" t="inlineStr">
        <is>
          <t>https://www.aramcoworld.com/en/articles/2023/ibn-al-haytham-testing-is-believing</t>
        </is>
      </c>
      <c r="D2" s="46" t="inlineStr">
        <is>
          <t>Ибн аль-Хайсам, камера-обскура, прямолинейное распространение света</t>
        </is>
      </c>
      <c r="E2" s="46" t="inlineStr">
        <is>
          <t>вводный источник</t>
        </is>
      </c>
    </row>
    <row r="3" ht="31.5" customHeight="1" s="38">
      <c r="A3" s="46" t="inlineStr">
        <is>
          <t>SRC-002</t>
        </is>
      </c>
      <c r="B3" s="46" t="inlineStr">
        <is>
          <t>IMSS / Museo Galileo — Camera Obscura</t>
        </is>
      </c>
      <c r="C3" s="46" t="inlineStr">
        <is>
          <t>https://redi.imss.fi.it/inventions/index.php/Camera_Obscura</t>
        </is>
      </c>
      <c r="D3" s="46" t="inlineStr">
        <is>
          <t>Cardano, Della Porta, линза в камере-обскуре</t>
        </is>
      </c>
      <c r="E3" s="46" t="inlineStr">
        <is>
          <t>музейный образовательный источник</t>
        </is>
      </c>
    </row>
    <row r="4" ht="31.5" customHeight="1" s="38">
      <c r="A4" s="46" t="inlineStr">
        <is>
          <t>SRC-003</t>
        </is>
      </c>
      <c r="B4" s="46" t="inlineStr">
        <is>
          <t>Max Planck Institute — Camera Obscura PDF</t>
        </is>
      </c>
      <c r="C4" s="46" t="inlineStr">
        <is>
          <t>https://www.mpiwg-berlin.mpg.de/sites/default/files/Preprints/P307.pdf</t>
        </is>
      </c>
      <c r="D4" s="46" t="inlineStr">
        <is>
          <t>Kepler, термин camera obscura, развитие оптических приборов</t>
        </is>
      </c>
      <c r="E4" s="46" t="inlineStr">
        <is>
          <t>академический PDF</t>
        </is>
      </c>
    </row>
    <row r="5" ht="31.5" customHeight="1" s="38">
      <c r="A5" s="46" t="inlineStr">
        <is>
          <t>SRC-004</t>
        </is>
      </c>
      <c r="B5" s="46" t="inlineStr">
        <is>
          <t>Public Domain Review — Johann Zahn's Oculus Artificialis</t>
        </is>
      </c>
      <c r="C5" s="46" t="inlineStr">
        <is>
          <t>https://publicdomainreview.org/collection/images-from-johann-zahn-s-oculus-artificialis-1685</t>
        </is>
      </c>
      <c r="D5" s="46" t="inlineStr">
        <is>
          <t>Johann Zahn, portable camera obscura</t>
        </is>
      </c>
      <c r="E5" s="46" t="inlineStr">
        <is>
          <t>источник по историческим изображениям</t>
        </is>
      </c>
    </row>
    <row r="6" ht="31.5" customHeight="1" s="38">
      <c r="A6" s="46" t="inlineStr">
        <is>
          <t>SRC-005</t>
        </is>
      </c>
      <c r="B6" s="46" t="inlineStr">
        <is>
          <t>Swiss Camera Museum — Johann Heinrich Schulze</t>
        </is>
      </c>
      <c r="C6" s="46" t="inlineStr">
        <is>
          <t>https://www.cameramuseum.ch/en/discover/permanent-exhibition/the-origins-of-photography/the-precursors-johann-heinrich-schulze/</t>
        </is>
      </c>
      <c r="D6" s="46" t="inlineStr">
        <is>
          <t>Schulze, светочувствительность серебряных солей</t>
        </is>
      </c>
      <c r="E6" s="46" t="inlineStr">
        <is>
          <t>музейный источник</t>
        </is>
      </c>
    </row>
    <row r="7" ht="15.75" customHeight="1" s="38">
      <c r="A7" s="46" t="inlineStr">
        <is>
          <t>SRC-006</t>
        </is>
      </c>
      <c r="B7" s="46" t="inlineStr">
        <is>
          <t>Science History Institute — Silver and Sunlight</t>
        </is>
      </c>
      <c r="C7" s="46" t="inlineStr">
        <is>
          <t>https://www.sciencehistory.org/stories/magazine/silver-and-sunlight/</t>
        </is>
      </c>
      <c r="D7" s="46" t="inlineStr">
        <is>
          <t>Scheele, silver chloride, ammonia</t>
        </is>
      </c>
      <c r="E7" s="46" t="inlineStr">
        <is>
          <t>научно-исторический источник</t>
        </is>
      </c>
    </row>
    <row r="8" ht="31.5" customHeight="1" s="38">
      <c r="A8" s="46" t="inlineStr">
        <is>
          <t>SRC-007</t>
        </is>
      </c>
      <c r="B8" s="46" t="inlineStr">
        <is>
          <t>Swiss Camera Museum — Thomas Wedgwood</t>
        </is>
      </c>
      <c r="C8" s="46" t="inlineStr">
        <is>
          <t>https://www.cameramuseum.ch/en/discover/permanent-exhibition/the-origins-of-photography/the-precursors-thomas-wedgwood/</t>
        </is>
      </c>
      <c r="D8" s="46" t="inlineStr">
        <is>
          <t>Wedgwood, silver nitrate, early camera obscura attempts</t>
        </is>
      </c>
      <c r="E8" s="46" t="inlineStr">
        <is>
          <t>музейный источник</t>
        </is>
      </c>
    </row>
    <row r="9" ht="31.5" customHeight="1" s="38">
      <c r="A9" s="46" t="inlineStr">
        <is>
          <t>SRC-008</t>
        </is>
      </c>
      <c r="B9" s="46" t="inlineStr">
        <is>
          <t>Bodleian — Talbot Catalogue: Photogenic Drawing</t>
        </is>
      </c>
      <c r="C9" s="46" t="inlineStr">
        <is>
          <t>https://talbot.bodleian.ox.ac.uk/2017/02/17/an-account-of-the-processes-employed-in-photogenic-drawing/</t>
        </is>
      </c>
      <c r="D9" s="46" t="inlineStr">
        <is>
          <t>Talbot, Wedgwood/Davy, photogenic drawing</t>
        </is>
      </c>
      <c r="E9" s="46" t="inlineStr">
        <is>
          <t>архивный/исследовательский источник</t>
        </is>
      </c>
    </row>
    <row r="10" ht="15.75" customHeight="1" s="38">
      <c r="A10" s="46" t="inlineStr">
        <is>
          <t>SRC-009</t>
        </is>
      </c>
      <c r="B10" s="46" t="inlineStr">
        <is>
          <t>Smithsonian NMAH — Camera Lucida</t>
        </is>
      </c>
      <c r="C10" s="46" t="inlineStr">
        <is>
          <t>https://americanhistory.si.edu/collections/object/nmah_1184286</t>
        </is>
      </c>
      <c r="D10" s="46" t="inlineStr">
        <is>
          <t>Wollaston, Camera Lucida, 1806/1807</t>
        </is>
      </c>
      <c r="E10" s="46" t="inlineStr">
        <is>
          <t>музейная карточка предмета</t>
        </is>
      </c>
    </row>
    <row r="11" ht="31.5" customHeight="1" s="38">
      <c r="A11" s="46" t="inlineStr">
        <is>
          <t>SRC-010</t>
        </is>
      </c>
      <c r="B11" s="46" t="inlineStr">
        <is>
          <t>Harry Ransom Center — The Niépce Heliograph</t>
        </is>
      </c>
      <c r="C11" s="46" t="inlineStr">
        <is>
          <t>https://www.hrc.utexas.edu/niepce-heliograph/</t>
        </is>
      </c>
      <c r="D11" s="46" t="inlineStr">
        <is>
          <t>Niépce, View from the Window at Le Gras, heliography</t>
        </is>
      </c>
      <c r="E11" s="46" t="inlineStr">
        <is>
          <t>ключевой источник</t>
        </is>
      </c>
    </row>
    <row r="12" ht="31.5" customHeight="1" s="38">
      <c r="A12" s="46" t="inlineStr">
        <is>
          <t>SRC-011</t>
        </is>
      </c>
      <c r="B12" s="46" t="inlineStr">
        <is>
          <t>Maison Nicéphore Niépce — First experiments</t>
        </is>
      </c>
      <c r="C12" s="46" t="inlineStr">
        <is>
          <t>https://bicentennial-of-photography.org/niepce-and-the-invention-of-photography-niepce-s-first-experiments/</t>
        </is>
      </c>
      <c r="D12" s="46" t="inlineStr">
        <is>
          <t>Niépce 1816, исчезающие negative images</t>
        </is>
      </c>
      <c r="E12" s="46" t="inlineStr">
        <is>
          <t>музей/юбилейный проект</t>
        </is>
      </c>
    </row>
    <row r="13" ht="31.5" customHeight="1" s="38">
      <c r="A13" s="46" t="inlineStr">
        <is>
          <t>SRC-012</t>
        </is>
      </c>
      <c r="B13" s="46" t="inlineStr">
        <is>
          <t>Harvard Library — History of Photography Timeline</t>
        </is>
      </c>
      <c r="C13" s="46" t="inlineStr">
        <is>
          <t>https://photographpreservationprogram.hsites.harvard.edu/harvards-history-photography-timeline-text-only</t>
        </is>
      </c>
      <c r="D13" s="46" t="inlineStr">
        <is>
          <t>1826, 1839, Talbot, calotype, cyanotype, early medical photography, lantern slides</t>
        </is>
      </c>
      <c r="E13" s="46" t="inlineStr">
        <is>
          <t>университетская таймлайн-опора</t>
        </is>
      </c>
    </row>
    <row r="14" ht="31.5" customHeight="1" s="38">
      <c r="A14" s="46" t="inlineStr">
        <is>
          <t>SRC-013</t>
        </is>
      </c>
      <c r="B14" s="46" t="inlineStr">
        <is>
          <t>The Met — Daguerre and the Invention of Photography</t>
        </is>
      </c>
      <c r="C14" s="46" t="inlineStr">
        <is>
          <t>https://www.metmuseum.org/essays/daguerre-1787-1851-and-the-invention-of-photography</t>
        </is>
      </c>
      <c r="D14" s="46" t="inlineStr">
        <is>
          <t>Daguerre, Académie des Sciences, 1839</t>
        </is>
      </c>
      <c r="E14" s="46" t="inlineStr">
        <is>
          <t>музейный эссе-источник</t>
        </is>
      </c>
    </row>
    <row r="15" ht="31.5" customHeight="1" s="38">
      <c r="A15" s="46" t="inlineStr">
        <is>
          <t>SRC-014</t>
        </is>
      </c>
      <c r="B15" s="46" t="inlineStr">
        <is>
          <t>Library of Congress — Daguerreotype Medium</t>
        </is>
      </c>
      <c r="C15" s="46" t="inlineStr">
        <is>
          <t>https://www.loc.gov/collections/daguerreotypes/articles-and-essays/the-daguerreotype-medium</t>
        </is>
      </c>
      <c r="D15" s="46" t="inlineStr">
        <is>
          <t>daguerreotype as direct-positive process</t>
        </is>
      </c>
      <c r="E15" s="46" t="inlineStr">
        <is>
          <t>архивный источник</t>
        </is>
      </c>
    </row>
    <row r="16" ht="31.5" customHeight="1" s="38">
      <c r="A16" s="46" t="inlineStr">
        <is>
          <t>SRC-015</t>
        </is>
      </c>
      <c r="B16" s="46" t="inlineStr">
        <is>
          <t>Library of Congress — Calotype and Daguerreotype</t>
        </is>
      </c>
      <c r="C16" s="46" t="inlineStr">
        <is>
          <t>https://blogs.loc.gov/teachers/2018/09/pre-civil-war-photographic-technologies-the-calotype-and-daguerreotype/</t>
        </is>
      </c>
      <c r="D16" s="46" t="inlineStr">
        <is>
          <t>calotype as first negative-positive process</t>
        </is>
      </c>
      <c r="E16" s="46" t="inlineStr">
        <is>
          <t>архивный образовательный источник</t>
        </is>
      </c>
    </row>
    <row r="17" ht="31.5" customHeight="1" s="38">
      <c r="A17" s="46" t="inlineStr">
        <is>
          <t>SRC-016</t>
        </is>
      </c>
      <c r="B17" s="46" t="inlineStr">
        <is>
          <t>The Met — William Henry Fox Talbot</t>
        </is>
      </c>
      <c r="C17" s="46" t="inlineStr">
        <is>
          <t>https://www.metmuseum.org/essays/william-henry-fox-talbot-1800-1877-and-the-invention-of-photography</t>
        </is>
      </c>
      <c r="D17" s="46" t="inlineStr">
        <is>
          <t>Talbot, latent image, calotype, hypo, Pencil of Nature</t>
        </is>
      </c>
      <c r="E17" s="46" t="inlineStr">
        <is>
          <t>музейный эссе-источник</t>
        </is>
      </c>
    </row>
    <row r="18" ht="15.75" customHeight="1" s="38">
      <c r="A18" s="46" t="inlineStr">
        <is>
          <t>SRC-017</t>
        </is>
      </c>
      <c r="B18" s="46" t="inlineStr">
        <is>
          <t>Getty — Sir John F. W. Herschel</t>
        </is>
      </c>
      <c r="C18" s="46" t="inlineStr">
        <is>
          <t>https://www.getty.edu/art/collection/person/103KHK</t>
        </is>
      </c>
      <c r="D18" s="46" t="inlineStr">
        <is>
          <t>Herschel, terminology, cyanotype context</t>
        </is>
      </c>
      <c r="E18" s="46" t="inlineStr">
        <is>
          <t>музейная биография</t>
        </is>
      </c>
    </row>
    <row r="19" ht="31.5" customHeight="1" s="38">
      <c r="A19" s="46" t="inlineStr">
        <is>
          <t>SRC-018</t>
        </is>
      </c>
      <c r="B19" s="46" t="inlineStr">
        <is>
          <t>HNOC — Cyanotype Process</t>
        </is>
      </c>
      <c r="C19" s="46" t="inlineStr">
        <is>
          <t>https://hnoc.org/virtual-exhibitions/from_daguerreotype_to_digital/cyanotype-process</t>
        </is>
      </c>
      <c r="D19" s="46" t="inlineStr">
        <is>
          <t>Herschel, cyanotype 1842</t>
        </is>
      </c>
      <c r="E19" s="46" t="inlineStr">
        <is>
          <t>музейный образовательный источник</t>
        </is>
      </c>
    </row>
    <row r="20" ht="31.5" customHeight="1" s="38">
      <c r="A20" s="46" t="inlineStr">
        <is>
          <t>SRC-019</t>
        </is>
      </c>
      <c r="B20" s="46" t="inlineStr">
        <is>
          <t>Natural History Museum — Anna Atkins's cyanotypes</t>
        </is>
      </c>
      <c r="C20" s="46" t="inlineStr">
        <is>
          <t>https://www.nhm.ac.uk/discover/anna-atkins-cyanotypes-the-first-book-of-photographs.html</t>
        </is>
      </c>
      <c r="D20" s="46" t="inlineStr">
        <is>
          <t>Anna Atkins, Photographs of British Algae</t>
        </is>
      </c>
      <c r="E20" s="46" t="inlineStr">
        <is>
          <t>музейный источник</t>
        </is>
      </c>
    </row>
    <row r="21" ht="31.5" customHeight="1" s="38">
      <c r="A21" s="46" t="inlineStr">
        <is>
          <t>SRC-020</t>
        </is>
      </c>
      <c r="B21" s="46" t="inlineStr">
        <is>
          <t>V&amp;A — Photography Processes and Techniques</t>
        </is>
      </c>
      <c r="C21" s="46" t="inlineStr">
        <is>
          <t>https://www.vam.ac.uk/info/collection-selection-boxes-photography-processes-and-techniques</t>
        </is>
      </c>
      <c r="D21" s="46" t="inlineStr">
        <is>
          <t>salt print, albumen print, wet collodion process</t>
        </is>
      </c>
      <c r="E21" s="46" t="inlineStr">
        <is>
          <t>музейный источник</t>
        </is>
      </c>
    </row>
    <row r="22" ht="31.5" customHeight="1" s="38">
      <c r="A22" s="46" t="inlineStr">
        <is>
          <t>SRC-021</t>
        </is>
      </c>
      <c r="B22" s="46" t="inlineStr">
        <is>
          <t>National Science and Media Museum — Frederick Scott Archer</t>
        </is>
      </c>
      <c r="C22" s="46" t="inlineStr">
        <is>
          <t>https://blog.scienceandmediamuseum.org.uk/photography-a-z-frederick-scott-archer-wet-collodion-process/</t>
        </is>
      </c>
      <c r="D22" s="46" t="inlineStr">
        <is>
          <t>Archer, wet collodion, 1851, process details</t>
        </is>
      </c>
      <c r="E22" s="46" t="inlineStr">
        <is>
          <t>музейный блог</t>
        </is>
      </c>
    </row>
    <row r="23" ht="31.5" customHeight="1" s="38">
      <c r="A23" s="46" t="inlineStr">
        <is>
          <t>SRC-022</t>
        </is>
      </c>
      <c r="B23" s="46" t="inlineStr">
        <is>
          <t>Library of Congress — Ambrotypes and Tintypes</t>
        </is>
      </c>
      <c r="C23" s="46" t="inlineStr">
        <is>
          <t>https://www.loc.gov/collections/liljenquist-civil-war-photographs/articles-and-essays/ambrotypes-and-tintypes/</t>
        </is>
      </c>
      <c r="D23" s="46" t="inlineStr">
        <is>
          <t>ambrotype, tintype, Cutting patent, 1854</t>
        </is>
      </c>
      <c r="E23" s="46" t="inlineStr">
        <is>
          <t>архивный источник</t>
        </is>
      </c>
    </row>
    <row r="24" ht="15.75" customHeight="1" s="38">
      <c r="A24" s="46" t="inlineStr">
        <is>
          <t>SRC-023</t>
        </is>
      </c>
      <c r="B24" s="46" t="inlineStr">
        <is>
          <t>National Gallery of Canada — The Calotype Process</t>
        </is>
      </c>
      <c r="C24" s="46" t="inlineStr">
        <is>
          <t>https://www.gallery.ca/photo-blog/the-calotype-process</t>
        </is>
      </c>
      <c r="D24" s="46" t="inlineStr">
        <is>
          <t>photogenic drawing 1834, calotype context</t>
        </is>
      </c>
      <c r="E24" s="46" t="inlineStr">
        <is>
          <t>музейный источник</t>
        </is>
      </c>
    </row>
    <row r="25" ht="31.5" customHeight="1" s="38">
      <c r="A25" s="46" t="inlineStr">
        <is>
          <t>SRC-024</t>
        </is>
      </c>
      <c r="B25" s="46" t="inlineStr">
        <is>
          <t>Royal Society / Google Arts &amp; Culture — Stereoscopy</t>
        </is>
      </c>
      <c r="C25" s="46" t="inlineStr">
        <is>
          <t>https://artsandculture.google.com/story/stereoscopy-the-birth-of-3d-technology-the-royal-society/pwWRTNS-hqDN5g</t>
        </is>
      </c>
      <c r="D25" s="46" t="inlineStr">
        <is>
          <t>Wheatstone, stereoscopy 1838</t>
        </is>
      </c>
      <c r="E25" s="46" t="inlineStr">
        <is>
          <t>общественно-научный источник</t>
        </is>
      </c>
    </row>
    <row r="26" ht="31.5" customHeight="1" s="38">
      <c r="A26" s="46" t="inlineStr">
        <is>
          <t>SRC-025</t>
        </is>
      </c>
      <c r="B26" s="46" t="inlineStr">
        <is>
          <t>Getty Conservation Institute — Atlas: Salt Print PDF</t>
        </is>
      </c>
      <c r="C26" s="46" t="inlineStr">
        <is>
          <t>https://www.getty.edu/conservation/publications_resources/pdf_publications/pdf/atlas_saltprint.pdf</t>
        </is>
      </c>
      <c r="D26" s="46" t="inlineStr">
        <is>
          <t>salt print chemistry, Scheele, Wedgwood context</t>
        </is>
      </c>
      <c r="E26" s="46" t="inlineStr">
        <is>
          <t>технический PDF</t>
        </is>
      </c>
    </row>
    <row r="27" ht="31.5" customHeight="1" s="38">
      <c r="A27" s="46" t="inlineStr">
        <is>
          <t>SRC-026</t>
        </is>
      </c>
      <c r="B27" s="46" t="inlineStr">
        <is>
          <t>V&amp;A — A to Z of photographic processes</t>
        </is>
      </c>
      <c r="C27" s="46" t="inlineStr">
        <is>
          <t>https://www.vam.ac.uk/articles/photographic-processes</t>
        </is>
      </c>
      <c r="D27" s="46" t="inlineStr">
        <is>
          <t>общий перечень процессов для последующих версий</t>
        </is>
      </c>
      <c r="E27" s="46" t="inlineStr">
        <is>
          <t>дополнительный справочник</t>
        </is>
      </c>
    </row>
    <row r="28" ht="23.25" customHeight="1" s="38">
      <c r="A28" s="49" t="inlineStr">
        <is>
          <t>SRC-027</t>
        </is>
      </c>
      <c r="B28" s="49" t="inlineStr">
        <is>
          <t>National Science and Media Museum — Kodak and Ilford camera factories</t>
        </is>
      </c>
      <c r="C28" s="49" t="inlineStr">
        <is>
          <t>https://www.scienceandmediamuseum.org.uk/objects-and-stories/kodak-ilford-camera-factories-1930s</t>
        </is>
      </c>
      <c r="D28" s="49" t="inlineStr">
        <is>
          <t>Maddox 1871, Burgess/Kennett/Bennett improvements, Liverpool Dry Plate Company 1874</t>
        </is>
      </c>
      <c r="E28" s="49" t="inlineStr">
        <is>
          <t>музейный источник</t>
        </is>
      </c>
    </row>
    <row r="29" ht="23.25" customHeight="1" s="38">
      <c r="A29" s="49" t="inlineStr">
        <is>
          <t>SRC-028</t>
        </is>
      </c>
      <c r="B29" s="49" t="inlineStr">
        <is>
          <t>National Science and Media Museum — A brief guide to photographs on glass</t>
        </is>
      </c>
      <c r="C29" s="49" t="inlineStr">
        <is>
          <t>https://blog.scienceandmediamuseum.org.uk/a-brief-guide-to-photographs-on-glass/</t>
        </is>
      </c>
      <c r="D29" s="49" t="inlineStr">
        <is>
          <t>dry plate 1871, manufacture 1878, replacement of wet collodion, storage benefits</t>
        </is>
      </c>
      <c r="E29" s="49" t="inlineStr">
        <is>
          <t>музейный блог</t>
        </is>
      </c>
    </row>
    <row r="30" ht="23.25" customHeight="1" s="38">
      <c r="A30" s="49" t="inlineStr">
        <is>
          <t>SRC-029</t>
        </is>
      </c>
      <c r="B30" s="49" t="inlineStr">
        <is>
          <t>Swiss Camera Museum — Gelatine bromide plates</t>
        </is>
      </c>
      <c r="C30" s="49" t="inlineStr">
        <is>
          <t>https://www.cameramuseum.ch/en/discover/permanent-exhibition/the-plate-era/gelatine-bromide-plates/</t>
        </is>
      </c>
      <c r="D30" s="49" t="inlineStr">
        <is>
          <t>Maddox 1871, Bennett 1878, heating emulsion, 1/25 second exposure</t>
        </is>
      </c>
      <c r="E30" s="49" t="inlineStr">
        <is>
          <t>музейный источник</t>
        </is>
      </c>
    </row>
    <row r="31" ht="23.25" customHeight="1" s="38">
      <c r="A31" s="49" t="inlineStr">
        <is>
          <t>SRC-030</t>
        </is>
      </c>
      <c r="B31" s="49" t="inlineStr">
        <is>
          <t>Cornell Library — Dawn's Early Light: Towards Modern Photography</t>
        </is>
      </c>
      <c r="C31" s="49" t="inlineStr">
        <is>
          <t>https://rmc.library.cornell.edu/DawnsEarlyLight/exhibition/modernphotography/index.html</t>
        </is>
      </c>
      <c r="D31" s="49" t="inlineStr">
        <is>
          <t>dry plate 1871/1878, faster exposure, motion, norm by late 1880s</t>
        </is>
      </c>
      <c r="E31" s="49" t="inlineStr">
        <is>
          <t>университетская выставка</t>
        </is>
      </c>
    </row>
    <row r="32" ht="23.25" customHeight="1" s="38">
      <c r="A32" s="49" t="inlineStr">
        <is>
          <t>SRC-031</t>
        </is>
      </c>
      <c r="B32" s="49" t="inlineStr">
        <is>
          <t>Kodak — History</t>
        </is>
      </c>
      <c r="C32" s="49" t="inlineStr">
        <is>
          <t>https://www.kodak.com/en/company/page/history/</t>
        </is>
      </c>
      <c r="D32" s="49" t="inlineStr">
        <is>
          <t>Eastman commercial dry plates in 1880, Eastman Dry Plate Company 1881</t>
        </is>
      </c>
      <c r="E32" s="49" t="inlineStr">
        <is>
          <t>официальная история компании</t>
        </is>
      </c>
    </row>
    <row r="33" ht="23.25" customHeight="1" s="38">
      <c r="A33" s="49" t="inlineStr">
        <is>
          <t>SRC-032</t>
        </is>
      </c>
      <c r="B33" s="49" t="inlineStr">
        <is>
          <t>Kodak — George Eastman History</t>
        </is>
      </c>
      <c r="C33" s="49" t="inlineStr">
        <is>
          <t>https://www.kodak.com/en/company/page/george-eastman-history/</t>
        </is>
      </c>
      <c r="D33" s="49" t="inlineStr">
        <is>
          <t>Eastman and Strong, Eastman Dry Plate Company on January 1, 1881</t>
        </is>
      </c>
      <c r="E33" s="49" t="inlineStr">
        <is>
          <t>официальная история компании</t>
        </is>
      </c>
    </row>
    <row r="34" ht="23.25" customHeight="1" s="38">
      <c r="A34" s="49" t="inlineStr">
        <is>
          <t>SRC-033</t>
        </is>
      </c>
      <c r="B34" s="49" t="inlineStr">
        <is>
          <t>Smithsonian Institution Archives — Gelatin Dry Plate Negatives</t>
        </is>
      </c>
      <c r="C34" s="49" t="inlineStr">
        <is>
          <t>https://siarchives.si.edu/blog/highlight-photo-cold-vault-gelatin-dry-plate-negatives</t>
        </is>
      </c>
      <c r="D34" s="49" t="inlineStr">
        <is>
          <t>dry plates as popular negative from 1880 to 1900, benefits versus wet collodion</t>
        </is>
      </c>
      <c r="E34" s="49" t="inlineStr">
        <is>
          <t>архивный музейный источник</t>
        </is>
      </c>
    </row>
    <row r="35" ht="23.25" customHeight="1" s="38">
      <c r="A35" s="49" t="inlineStr">
        <is>
          <t>SRC-034</t>
        </is>
      </c>
      <c r="B35" s="49" t="inlineStr">
        <is>
          <t>George Eastman Museum — Dry Plates in the Woods</t>
        </is>
      </c>
      <c r="C35" s="49" t="inlineStr">
        <is>
          <t>https://www.eastman.org/blog/dry-plates-woods-using-19th-century-photographic-processes-capture-letchworth-state-park</t>
        </is>
      </c>
      <c r="D35" s="49" t="inlineStr">
        <is>
          <t>dry plates coated with gelatin emulsion, practical freedom, Eastman's role</t>
        </is>
      </c>
      <c r="E35" s="49" t="inlineStr">
        <is>
          <t>музейный источник</t>
        </is>
      </c>
    </row>
    <row r="36">
      <c r="A36" s="45" t="inlineStr">
        <is>
          <t>SRC-035</t>
        </is>
      </c>
      <c r="B36" s="45" t="inlineStr">
        <is>
          <t>Science Museum Group — Eastman-Walker roll holder</t>
        </is>
      </c>
      <c r="C36" s="45" t="inlineStr">
        <is>
          <t>https://collection.sciencemuseumgroup.org.uk/objects/co15879/eastman-walker-roll-holder</t>
        </is>
      </c>
      <c r="D36" s="45" t="inlineStr">
        <is>
          <t>Eastman-Walker roll holder, 1885, made by Eastman Dry Plate and Film Company</t>
        </is>
      </c>
      <c r="E36" s="45" t="inlineStr">
        <is>
          <t>музейная карточка предмета</t>
        </is>
      </c>
    </row>
    <row r="37">
      <c r="A37" s="45" t="inlineStr">
        <is>
          <t>SRC-036</t>
        </is>
      </c>
      <c r="B37" s="45" t="inlineStr">
        <is>
          <t>George Eastman Museum — Two rare rolls of early Kodak film</t>
        </is>
      </c>
      <c r="C37" s="45" t="inlineStr">
        <is>
          <t>https://www.eastman.org/two-rare-rolls-early-kodak-film-acquired-george-eastman-museum</t>
        </is>
      </c>
      <c r="D37" s="45" t="inlineStr">
        <is>
          <t>American Film 1885 with Eastman-Walker roll holder; Kodak film 1888; Kodak transparent film 1889</t>
        </is>
      </c>
      <c r="E37" s="45" t="inlineStr">
        <is>
          <t>музейный источник</t>
        </is>
      </c>
    </row>
    <row r="38">
      <c r="A38" s="45" t="inlineStr">
        <is>
          <t>SRC-037</t>
        </is>
      </c>
      <c r="B38" s="45" t="inlineStr">
        <is>
          <t>National Inventors Hall of Fame — Hannibal Goodwin</t>
        </is>
      </c>
      <c r="C38" s="45" t="inlineStr">
        <is>
          <t>https://www.invent.org/inductees/hannibal-goodwin</t>
        </is>
      </c>
      <c r="D38" s="45" t="inlineStr">
        <is>
          <t>Goodwin and transparent flexible roll film on nitrocellulose base</t>
        </is>
      </c>
      <c r="E38" s="45" t="inlineStr">
        <is>
          <t>биографический/изобретательский источник</t>
        </is>
      </c>
    </row>
    <row r="39">
      <c r="A39" s="45" t="inlineStr">
        <is>
          <t>SRC-038</t>
        </is>
      </c>
      <c r="B39" s="45" t="inlineStr">
        <is>
          <t>Smithsonian NMAH — Original Kodak Camera, Serial No. 540</t>
        </is>
      </c>
      <c r="C39" s="45" t="inlineStr">
        <is>
          <t>https://americanhistory.si.edu/collections/object/nmah_760118</t>
        </is>
      </c>
      <c r="D39" s="45" t="inlineStr">
        <is>
          <t>Original Kodak camera 1888, flexible roll film, 100 exposures, price/context</t>
        </is>
      </c>
      <c r="E39" s="45" t="inlineStr">
        <is>
          <t>музейная карточка предмета</t>
        </is>
      </c>
    </row>
    <row r="40">
      <c r="A40" s="45" t="inlineStr">
        <is>
          <t>SRC-039</t>
        </is>
      </c>
      <c r="B40" s="45" t="inlineStr">
        <is>
          <t>The Met — Kodak and the Rise of Amateur Photography</t>
        </is>
      </c>
      <c r="C40" s="45" t="inlineStr">
        <is>
          <t>https://www.metmuseum.org/essays/kodak-and-the-rise-of-amateur-photography</t>
        </is>
      </c>
      <c r="D40" s="45" t="inlineStr">
        <is>
          <t>Kodak No. 1 camera, 100-exposure roll, factory processing/reloading, amateur photography</t>
        </is>
      </c>
      <c r="E40" s="45" t="inlineStr">
        <is>
          <t>музейный эссе-источник</t>
        </is>
      </c>
    </row>
    <row r="41">
      <c r="A41" s="45" t="inlineStr">
        <is>
          <t>SRC-040</t>
        </is>
      </c>
      <c r="B41" s="45" t="inlineStr">
        <is>
          <t>George Eastman Museum — From the Camera Obscura to the Revolutionary Kodak</t>
        </is>
      </c>
      <c r="C41" s="45" t="inlineStr">
        <is>
          <t>https://www.eastman.org/camera-obscura-revolutionary-kodak</t>
        </is>
      </c>
      <c r="D41" s="45" t="inlineStr">
        <is>
          <t>Kodak launch 1888, camera patent and Kodak trademark on September 4, 1888</t>
        </is>
      </c>
      <c r="E41" s="45" t="inlineStr">
        <is>
          <t>музейный источник</t>
        </is>
      </c>
    </row>
    <row r="42">
      <c r="A42" s="45" t="inlineStr">
        <is>
          <t>SRC-041</t>
        </is>
      </c>
      <c r="B42" s="45" t="inlineStr">
        <is>
          <t>Kodak — Chronology of Film</t>
        </is>
      </c>
      <c r="C42" s="45" t="inlineStr">
        <is>
          <t>https://www.kodak.com/en/motion/page/chronology-of-film/</t>
        </is>
      </c>
      <c r="D42" s="45" t="inlineStr">
        <is>
          <t>1889 first commercial transparent roll film, Eastman and research chemist, impact on motion picture camera</t>
        </is>
      </c>
      <c r="E42" s="45" t="inlineStr">
        <is>
          <t>официальная хронология компании</t>
        </is>
      </c>
    </row>
    <row r="43">
      <c r="A43" s="45" t="inlineStr">
        <is>
          <t>SRC-042</t>
        </is>
      </c>
      <c r="B43" s="45" t="inlineStr">
        <is>
          <t>Kodak — Milestones</t>
        </is>
      </c>
      <c r="C43" s="45" t="inlineStr">
        <is>
          <t>https://www.kodak.com/en/company/page/milestones/</t>
        </is>
      </c>
      <c r="D43" s="45" t="inlineStr">
        <is>
          <t>1891 first daylight-loading camera; Kodak Park and film/paper manufacturing context</t>
        </is>
      </c>
      <c r="E43" s="45" t="inlineStr">
        <is>
          <t>официальная хронология компании</t>
        </is>
      </c>
    </row>
    <row r="44">
      <c r="A44" s="45" t="inlineStr">
        <is>
          <t>SRC-043</t>
        </is>
      </c>
      <c r="B44" s="45" t="inlineStr">
        <is>
          <t>National Science and Media Museum — Kodak Gallery</t>
        </is>
      </c>
      <c r="C44" s="45" t="inlineStr">
        <is>
          <t>https://www.scienceandmediamuseum.org.uk/whats-on/kodak-gallery</t>
        </is>
      </c>
      <c r="D44" s="45" t="inlineStr">
        <is>
          <t>Kodak camera 1888 and Brownie 1900 as birth of popular photography</t>
        </is>
      </c>
      <c r="E44" s="45" t="inlineStr">
        <is>
          <t>музейный источник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6"/>
  <sheetViews>
    <sheetView showGridLines="1" workbookViewId="0">
      <selection activeCell="A1" sqref="A1"/>
    </sheetView>
  </sheetViews>
  <sheetFormatPr baseColWidth="8" defaultColWidth="8.66796875" defaultRowHeight="12.75"/>
  <cols>
    <col width="13.67000007629395" customWidth="1" style="37" min="1" max="1"/>
    <col width="57.83000183105469" customWidth="1" style="37" min="2" max="2"/>
    <col width="14.67000007629395" customWidth="1" style="37" min="3" max="3"/>
    <col width="28" customWidth="1" style="37" min="4" max="4"/>
    <col width="8.159999847412109" customWidth="1" style="37" min="5" max="5"/>
    <col width="10.65999984741211" customWidth="1" style="37" min="6" max="6"/>
    <col width="30.67000007629395" customWidth="1" style="37" min="7" max="7"/>
    <col width="40.15999984741211" customWidth="1" style="37" min="8" max="8"/>
  </cols>
  <sheetData>
    <row r="1" ht="27.75" customHeight="1" s="38">
      <c r="A1" s="41" t="inlineStr">
        <is>
          <t>Точность даты</t>
        </is>
      </c>
      <c r="B1" s="41" t="inlineStr">
        <is>
          <t>Статус ветки</t>
        </is>
      </c>
      <c r="C1" s="41" t="inlineStr">
        <is>
          <t>Урок</t>
        </is>
      </c>
      <c r="D1" s="41" t="inlineStr">
        <is>
          <t>Ветка</t>
        </is>
      </c>
      <c r="E1" s="41" t="inlineStr">
        <is>
          <t>Важность</t>
        </is>
      </c>
      <c r="F1" s="41" t="inlineStr">
        <is>
          <t>Уверенность</t>
        </is>
      </c>
      <c r="G1" s="42" t="inlineStr">
        <is>
          <t>Тип узла</t>
        </is>
      </c>
      <c r="H1" s="42" t="inlineStr">
        <is>
          <t>Подветка (детали)</t>
        </is>
      </c>
    </row>
    <row r="2" ht="15.75" customHeight="1" s="38">
      <c r="A2" s="46" t="inlineStr">
        <is>
          <t>точная дата</t>
        </is>
      </c>
      <c r="B2" s="46" t="inlineStr">
        <is>
          <t>Временная доминирующая линия</t>
        </is>
      </c>
      <c r="C2" s="46" t="inlineStr">
        <is>
          <t>PL-001</t>
        </is>
      </c>
      <c r="D2" s="46" t="inlineStr">
        <is>
          <t>Оптика / камера-обскура</t>
        </is>
      </c>
      <c r="E2" s="46" t="n">
        <v>1</v>
      </c>
      <c r="F2" s="46" t="n">
        <v>1</v>
      </c>
      <c r="G2" s="45" t="inlineStr">
        <is>
          <t>Фундаментальная предпосылка</t>
        </is>
      </c>
      <c r="H2" s="45" t="inlineStr">
        <is>
          <t>Оптика / терминология</t>
        </is>
      </c>
    </row>
    <row r="3" ht="15.75" customHeight="1" s="38">
      <c r="A3" s="46" t="inlineStr">
        <is>
          <t>год</t>
        </is>
      </c>
      <c r="B3" s="46" t="inlineStr">
        <is>
          <t>Главная линия</t>
        </is>
      </c>
      <c r="C3" s="46" t="inlineStr">
        <is>
          <t>PL-002</t>
        </is>
      </c>
      <c r="D3" s="46" t="inlineStr">
        <is>
          <t>Оптические инструменты</t>
        </is>
      </c>
      <c r="E3" s="46" t="n">
        <v>2</v>
      </c>
      <c r="F3" s="46" t="n">
        <v>2</v>
      </c>
      <c r="G3" s="45" t="inlineStr">
        <is>
          <t>Технология / процесс</t>
        </is>
      </c>
      <c r="H3" s="45" t="inlineStr">
        <is>
          <t>Оптика / камера</t>
        </is>
      </c>
    </row>
    <row r="4" ht="15.75" customHeight="1" s="38">
      <c r="A4" s="46" t="inlineStr">
        <is>
          <t>примерно</t>
        </is>
      </c>
      <c r="B4" s="46" t="inlineStr">
        <is>
          <t>Главная линия / временная доминирующая линия</t>
        </is>
      </c>
      <c r="C4" s="46" t="inlineStr">
        <is>
          <t>PL-003</t>
        </is>
      </c>
      <c r="D4" s="46" t="inlineStr">
        <is>
          <t>Фотохимия</t>
        </is>
      </c>
      <c r="E4" s="46" t="n">
        <v>3</v>
      </c>
      <c r="F4" s="46" t="n">
        <v>3</v>
      </c>
      <c r="G4" s="45" t="inlineStr">
        <is>
          <t>Инструмент / устройство</t>
        </is>
      </c>
      <c r="H4" s="45" t="inlineStr">
        <is>
          <t>Оптические инструменты / 3D</t>
        </is>
      </c>
    </row>
    <row r="5" ht="15.75" customHeight="1" s="38">
      <c r="A5" s="46" t="inlineStr">
        <is>
          <t>диапазон</t>
        </is>
      </c>
      <c r="B5" s="46" t="inlineStr">
        <is>
          <t>Исторически важная ограниченная ветка</t>
        </is>
      </c>
      <c r="C5" s="46" t="inlineStr">
        <is>
          <t>PL-004</t>
        </is>
      </c>
      <c r="D5" s="46" t="inlineStr">
        <is>
          <t>Гелиография</t>
        </is>
      </c>
      <c r="E5" s="46" t="n">
        <v>4</v>
      </c>
      <c r="F5" s="46" t="n">
        <v>4</v>
      </c>
      <c r="G5" s="45" t="inlineStr">
        <is>
          <t>Публикация / объявление</t>
        </is>
      </c>
      <c r="H5" s="45" t="inlineStr">
        <is>
          <t>Фотохимия / фиксация</t>
        </is>
      </c>
    </row>
    <row r="6" ht="31.5" customHeight="1" s="38">
      <c r="A6" s="46" t="inlineStr">
        <is>
          <t>спорно/уточнить</t>
        </is>
      </c>
      <c r="B6" s="46" t="inlineStr">
        <is>
          <t>Исторически важная ограниченная ветка / художественное возрождение</t>
        </is>
      </c>
      <c r="C6" s="46" t="inlineStr">
        <is>
          <t>PL-005</t>
        </is>
      </c>
      <c r="D6" s="46" t="inlineStr">
        <is>
          <t>Дагеротип</t>
        </is>
      </c>
      <c r="E6" s="46" t="n">
        <v>5</v>
      </c>
      <c r="F6" s="46" t="n">
        <v>5</v>
      </c>
      <c r="G6" s="45" t="inlineStr">
        <is>
          <t>Терминология / язык</t>
        </is>
      </c>
      <c r="H6" s="45" t="inlineStr">
        <is>
          <t>Фотохимия / первая фиксация</t>
        </is>
      </c>
    </row>
    <row r="7" ht="31.5" customHeight="1" s="38">
      <c r="A7" s="46" t="n"/>
      <c r="B7" s="46" t="inlineStr">
        <is>
          <t>Оптическая предпосылка</t>
        </is>
      </c>
      <c r="C7" s="46" t="inlineStr">
        <is>
          <t>PL-006</t>
        </is>
      </c>
      <c r="D7" s="46" t="inlineStr">
        <is>
          <t>Фотогенный рисунок / фотограмма</t>
        </is>
      </c>
      <c r="E7" s="46" t="n"/>
      <c r="F7" s="46" t="n"/>
      <c r="G7" s="45" t="inlineStr">
        <is>
          <t>Связь / переход</t>
        </is>
      </c>
      <c r="H7" s="45" t="inlineStr">
        <is>
          <t>Фотохимия / публикация</t>
        </is>
      </c>
    </row>
    <row r="8" ht="15.75" customHeight="1" s="38">
      <c r="A8" s="46" t="n"/>
      <c r="B8" s="46" t="inlineStr">
        <is>
          <t>Переходная технология</t>
        </is>
      </c>
      <c r="C8" s="46" t="inlineStr">
        <is>
          <t>PL-007</t>
        </is>
      </c>
      <c r="D8" s="46" t="inlineStr">
        <is>
          <t>Негатив-позитив</t>
        </is>
      </c>
      <c r="E8" s="46" t="n"/>
      <c r="F8" s="46" t="n"/>
      <c r="G8" s="45" t="inlineStr">
        <is>
          <t>Тиражирование / публикация</t>
        </is>
      </c>
      <c r="H8" s="45" t="inlineStr">
        <is>
          <t>Фотохимия / первая фиксация</t>
        </is>
      </c>
    </row>
    <row r="9" ht="31.5" customHeight="1" s="38">
      <c r="A9" s="46" t="n"/>
      <c r="B9" s="46" t="inlineStr">
        <is>
          <t>Переходная технология / художественное возрождение</t>
        </is>
      </c>
      <c r="C9" s="46" t="inlineStr">
        <is>
          <t>будущие PL</t>
        </is>
      </c>
      <c r="D9" s="46" t="inlineStr">
        <is>
          <t>Фиксаж / терминология</t>
        </is>
      </c>
      <c r="E9" s="46" t="n"/>
      <c r="F9" s="46" t="n"/>
      <c r="G9" s="45" t="inlineStr">
        <is>
          <t>Распространение / коммерциализация</t>
        </is>
      </c>
      <c r="H9" s="45" t="inlineStr">
        <is>
          <t>Первая фиксация / проблема постоянства</t>
        </is>
      </c>
    </row>
    <row r="10" ht="15.75" customHeight="1" s="38">
      <c r="A10" s="46" t="n"/>
      <c r="B10" s="46" t="inlineStr">
        <is>
          <t>Тупиковая / не получила развития</t>
        </is>
      </c>
      <c r="C10" s="46" t="inlineStr">
        <is>
          <t>межурочный узел</t>
        </is>
      </c>
      <c r="D10" s="46" t="inlineStr">
        <is>
          <t>Печать / тиражирование</t>
        </is>
      </c>
      <c r="E10" s="46" t="n"/>
      <c r="F10" s="46" t="n"/>
      <c r="G10" s="45" t="inlineStr">
        <is>
          <t>Научное применение / пример</t>
        </is>
      </c>
      <c r="H10" s="45" t="inlineStr">
        <is>
          <t>Гелиография / первая сохранившаяся фотография</t>
        </is>
      </c>
    </row>
    <row r="11" ht="15.75" customHeight="1" s="38">
      <c r="A11" s="46" t="n"/>
      <c r="B11" s="46" t="inlineStr">
        <is>
          <t>Химическая предпосылка</t>
        </is>
      </c>
      <c r="C11" s="46" t="inlineStr">
        <is>
          <t>проверить</t>
        </is>
      </c>
      <c r="D11" s="46" t="inlineStr">
        <is>
          <t>Мокрый коллодий</t>
        </is>
      </c>
      <c r="E11" s="46" t="n"/>
      <c r="F11" s="46" t="n"/>
      <c r="G11" s="45" t="inlineStr">
        <is>
          <t>Применение / жанр</t>
        </is>
      </c>
      <c r="H11" s="45" t="inlineStr">
        <is>
          <t>Передача идеи / развитие процесса</t>
        </is>
      </c>
    </row>
    <row r="12" ht="15.75" customHeight="1" s="38">
      <c r="A12" s="46" t="n"/>
      <c r="B12" s="46" t="n"/>
      <c r="C12" s="46" t="n"/>
      <c r="D12" s="46" t="inlineStr">
        <is>
          <t>Уникальный позитив</t>
        </is>
      </c>
      <c r="E12" s="46" t="n"/>
      <c r="F12" s="46" t="n"/>
      <c r="G12" s="45" t="inlineStr">
        <is>
          <t>Ключевой исторический узел</t>
        </is>
      </c>
      <c r="H12" s="45" t="inlineStr">
        <is>
          <t>Дагеротип / публичное объявление</t>
        </is>
      </c>
    </row>
    <row r="13" ht="15.75" customHeight="1" s="38">
      <c r="A13" s="46" t="n"/>
      <c r="B13" s="46" t="n"/>
      <c r="C13" s="46" t="n"/>
      <c r="D13" s="46" t="inlineStr">
        <is>
          <t>Цвет</t>
        </is>
      </c>
      <c r="E13" s="46" t="n"/>
      <c r="F13" s="46" t="n"/>
      <c r="G13" s="45" t="n"/>
      <c r="H13" s="45" t="inlineStr">
        <is>
          <t>Дагеротип / распространение</t>
        </is>
      </c>
    </row>
    <row r="14" ht="15.75" customHeight="1" s="38">
      <c r="A14" s="46" t="n"/>
      <c r="B14" s="46" t="n"/>
      <c r="C14" s="46" t="n"/>
      <c r="D14" s="46" t="inlineStr">
        <is>
          <t>Проекция / распространение</t>
        </is>
      </c>
      <c r="E14" s="46" t="n"/>
      <c r="F14" s="46" t="n"/>
      <c r="G14" s="45" t="n"/>
      <c r="H14" s="45" t="inlineStr">
        <is>
          <t>Фотогенный рисунок / публикация</t>
        </is>
      </c>
    </row>
    <row r="15" ht="15" customHeight="1" s="38">
      <c r="A15" s="46" t="n"/>
      <c r="B15" s="46" t="n"/>
      <c r="C15" s="46" t="n"/>
      <c r="D15" s="46" t="n"/>
      <c r="E15" s="46" t="n"/>
      <c r="F15" s="46" t="n"/>
      <c r="G15" s="45" t="n"/>
      <c r="H15" s="45" t="inlineStr">
        <is>
          <t>Негатив-позитив / проявление</t>
        </is>
      </c>
    </row>
    <row r="16" ht="15" customHeight="1" s="38">
      <c r="A16" s="46" t="n"/>
      <c r="B16" s="46" t="n"/>
      <c r="C16" s="46" t="n"/>
      <c r="D16" s="46" t="n"/>
      <c r="E16" s="46" t="n"/>
      <c r="F16" s="46" t="n"/>
      <c r="G16" s="45" t="n"/>
      <c r="H16" s="45" t="inlineStr">
        <is>
          <t>Научная фотография</t>
        </is>
      </c>
    </row>
    <row r="17" ht="15" customHeight="1" s="38">
      <c r="A17" s="46" t="n"/>
      <c r="B17" s="46" t="n"/>
      <c r="C17" s="46" t="n"/>
      <c r="D17" s="46" t="n"/>
      <c r="E17" s="46" t="n"/>
      <c r="F17" s="46" t="n"/>
      <c r="G17" s="45" t="n"/>
      <c r="H17" s="45" t="inlineStr">
        <is>
          <t>Цианотипия</t>
        </is>
      </c>
    </row>
    <row r="18" ht="15" customHeight="1" s="38">
      <c r="A18" s="46" t="n"/>
      <c r="B18" s="46" t="n"/>
      <c r="C18" s="46" t="n"/>
      <c r="D18" s="46" t="n"/>
      <c r="E18" s="46" t="n"/>
      <c r="F18" s="46" t="n"/>
      <c r="G18" s="45" t="n"/>
      <c r="H18" s="45" t="inlineStr">
        <is>
          <t>Фотокнига / научная документация</t>
        </is>
      </c>
    </row>
    <row r="19" ht="15" customHeight="1" s="38">
      <c r="A19" s="46" t="n"/>
      <c r="B19" s="46" t="n"/>
      <c r="C19" s="46" t="n"/>
      <c r="D19" s="46" t="n"/>
      <c r="E19" s="46" t="n"/>
      <c r="F19" s="46" t="n"/>
      <c r="G19" s="45" t="n"/>
      <c r="H19" s="45" t="inlineStr">
        <is>
          <t>Фотокнига / тиражирование</t>
        </is>
      </c>
    </row>
    <row r="20" ht="15" customHeight="1" s="38">
      <c r="A20" s="46" t="n"/>
      <c r="B20" s="46" t="n"/>
      <c r="C20" s="46" t="n"/>
      <c r="D20" s="46" t="n"/>
      <c r="E20" s="46" t="n"/>
      <c r="F20" s="46" t="n"/>
      <c r="G20" s="45" t="n"/>
      <c r="H20" s="45" t="inlineStr">
        <is>
          <t>Научная / медицинская фотография</t>
        </is>
      </c>
    </row>
    <row r="21" ht="15" customHeight="1" s="38">
      <c r="A21" s="46" t="n"/>
      <c r="B21" s="46" t="n"/>
      <c r="C21" s="46" t="n"/>
      <c r="D21" s="46" t="n"/>
      <c r="E21" s="46" t="n"/>
      <c r="F21" s="46" t="n"/>
      <c r="G21" s="45" t="n"/>
      <c r="H21" s="45" t="inlineStr">
        <is>
          <t>Мокрый коллодий / распространение</t>
        </is>
      </c>
    </row>
    <row r="22" ht="15" customHeight="1" s="38">
      <c r="A22" s="46" t="n"/>
      <c r="B22" s="46" t="n"/>
      <c r="C22" s="46" t="n"/>
      <c r="D22" s="46" t="n"/>
      <c r="E22" s="46" t="n"/>
      <c r="F22" s="46" t="n"/>
      <c r="G22" s="45" t="n"/>
      <c r="H22" s="45" t="inlineStr">
        <is>
          <t>Мокрый коллодий / химия</t>
        </is>
      </c>
    </row>
    <row r="23" ht="15" customHeight="1" s="38">
      <c r="A23" s="46" t="n"/>
      <c r="B23" s="46" t="n"/>
      <c r="C23" s="46" t="n"/>
      <c r="D23" s="46" t="n"/>
      <c r="E23" s="46" t="n"/>
      <c r="F23" s="46" t="n"/>
      <c r="G23" s="45" t="n"/>
      <c r="H23" s="45" t="inlineStr">
        <is>
          <t>Мокрый коллодий / камера</t>
        </is>
      </c>
    </row>
    <row r="24" ht="15" customHeight="1" s="38">
      <c r="A24" s="46" t="n"/>
      <c r="B24" s="46" t="n"/>
      <c r="C24" s="46" t="n"/>
      <c r="D24" s="46" t="n"/>
      <c r="E24" s="46" t="n"/>
      <c r="F24" s="46" t="n"/>
      <c r="G24" s="45" t="n"/>
      <c r="H24" s="45" t="inlineStr">
        <is>
          <t>Уникальный позитив / мокрый коллодий</t>
        </is>
      </c>
    </row>
    <row r="25" ht="15" customHeight="1" s="38">
      <c r="A25" s="46" t="n"/>
      <c r="B25" s="46" t="n"/>
      <c r="C25" s="46" t="n"/>
      <c r="D25" s="46" t="n"/>
      <c r="E25" s="46" t="n"/>
      <c r="F25" s="46" t="n"/>
      <c r="G25" s="45" t="n"/>
      <c r="H25" s="45" t="inlineStr">
        <is>
          <t>Мокрый коллодий + печать</t>
        </is>
      </c>
    </row>
    <row r="26" ht="15" customHeight="1" s="38">
      <c r="A26" s="46" t="n"/>
      <c r="B26" s="46" t="n"/>
      <c r="C26" s="46" t="n"/>
      <c r="D26" s="46" t="n"/>
      <c r="E26" s="46" t="n"/>
      <c r="F26" s="46" t="n"/>
      <c r="G26" s="45" t="n"/>
      <c r="H26" s="45" t="inlineStr">
        <is>
          <t>Уникальный позитив / массовый портрет</t>
        </is>
      </c>
    </row>
    <row r="27" ht="15" customHeight="1" s="38">
      <c r="A27" s="46" t="n"/>
      <c r="B27" s="46" t="n"/>
      <c r="C27" s="46" t="n"/>
      <c r="D27" s="46" t="n"/>
      <c r="E27" s="46" t="n"/>
      <c r="F27" s="46" t="n"/>
      <c r="G27" s="45" t="n"/>
      <c r="H27" s="45" t="inlineStr">
        <is>
          <t>Сухие желатиновые пластины / химия</t>
        </is>
      </c>
    </row>
    <row r="28" ht="15" customHeight="1" s="38">
      <c r="A28" s="46" t="n"/>
      <c r="B28" s="46" t="n"/>
      <c r="C28" s="46" t="n"/>
      <c r="D28" s="46" t="n"/>
      <c r="E28" s="46" t="n"/>
      <c r="F28" s="46" t="n"/>
      <c r="G28" s="45" t="n"/>
      <c r="H28" s="45" t="inlineStr">
        <is>
          <t>Сухие желатиновые пластины / коммерциализация</t>
        </is>
      </c>
    </row>
    <row r="29" ht="15" customHeight="1" s="38">
      <c r="A29" s="46" t="n"/>
      <c r="B29" s="46" t="n"/>
      <c r="C29" s="46" t="n"/>
      <c r="D29" s="46" t="n"/>
      <c r="E29" s="46" t="n"/>
      <c r="F29" s="46" t="n"/>
      <c r="G29" s="45" t="n"/>
      <c r="H29" s="45" t="inlineStr">
        <is>
          <t>Сухие желатиновые пластины / повышение чувствительности</t>
        </is>
      </c>
    </row>
    <row r="30" ht="15" customHeight="1" s="38">
      <c r="A30" s="46" t="n"/>
      <c r="B30" s="46" t="n"/>
      <c r="C30" s="46" t="n"/>
      <c r="D30" s="46" t="n"/>
      <c r="E30" s="46" t="n"/>
      <c r="F30" s="46" t="n"/>
      <c r="G30" s="45" t="n"/>
      <c r="H30" s="45" t="inlineStr">
        <is>
          <t>Сухие желатиновые пластины / переход от мокрого коллодия</t>
        </is>
      </c>
    </row>
    <row r="31" ht="15" customHeight="1" s="38">
      <c r="A31" s="46" t="n"/>
      <c r="B31" s="46" t="n"/>
      <c r="C31" s="46" t="n"/>
      <c r="D31" s="46" t="n"/>
      <c r="E31" s="46" t="n"/>
      <c r="F31" s="46" t="n"/>
      <c r="G31" s="45" t="n"/>
      <c r="H31" s="45" t="inlineStr">
        <is>
          <t>Сухие желатиновые пластины / скорость и движение</t>
        </is>
      </c>
    </row>
    <row r="32" ht="15" customHeight="1" s="38">
      <c r="A32" s="46" t="n"/>
      <c r="B32" s="46" t="n"/>
      <c r="C32" s="46" t="n"/>
      <c r="D32" s="46" t="n"/>
      <c r="E32" s="46" t="n"/>
      <c r="F32" s="46" t="n"/>
      <c r="G32" s="45" t="n"/>
      <c r="H32" s="45" t="inlineStr">
        <is>
          <t>Сухие желатиновые пластины / американская индустрия</t>
        </is>
      </c>
    </row>
    <row r="33" ht="15" customHeight="1" s="38">
      <c r="A33" s="46" t="n"/>
      <c r="B33" s="46" t="n"/>
      <c r="C33" s="46" t="n"/>
      <c r="D33" s="46" t="n"/>
      <c r="E33" s="46" t="n"/>
      <c r="F33" s="46" t="n"/>
      <c r="G33" s="45" t="n"/>
      <c r="H33" s="45" t="inlineStr">
        <is>
          <t>Сухие желатиновые пластины / бизнес и масштабирование</t>
        </is>
      </c>
    </row>
    <row r="34" ht="15" customHeight="1" s="38">
      <c r="A34" s="46" t="n"/>
      <c r="B34" s="46" t="n"/>
      <c r="C34" s="46" t="n"/>
      <c r="D34" s="46" t="n"/>
      <c r="E34" s="46" t="n"/>
      <c r="F34" s="46" t="n"/>
      <c r="G34" s="45" t="n"/>
      <c r="H34" s="45" t="inlineStr">
        <is>
          <t>Сухие желатиновые пластины / доминирующая практика</t>
        </is>
      </c>
    </row>
    <row r="35" ht="15" customHeight="1" s="38">
      <c r="A35" s="46" t="n"/>
      <c r="B35" s="46" t="n"/>
      <c r="C35" s="46" t="n"/>
      <c r="D35" s="46" t="n"/>
      <c r="E35" s="46" t="n"/>
      <c r="F35" s="46" t="n"/>
      <c r="G35" s="45" t="n"/>
      <c r="H35" s="45" t="inlineStr">
        <is>
          <t>Сухие желатиновые пластины / мобильность</t>
        </is>
      </c>
    </row>
    <row r="36" ht="15" customHeight="1" s="38">
      <c r="A36" s="46" t="n"/>
      <c r="B36" s="46" t="n"/>
      <c r="C36" s="46" t="n"/>
      <c r="D36" s="46" t="n"/>
      <c r="E36" s="46" t="n"/>
      <c r="F36" s="46" t="n"/>
      <c r="G36" s="45" t="n"/>
      <c r="H36" s="45" t="inlineStr">
        <is>
          <t>Сухие желатиновые пластины / мост к плёнке</t>
        </is>
      </c>
    </row>
    <row r="37" ht="15" customHeight="1" s="38">
      <c r="A37" s="46" t="n"/>
      <c r="B37" s="46" t="n"/>
      <c r="C37" s="46" t="n"/>
      <c r="D37" s="46" t="n"/>
      <c r="E37" s="46" t="n"/>
      <c r="F37" s="46" t="n"/>
      <c r="G37" s="45" t="n"/>
      <c r="H37" s="45" t="inlineStr">
        <is>
          <t>Рулонная плёнка / бизнес-переход</t>
        </is>
      </c>
    </row>
    <row r="38" ht="15" customHeight="1" s="38">
      <c r="A38" s="46" t="n"/>
      <c r="B38" s="46" t="n"/>
      <c r="C38" s="46" t="n"/>
      <c r="D38" s="46" t="n"/>
      <c r="E38" s="46" t="n"/>
      <c r="F38" s="46" t="n"/>
      <c r="G38" s="45" t="n"/>
      <c r="H38" s="45" t="inlineStr">
        <is>
          <t>Рулонная плёнка / держатель</t>
        </is>
      </c>
    </row>
    <row r="39">
      <c r="A39" s="45" t="n"/>
      <c r="B39" s="45" t="n"/>
      <c r="C39" s="45" t="n"/>
      <c r="D39" s="45" t="n"/>
      <c r="E39" s="45" t="n"/>
      <c r="F39" s="45" t="n"/>
      <c r="G39" s="45" t="n"/>
      <c r="H39" s="45" t="inlineStr">
        <is>
          <t>Рулонная плёнка / бумажная основа</t>
        </is>
      </c>
    </row>
    <row r="40">
      <c r="A40" s="45" t="n"/>
      <c r="B40" s="45" t="n"/>
      <c r="C40" s="45" t="n"/>
      <c r="D40" s="45" t="n"/>
      <c r="E40" s="45" t="n"/>
      <c r="F40" s="45" t="n"/>
      <c r="G40" s="45" t="n"/>
      <c r="H40" s="45" t="inlineStr">
        <is>
          <t>Рулонная плёнка / целлулоидная основа</t>
        </is>
      </c>
    </row>
    <row r="41">
      <c r="A41" s="45" t="n"/>
      <c r="B41" s="45" t="n"/>
      <c r="C41" s="45" t="n"/>
      <c r="D41" s="45" t="n"/>
      <c r="E41" s="45" t="n"/>
      <c r="F41" s="45" t="n"/>
      <c r="G41" s="45" t="n"/>
      <c r="H41" s="45" t="inlineStr">
        <is>
          <t>Рулонная плёнка / Kodak camera</t>
        </is>
      </c>
    </row>
    <row r="42">
      <c r="A42" s="45" t="n"/>
      <c r="B42" s="45" t="n"/>
      <c r="C42" s="45" t="n"/>
      <c r="D42" s="45" t="n"/>
      <c r="E42" s="45" t="n"/>
      <c r="F42" s="45" t="n"/>
      <c r="G42" s="45" t="n"/>
      <c r="H42" s="45" t="inlineStr">
        <is>
          <t>Рулонная плёнка / сервисная модель</t>
        </is>
      </c>
    </row>
    <row r="43">
      <c r="A43" s="45" t="n"/>
      <c r="B43" s="45" t="n"/>
      <c r="C43" s="45" t="n"/>
      <c r="D43" s="45" t="n"/>
      <c r="E43" s="45" t="n"/>
      <c r="F43" s="45" t="n"/>
      <c r="G43" s="45" t="n"/>
      <c r="H43" s="45" t="inlineStr">
        <is>
          <t>Рулонная плёнка / патент и бренд</t>
        </is>
      </c>
    </row>
    <row r="44">
      <c r="A44" s="45" t="n"/>
      <c r="B44" s="45" t="n"/>
      <c r="C44" s="45" t="n"/>
      <c r="D44" s="45" t="n"/>
      <c r="E44" s="45" t="n"/>
      <c r="F44" s="45" t="n"/>
      <c r="G44" s="45" t="n"/>
      <c r="H44" s="45" t="inlineStr">
        <is>
          <t>Рулонная плёнка / прозрачная плёнка</t>
        </is>
      </c>
    </row>
    <row r="45">
      <c r="A45" s="45" t="n"/>
      <c r="B45" s="45" t="n"/>
      <c r="C45" s="45" t="n"/>
      <c r="D45" s="45" t="n"/>
      <c r="E45" s="45" t="n"/>
      <c r="F45" s="45" t="n"/>
      <c r="G45" s="45" t="n"/>
      <c r="H45" s="45" t="inlineStr">
        <is>
          <t>Рулонная плёнка / дневная перезарядка</t>
        </is>
      </c>
    </row>
    <row r="46">
      <c r="A46" s="45" t="n"/>
      <c r="B46" s="45" t="n"/>
      <c r="C46" s="45" t="n"/>
      <c r="D46" s="45" t="n"/>
      <c r="E46" s="45" t="n"/>
      <c r="F46" s="45" t="n"/>
      <c r="G46" s="45" t="n"/>
      <c r="H46" s="45" t="inlineStr">
        <is>
          <t>Рулонная плёнка / массовая фотография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1" workbookViewId="0">
      <selection activeCell="A1" sqref="A1"/>
    </sheetView>
  </sheetViews>
  <sheetFormatPr baseColWidth="8" defaultColWidth="8.66796875" defaultRowHeight="12.75"/>
  <cols>
    <col width="40.66999816894531" customWidth="1" style="37" min="1" max="1"/>
    <col width="165" customWidth="1" style="37" min="2" max="2"/>
  </cols>
  <sheetData>
    <row r="1" ht="30" customHeight="1" s="38">
      <c r="A1" s="51" t="inlineStr">
        <is>
          <t>PHOTO LAB — History Map Master v0.4</t>
        </is>
      </c>
      <c r="B1" s="40" t="n"/>
    </row>
    <row r="2" ht="15.75" customHeight="1" s="38">
      <c r="A2" s="52" t="inlineStr">
        <is>
          <t>Назначение</t>
        </is>
      </c>
      <c r="B2" s="43" t="inlineStr">
        <is>
          <t>Исследовательская база для будущей интерактивной карты развития фотографии: география + время + ветки технологий + привязка к урокам.</t>
        </is>
      </c>
    </row>
    <row r="3" ht="15.75" customHeight="1" s="38">
      <c r="A3" s="52" t="inlineStr">
        <is>
          <t>Охват v0.4</t>
        </is>
      </c>
      <c r="B3" s="43" t="inlineStr">
        <is>
          <t>От оптических предпосылок камеры-обскуры до мокрого коллодия, сухих желатиновых пластин, рулонной плёнки и Kodak; основа для PL-001–PL-007.</t>
        </is>
      </c>
    </row>
    <row r="4" ht="15.75" customHeight="1" s="38">
      <c r="A4" s="52" t="inlineStr">
        <is>
          <t>Принцип</t>
        </is>
      </c>
      <c r="B4" s="43" t="inlineStr">
        <is>
          <t>Каждый факт должен отвечать на 5 вопросов: что произошло, где, кто связан, почему важно, чем подтверждено.</t>
        </is>
      </c>
    </row>
    <row r="5" ht="15.75" customHeight="1" s="38">
      <c r="A5" s="52" t="inlineStr">
        <is>
          <t>Как пользоваться</t>
        </is>
      </c>
      <c r="B5" s="43" t="inlineStr">
        <is>
          <t>Фильтровать лист 01_Master_Facts по уроку, ветке развития, статусу ветки, типу узла, стране или уровню уверенности.</t>
        </is>
      </c>
    </row>
    <row r="6" ht="15.75" customHeight="1" s="38">
      <c r="A6" s="52" t="inlineStr">
        <is>
          <t>Важно</t>
        </is>
      </c>
      <c r="B6" s="43" t="inlineStr">
        <is>
          <t>Поля «Проверить позже» и «Уверенность 1–5» оставлены специально: спорные даты и слабые источники не должны попадать в финальную карту без доработки.</t>
        </is>
      </c>
    </row>
    <row r="7" ht="15.75" customHeight="1" s="38">
      <c r="A7" s="52" t="inlineStr">
        <is>
          <t>Правило веток</t>
        </is>
      </c>
      <c r="B7" s="43" t="inlineStr">
        <is>
          <t>Ветка развития = одна из 13 крупных линий из 02_Branches. Для PL-006 и PL-007 сухие пластины и рулонная плёнка пока идут внутри крупной ветки «Негатив-позитив», а детали фиксируются в подветках.</t>
        </is>
      </c>
    </row>
    <row r="8" ht="15.75" customHeight="1" s="38">
      <c r="A8" s="52" t="inlineStr">
        <is>
          <t>Правило подветок</t>
        </is>
      </c>
      <c r="B8" s="43" t="inlineStr">
        <is>
          <t>Подветка (детали) = уточнение внутри крупной ветки: химия, камера, распространение, фотокнига, медицинское применение, сухие желатиновые пластины, рулонная плёнка и т.п.</t>
        </is>
      </c>
    </row>
    <row r="9" ht="12.75" customHeight="1" s="38">
      <c r="A9" s="45" t="inlineStr">
        <is>
          <t>Правило типа узла</t>
        </is>
      </c>
      <c r="B9" s="45" t="inlineStr">
        <is>
          <t>Тип узла = назначение факта на карте: технология, предпосылка, инструмент, публикация, терминология, применение, распространение, связь/переход и т.п.</t>
        </is>
      </c>
    </row>
    <row r="10" ht="23.25" customHeight="1" s="38">
      <c r="A10" s="45" t="inlineStr">
        <is>
          <t>Единственный источник истины по урокам</t>
        </is>
      </c>
      <c r="B10" s="45" t="inlineStr">
        <is>
          <t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t>
        </is>
      </c>
    </row>
    <row r="11" ht="23.25" customHeight="1" s="38">
      <c r="A11" s="45" t="inlineStr">
        <is>
          <t>Что изменено в v0.2.1</t>
        </is>
      </c>
      <c r="B11" s="45" t="inlineStr">
        <is>
          <t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t>
        </is>
      </c>
    </row>
    <row r="12" ht="23.25" customHeight="1" s="38">
      <c r="A12" s="45" t="inlineStr">
        <is>
          <t>Что изменено в v0.3</t>
        </is>
      </c>
      <c r="B12" s="45" t="inlineStr">
        <is>
          <t>Заполнен PL-006: добавлены PL-HIST-0049…0058 по сухим желатиновым пластинам, добавлены источники SRC-027…SRC-034, обновлены 02_Branches, 03_Lessons_Map, 06_Lists и Dashboard.</t>
        </is>
      </c>
    </row>
    <row r="13" ht="12.75" customHeight="1" s="38">
      <c r="A13" s="45" t="inlineStr">
        <is>
          <t>Что изменено в v0.3.1</t>
        </is>
      </c>
      <c r="B13" s="45" t="inlineStr">
        <is>
          <t>Добавлена колонка «Флагман урока (да/нет)» в 01_Master_Facts: по одному флагманскому узлу на каждый из PL-001–PL-006.</t>
        </is>
      </c>
    </row>
    <row r="14" ht="12.75" customHeight="1" s="38">
      <c r="A14" s="45" t="inlineStr">
        <is>
          <t>Что изменено в v0.4</t>
        </is>
      </c>
      <c r="B14" s="45" t="inlineStr">
        <is>
          <t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 Добавлены источники SRC-035…SRC-043 и флагманский узел PL-HIST-0063.</t>
        </is>
      </c>
    </row>
    <row r="15" ht="12.75" customHeight="1" s="38">
      <c r="A15" s="45" t="inlineStr">
        <is>
          <t>Правило флагманских узлов</t>
        </is>
      </c>
      <c r="B15" s="45" t="inlineStr">
        <is>
          <t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t>
        </is>
      </c>
    </row>
    <row r="16" ht="12.75" customHeight="1" s="38">
      <c r="A16" s="45" t="inlineStr">
        <is>
          <t>Ссылка на урок в Telegram</t>
        </is>
      </c>
      <c r="B16" s="45" t="inlineStr">
        <is>
          <t>Колонка F в 03_Lessons_Map сейчас указывает на канал целиком (https://t.me/photolab_vf), т.к. точные номера постов для каждого PL-00X не зафиксированы. Когда номера постов будут известны, заменить на прямые ссылки вида https://t.me/photolab_vf/123 — сайт должен брать значение из этой колонки, не хранить ссылки в коде.</t>
        </is>
      </c>
    </row>
    <row r="17">
      <c r="A17" s="45" t="inlineStr">
        <is>
          <t>Следующий шаг</t>
        </is>
      </c>
      <c r="B17" s="45" t="inlineStr">
        <is>
          <t>PL-008 можно логично строить вокруг Brownie, snapshot-культуры и превращения фотографии в массовую повседневную практику.</t>
        </is>
      </c>
    </row>
    <row r="18">
      <c r="A18" s="37" t="n"/>
      <c r="B18" s="37" t="n"/>
    </row>
    <row r="19">
      <c r="A19" s="37" t="n"/>
      <c r="B19" s="37" t="n"/>
    </row>
    <row r="20">
      <c r="A20" s="37" t="n"/>
      <c r="B20" s="37" t="n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2026-07-10T11:39:47Z</dcterms:created>
  <dcterms:modified xmlns:dcterms="http://purl.org/dc/terms/" xmlns:xsi="http://www.w3.org/2001/XMLSchema-instance" xsi:type="dcterms:W3CDTF">2026-07-10T11:39:47Z</dcterms:modified>
</cp:coreProperties>
</file>