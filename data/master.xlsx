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5_Dashboard" sheetId="1" state="visible" r:id="rId1"/>
    <sheet xmlns:r="http://schemas.openxmlformats.org/officeDocument/2006/relationships" name="01_Master_Facts" sheetId="2" state="visible" r:id="rId2"/>
    <sheet xmlns:r="http://schemas.openxmlformats.org/officeDocument/2006/relationships" name="02_Branches" sheetId="3" state="visible" r:id="rId3"/>
    <sheet xmlns:r="http://schemas.openxmlformats.org/officeDocument/2006/relationships" name="03_Lessons_Map" sheetId="4" state="visible" r:id="rId4"/>
    <sheet xmlns:r="http://schemas.openxmlformats.org/officeDocument/2006/relationships" name="04_Sources" sheetId="5" state="visible" r:id="rId5"/>
    <sheet xmlns:r="http://schemas.openxmlformats.org/officeDocument/2006/relationships" name="06_Lists" sheetId="6" state="visible" r:id="rId6"/>
    <sheet xmlns:r="http://schemas.openxmlformats.org/officeDocument/2006/relationships" name="00_README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Arial"/>
      <sz val="10"/>
    </font>
    <font>
      <name val="Arial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Arial"/>
      <b val="1"/>
      <color rgb="FFFFFFFF"/>
      <sz val="10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color rgb="FF111827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B8860B"/>
      </patternFill>
    </fill>
    <fill>
      <patternFill patternType="solid">
        <fgColor rgb="FF111827"/>
      </patternFill>
    </fill>
    <fill>
      <patternFill patternType="solid">
        <fgColor rgb="FF1F2937"/>
      </patternFill>
    </fill>
    <fill>
      <patternFill patternType="solid">
        <fgColor rgb="FFFDECC8"/>
      </patternFill>
    </fill>
  </fills>
  <borders count="3">
    <border/>
    <border/>
    <border/>
  </borders>
  <cellStyleXfs count="7">
    <xf numFmtId="0" fontId="9" fillId="0" borderId="2"/>
    <xf numFmtId="43" fontId="9" fillId="0" borderId="2"/>
    <xf numFmtId="41" fontId="9" fillId="0" borderId="2"/>
    <xf numFmtId="44" fontId="9" fillId="0" borderId="2"/>
    <xf numFmtId="42" fontId="9" fillId="0" borderId="2"/>
    <xf numFmtId="9" fontId="9" fillId="0" borderId="2"/>
    <xf numFmtId="0" fontId="9" fillId="0" borderId="2"/>
  </cellStyleXfs>
  <cellXfs count="72">
    <xf numFmtId="0" fontId="0" fillId="0" borderId="0" pivotButton="0" quotePrefix="0" xfId="0"/>
    <xf numFmtId="0" fontId="3" fillId="3" borderId="0" applyAlignment="1" pivotButton="0" quotePrefix="0" xfId="6">
      <alignment horizontal="center" vertical="center" wrapText="1"/>
    </xf>
    <xf numFmtId="0" fontId="4" fillId="3" borderId="0" applyAlignment="1" pivotButton="0" quotePrefix="0" xfId="6">
      <alignment horizontal="center" vertical="center" wrapText="1"/>
    </xf>
    <xf numFmtId="0" fontId="1" fillId="0" borderId="0" applyAlignment="1" pivotButton="0" quotePrefix="0" xfId="6">
      <alignment wrapText="1"/>
    </xf>
    <xf numFmtId="0" fontId="5" fillId="0" borderId="0" applyAlignment="1" pivotButton="0" quotePrefix="0" xfId="6">
      <alignment wrapText="1"/>
    </xf>
    <xf numFmtId="0" fontId="7" fillId="0" borderId="0" applyAlignment="1" pivotButton="0" quotePrefix="0" xfId="6">
      <alignment vertical="top" wrapText="1"/>
    </xf>
    <xf numFmtId="0" fontId="7" fillId="0" borderId="0" applyAlignment="1" pivotButton="0" quotePrefix="0" xfId="6">
      <alignment horizontal="center" vertical="top" wrapText="1"/>
    </xf>
    <xf numFmtId="0" fontId="3" fillId="4" borderId="0" applyAlignment="1" pivotButton="0" quotePrefix="0" xfId="6">
      <alignment horizontal="center" vertical="center" wrapText="1"/>
    </xf>
    <xf numFmtId="0" fontId="0" fillId="0" borderId="0" applyAlignment="1" pivotButton="0" quotePrefix="0" xfId="6">
      <alignment wrapText="1"/>
    </xf>
    <xf numFmtId="0" fontId="0" fillId="0" borderId="0" applyAlignment="1" pivotButton="0" quotePrefix="0" xfId="0">
      <alignment wrapText="1"/>
    </xf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pivotButton="0" quotePrefix="0" xfId="6"/>
    <xf numFmtId="0" fontId="2" fillId="3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5" fillId="0" borderId="2" applyAlignment="1" pivotButton="0" quotePrefix="0" xfId="0">
      <alignment wrapText="1"/>
    </xf>
    <xf numFmtId="0" fontId="7" fillId="0" borderId="2" applyAlignment="1" pivotButton="0" quotePrefix="0" xfId="0">
      <alignment vertical="top" wrapText="1"/>
    </xf>
    <xf numFmtId="0" fontId="7" fillId="0" borderId="2" applyAlignment="1" pivotButton="0" quotePrefix="0" xfId="0">
      <alignment horizontal="center" vertical="top" wrapText="1"/>
    </xf>
    <xf numFmtId="0" fontId="3" fillId="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vertical="top" wrapText="1"/>
    </xf>
    <xf numFmtId="0" fontId="2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vertical="top" wrapText="1"/>
    </xf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</cellXfs>
  <cellStyles count="7">
    <cellStyle name="Обычный" xfId="0"/>
    <cellStyle name="Comma" xfId="1"/>
    <cellStyle name="Comma [0]" xfId="2"/>
    <cellStyle name="Currency" xfId="3"/>
    <cellStyle name="Currency [0]" xfId="4"/>
    <cellStyle name="Percent" xfId="5"/>
    <cellStyle name="Normal" xfId="6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156082"/>
      <rgbColor rgb="FFCCCCCC"/>
      <rgbColor rgb="FF8B8B8B"/>
      <rgbColor rgb="FF9999FF"/>
      <rgbColor rgb="FF993366"/>
      <rgbColor rgb="FFFDECC8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rich>
      </tx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Количество узлов</v>
          </tx>
          <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spPr>
          <cat>
            <strRef>
              <f>'05_Dashboard'!$A$10:$A$46</f>
              <strCache>
                <ptCount val="27"/>
                <pt idx="0">
                  <v>Оптика / камера-обскура</v>
                </pt>
                <pt idx="1">
                  <v>Оптические инструменты</v>
                </pt>
                <pt idx="2">
                  <v>Фотохимия</v>
                </pt>
                <pt idx="3">
                  <v>Гелиография</v>
                </pt>
                <pt idx="4">
                  <v>Дагеротип</v>
                </pt>
                <pt idx="5">
                  <v>Фотогенный рисунок / фотограмма</v>
                </pt>
                <pt idx="6">
                  <v>Негатив-позитив</v>
                </pt>
                <pt idx="7">
                  <v>Фиксаж / терминология</v>
                </pt>
                <pt idx="8">
                  <v>Печать / тиражирование</v>
                </pt>
                <pt idx="9">
                  <v>Мокрый коллодий</v>
                </pt>
                <pt idx="10">
                  <v>Уникальный позитив</v>
                </pt>
                <pt idx="11">
                  <v>Цвет</v>
                </pt>
                <pt idx="12">
                  <v>Проекция / распространение</v>
                </pt>
                <pt idx="15">
                  <v>Тип узла</v>
                </pt>
                <pt idx="16">
                  <v>Фундаментальная предпосылка</v>
                </pt>
                <pt idx="17">
                  <v>Технология / процесс</v>
                </pt>
                <pt idx="18">
                  <v>Инструмент / устройство</v>
                </pt>
                <pt idx="19">
                  <v>Публикация / объявление</v>
                </pt>
                <pt idx="20">
                  <v>Терминология / язык</v>
                </pt>
                <pt idx="21">
                  <v>Связь / переход</v>
                </pt>
                <pt idx="22">
                  <v>Тиражирование / публикация</v>
                </pt>
                <pt idx="23">
                  <v>Распространение / коммерциализация</v>
                </pt>
                <pt idx="24">
                  <v>Научное применение / пример</v>
                </pt>
                <pt idx="25">
                  <v>Применение / жанр</v>
                </pt>
                <pt idx="26">
                  <v>Ключевой исторический узел</v>
                </pt>
              </strCache>
            </strRef>
          </cat>
          <val>
            <numRef>
              <f>'05_Dashboard'!$B$10:$B$46</f>
              <numCache>
                <formatCode>General</formatCode>
                <ptCount val="37"/>
                <pt idx="0">
                  <v>6</v>
                </pt>
                <pt idx="1">
                  <v>15</v>
                </pt>
                <pt idx="2">
                  <v>8</v>
                </pt>
                <pt idx="3">
                  <v>3</v>
                </pt>
                <pt idx="4">
                  <v>7</v>
                </pt>
                <pt idx="5">
                  <v>2</v>
                </pt>
                <pt idx="6">
                  <v>41</v>
                </pt>
                <pt idx="7">
                  <v>2</v>
                </pt>
                <pt idx="8">
                  <v>10</v>
                </pt>
                <pt idx="9">
                  <v>5</v>
                </pt>
                <pt idx="10">
                  <v>4</v>
                </pt>
                <pt idx="11">
                  <v>1</v>
                </pt>
                <pt idx="12">
                  <v>5</v>
                </pt>
                <pt idx="15">
                  <v>0</v>
                </pt>
                <pt idx="16">
                  <v>5</v>
                </pt>
                <pt idx="17">
                  <v>30</v>
                </pt>
                <pt idx="18">
                  <v>11</v>
                </pt>
                <pt idx="19">
                  <v>5</v>
                </pt>
                <pt idx="20">
                  <v>3</v>
                </pt>
                <pt idx="21">
                  <v>16</v>
                </pt>
                <pt idx="22">
                  <v>5</v>
                </pt>
                <pt idx="23">
                  <v>16</v>
                </pt>
                <pt idx="24">
                  <v>2</v>
                </pt>
                <pt idx="25">
                  <v>7</v>
                </pt>
                <pt idx="26">
                  <v>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1</row>
      <rowOff>0</rowOff>
    </from>
    <to>
      <col>13</col>
      <colOff>610560</colOff>
      <row>19</row>
      <rowOff>19800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MasterFactsTable" displayName="MasterFactsTable" ref="A1:W49" headerRowCount="1">
  <tableColumns count="23">
    <tableColumn id="1" name="ID"/>
    <tableColumn id="2" name="Период / дата"/>
    <tableColumn id="3" name="Точность даты"/>
    <tableColumn id="4" name="Страна"/>
    <tableColumn id="5" name="Город / регион"/>
    <tableColumn id="6" name="Персона / группа"/>
    <tableColumn id="7" name="Событие"/>
    <tableColumn id="8" name="Ветка развития"/>
    <tableColumn id="9" name="Технология / процесс"/>
    <tableColumn id="10" name="Что изменилось"/>
    <tableColumn id="11" name="Предыдущая связь"/>
    <tableColumn id="12" name="Следующая связь"/>
    <tableColumn id="13" name="Статус ветки"/>
    <tableColumn id="14" name="Важность 1–5"/>
    <tableColumn id="15" name="Привязка к уроку"/>
    <tableColumn id="16" name="Источник ID"/>
    <tableColumn id="17" name="Название источника"/>
    <tableColumn id="18" name="URL источника"/>
    <tableColumn id="19" name="Уверенность 1–5"/>
    <tableColumn id="20" name="Комментарий для лекции"/>
    <tableColumn id="21" name="Визуальная идея для карты"/>
    <tableColumn id="22" name="Теги"/>
    <tableColumn id="23" name="Проверить позже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BranchesTable" displayName="BranchesTable" ref="A1:E14" headerRowCount="1">
  <tableColumns count="5">
    <tableColumn id="1" name="Ветка"/>
    <tableColumn id="2" name="Что включает"/>
    <tableColumn id="3" name="Для каких уроков"/>
    <tableColumn id="4" name="Визуальный цвет/код"/>
    <tableColumn id="5" name="Комментарий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LessonsTable" displayName="LessonsTable" ref="A1:E7" headerRowCount="1">
  <tableColumns count="5">
    <tableColumn id="1" name="Урок"/>
    <tableColumn id="2" name="Главная тема"/>
    <tableColumn id="3" name="Исторические узлы"/>
    <tableColumn id="4" name="Что должен понять новичок"/>
    <tableColumn id="5" name="Статус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1:E27" headerRowCount="1">
  <tableColumns count="5">
    <tableColumn id="1" name="Источник ID"/>
    <tableColumn id="2" name="Название"/>
    <tableColumn id="3" name="URL"/>
    <tableColumn id="4" name="Используется для"/>
    <tableColumn id="5" name="Примечание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10" defaultColWidth="8.6640625" defaultRowHeight="13"/>
  <cols>
    <col width="37.1640625" customWidth="1" style="59" min="1" max="1"/>
    <col width="14.6640625" customWidth="1" style="59" min="2" max="2"/>
    <col width="50.5" customWidth="1" style="59" min="3" max="3"/>
    <col width="14.6640625" customWidth="1" style="59" min="4" max="5"/>
  </cols>
  <sheetData>
    <row r="1" ht="40" customHeight="1" s="59">
      <c r="A1" s="31" t="inlineStr">
        <is>
          <t>PHOTO LAB — Master Timeline v0.15</t>
        </is>
      </c>
      <c r="B1" s="20" t="n"/>
      <c r="C1" s="20" t="n"/>
      <c r="D1" s="20" t="n"/>
      <c r="E1" s="20" t="n"/>
      <c r="F1" s="20" t="n"/>
    </row>
    <row r="2" ht="37" customHeight="1" s="59">
      <c r="A2" s="60" t="inlineStr">
        <is>
          <t>KPI</t>
        </is>
      </c>
      <c r="B2" s="60" t="inlineStr">
        <is>
          <t>Значение</t>
        </is>
      </c>
      <c r="C2" s="60" t="inlineStr">
        <is>
          <t>Комментарий</t>
        </is>
      </c>
      <c r="D2" s="61" t="n"/>
      <c r="E2" s="61" t="n"/>
    </row>
    <row r="3" ht="21" customHeight="1" s="59">
      <c r="A3" s="67" t="inlineStr">
        <is>
          <t>Всего исторических узлов</t>
        </is>
      </c>
      <c r="B3" s="68">
        <f>COUNTA('01_Master_Facts'!$A$2:$A$500)</f>
        <v/>
      </c>
      <c r="C3" s="67" t="inlineStr">
        <is>
          <t>Количество строк в 01_Master_Facts</t>
        </is>
      </c>
      <c r="D3" s="62" t="n"/>
      <c r="E3" s="62" t="n"/>
    </row>
    <row r="4" ht="21" customHeight="1" s="59">
      <c r="A4" s="67" t="inlineStr">
        <is>
          <t>Узлов с важностью 5</t>
        </is>
      </c>
      <c r="B4" s="68">
        <f>COUNTIF('01_Master_Facts'!$N$2:$N$500,5)</f>
        <v/>
      </c>
      <c r="C4" s="67" t="inlineStr">
        <is>
          <t>Критические для карты и уроков</t>
        </is>
      </c>
      <c r="D4" s="62" t="n"/>
      <c r="E4" s="62" t="n"/>
    </row>
    <row r="5" ht="21" customHeight="1" s="59">
      <c r="A5" s="67" t="inlineStr">
        <is>
          <t>Узлов для PL-001–PL-020</t>
        </is>
      </c>
      <c r="B5" s="68">
        <f>SUM(COUNTIF('01_Master_Facts'!$O$2:$O$500,"PL-001"),COUNTIF('01_Master_Facts'!$O$2:$O$500,"PL-002"),COUNTIF('01_Master_Facts'!$O$2:$O$500,"PL-003"),COUNTIF('01_Master_Facts'!$O$2:$O$500,"PL-004"),COUNTIF('01_Master_Facts'!$O$2:$O$500,"PL-005"),COUNTIF('01_Master_Facts'!$O$2:$O$500,"PL-006"),COUNTIF('01_Master_Facts'!$O$2:$O$500,"PL-007"),COUNTIF('01_Master_Facts'!$O$2:$O$500,"PL-008"),COUNTIF('01_Master_Facts'!$O$2:$O$500,"PL-009"),COUNTIF('01_Master_Facts'!$O$2:$O$500,"PL-010"),COUNTIF('01_Master_Facts'!$O$2:$O$500,"PL-011"),COUNTIF('01_Master_Facts'!$O$2:$O$500,"PL-012"),COUNTIF('01_Master_Facts'!$O$2:$O$500,"PL-013"),COUNTIF('01_Master_Facts'!$O$2:$O$500,"PL-014"),COUNTIF('01_Master_Facts'!$O$2:$O$500,"PL-015"),COUNTIF('01_Master_Facts'!$O$2:$O$500,"PL-016"),COUNTIF('01_Master_Facts'!$O$2:$O$500,"PL-017"),COUNTIF('01_Master_Facts'!$O$2:$O$500,"PL-018"),COUNTIF('01_Master_Facts'!$O$2:$O$500,"PL-019"),COUNTIF('01_Master_Facts'!$O$2:$O$500,"PL-020"))</f>
        <v/>
      </c>
      <c r="C5" s="67" t="inlineStr">
        <is>
          <t>Без будущих PL и межурочных узлов</t>
        </is>
      </c>
      <c r="D5" s="62" t="n"/>
      <c r="E5" s="62" t="n"/>
    </row>
    <row r="6" ht="42" customHeight="1" s="59">
      <c r="A6" s="67" t="inlineStr">
        <is>
          <t>Строк с пометкой «проверить позже»</t>
        </is>
      </c>
      <c r="B6" s="68">
        <f>COUNTIF('01_Master_Facts'!$W$2:$W$500,"&lt;&gt;")</f>
        <v/>
      </c>
      <c r="C6" s="67" t="inlineStr">
        <is>
          <t>Живая формула: считает непустые ячейки в «Проверить позже»</t>
        </is>
      </c>
      <c r="D6" s="62" t="n"/>
      <c r="E6" s="62" t="n"/>
    </row>
    <row r="7" ht="17" customHeight="1" s="59">
      <c r="A7" s="62" t="n"/>
      <c r="B7" s="62" t="n"/>
      <c r="C7" s="62" t="n"/>
      <c r="D7" s="62" t="n"/>
      <c r="E7" s="62" t="n"/>
    </row>
    <row r="8" ht="17" customHeight="1" s="59">
      <c r="A8" s="62" t="n"/>
      <c r="B8" s="62" t="n"/>
      <c r="C8" s="62" t="n"/>
      <c r="D8" s="62" t="n"/>
      <c r="E8" s="62" t="n"/>
    </row>
    <row r="9" ht="37" customHeight="1" s="59">
      <c r="A9" s="60" t="inlineStr">
        <is>
          <t>Ветка развития</t>
        </is>
      </c>
      <c r="B9" s="60" t="inlineStr">
        <is>
          <t>Количество узлов</t>
        </is>
      </c>
      <c r="C9" s="62" t="n"/>
      <c r="D9" s="60" t="inlineStr">
        <is>
          <t>Урок</t>
        </is>
      </c>
      <c r="E9" s="60" t="inlineStr">
        <is>
          <t>Количество узлов</t>
        </is>
      </c>
    </row>
    <row r="10" ht="21" customHeight="1" s="59">
      <c r="A10" s="63" t="inlineStr">
        <is>
          <t>Оптика / камера-обскура</t>
        </is>
      </c>
      <c r="B10" s="63">
        <f>COUNTIF('01_Master_Facts'!$H$2:$H$500,A10)</f>
        <v/>
      </c>
      <c r="C10" s="62" t="n"/>
      <c r="D10" s="63" t="inlineStr">
        <is>
          <t>PL-001</t>
        </is>
      </c>
      <c r="E10" s="63">
        <f>COUNTIF('01_Master_Facts'!$O$2:$O$500,D10)</f>
        <v/>
      </c>
    </row>
    <row r="11" ht="21" customHeight="1" s="59">
      <c r="A11" s="63" t="inlineStr">
        <is>
          <t>Оптические инструменты</t>
        </is>
      </c>
      <c r="B11" s="63">
        <f>COUNTIF('01_Master_Facts'!$H$2:$H$500,A11)</f>
        <v/>
      </c>
      <c r="C11" s="62" t="n"/>
      <c r="D11" s="63" t="inlineStr">
        <is>
          <t>PL-002</t>
        </is>
      </c>
      <c r="E11" s="63">
        <f>COUNTIF('01_Master_Facts'!$O$2:$O$500,D11)</f>
        <v/>
      </c>
    </row>
    <row r="12" ht="21" customHeight="1" s="59">
      <c r="A12" s="63" t="inlineStr">
        <is>
          <t>Фотохимия</t>
        </is>
      </c>
      <c r="B12" s="63">
        <f>COUNTIF('01_Master_Facts'!$H$2:$H$500,A12)</f>
        <v/>
      </c>
      <c r="C12" s="62" t="n"/>
      <c r="D12" s="63" t="inlineStr">
        <is>
          <t>PL-003</t>
        </is>
      </c>
      <c r="E12" s="63">
        <f>COUNTIF('01_Master_Facts'!$O$2:$O$500,D12)</f>
        <v/>
      </c>
    </row>
    <row r="13" ht="21" customHeight="1" s="59">
      <c r="A13" s="63" t="inlineStr">
        <is>
          <t>Гелиография</t>
        </is>
      </c>
      <c r="B13" s="63">
        <f>COUNTIF('01_Master_Facts'!$H$2:$H$500,A13)</f>
        <v/>
      </c>
      <c r="C13" s="62" t="n"/>
      <c r="D13" s="63" t="inlineStr">
        <is>
          <t>PL-004</t>
        </is>
      </c>
      <c r="E13" s="63">
        <f>COUNTIF('01_Master_Facts'!$O$2:$O$500,D13)</f>
        <v/>
      </c>
    </row>
    <row r="14" ht="21" customHeight="1" s="59">
      <c r="A14" s="63" t="inlineStr">
        <is>
          <t>Дагеротип</t>
        </is>
      </c>
      <c r="B14" s="63">
        <f>COUNTIF('01_Master_Facts'!$H$2:$H$500,A14)</f>
        <v/>
      </c>
      <c r="C14" s="62" t="n"/>
      <c r="D14" s="63" t="inlineStr">
        <is>
          <t>PL-005</t>
        </is>
      </c>
      <c r="E14" s="63">
        <f>COUNTIF('01_Master_Facts'!$O$2:$O$500,D14)</f>
        <v/>
      </c>
    </row>
    <row r="15" ht="21" customHeight="1" s="59">
      <c r="A15" s="63" t="inlineStr">
        <is>
          <t>Фотогенный рисунок / фотограмма</t>
        </is>
      </c>
      <c r="B15" s="63">
        <f>COUNTIF('01_Master_Facts'!$H$2:$H$500,A15)</f>
        <v/>
      </c>
      <c r="C15" s="62" t="n"/>
      <c r="D15" s="63" t="inlineStr">
        <is>
          <t>PL-006</t>
        </is>
      </c>
      <c r="E15" s="63">
        <f>COUNTIF('01_Master_Facts'!$O$2:$O$500,D15)</f>
        <v/>
      </c>
    </row>
    <row r="16" ht="21" customHeight="1" s="59">
      <c r="A16" s="63" t="inlineStr">
        <is>
          <t>Негатив-позитив</t>
        </is>
      </c>
      <c r="B16" s="63">
        <f>COUNTIF('01_Master_Facts'!$H$2:$H$500,A16)</f>
        <v/>
      </c>
      <c r="C16" s="62" t="n"/>
      <c r="D16" s="63" t="inlineStr">
        <is>
          <t>PL-007</t>
        </is>
      </c>
      <c r="E16" s="63">
        <f>COUNTIF('01_Master_Facts'!$O$2:$O$500,D16)</f>
        <v/>
      </c>
    </row>
    <row r="17" ht="42" customHeight="1" s="59">
      <c r="A17" s="63" t="inlineStr">
        <is>
          <t>Фиксаж / терминология</t>
        </is>
      </c>
      <c r="B17" s="63">
        <f>COUNTIF('01_Master_Facts'!$H$2:$H$500,A17)</f>
        <v/>
      </c>
      <c r="C17" s="62" t="n"/>
      <c r="D17" s="63" t="inlineStr">
        <is>
          <t>PL-008</t>
        </is>
      </c>
      <c r="E17" s="63">
        <f>COUNTIF('01_Master_Facts'!$O$2:$O$500,D17)</f>
        <v/>
      </c>
    </row>
    <row r="18" ht="21" customHeight="1" s="59">
      <c r="A18" s="63" t="inlineStr">
        <is>
          <t>Печать / тиражирование</t>
        </is>
      </c>
      <c r="B18" s="63">
        <f>COUNTIF('01_Master_Facts'!$H$2:$H$500,A18)</f>
        <v/>
      </c>
      <c r="C18" s="62" t="n"/>
      <c r="D18" s="62" t="inlineStr">
        <is>
          <t>PL-009</t>
        </is>
      </c>
      <c r="E18" s="62">
        <f>COUNTIF('01_Master_Facts'!$O$2:$O$500,D18)</f>
        <v/>
      </c>
    </row>
    <row r="19" ht="21" customHeight="1" s="59">
      <c r="A19" s="63" t="inlineStr">
        <is>
          <t>Мокрый коллодий</t>
        </is>
      </c>
      <c r="B19" s="63">
        <f>COUNTIF('01_Master_Facts'!$H$2:$H$500,A19)</f>
        <v/>
      </c>
      <c r="C19" s="62" t="n"/>
      <c r="D19" s="62" t="inlineStr">
        <is>
          <t>PL-010</t>
        </is>
      </c>
      <c r="E19" s="62">
        <f>COUNTIF('01_Master_Facts'!$O$2:$O$500,D19)</f>
        <v/>
      </c>
    </row>
    <row r="20" ht="21" customHeight="1" s="59">
      <c r="A20" s="63" t="inlineStr">
        <is>
          <t>Уникальный позитив</t>
        </is>
      </c>
      <c r="B20" s="63">
        <f>COUNTIF('01_Master_Facts'!$H$2:$H$500,A20)</f>
        <v/>
      </c>
      <c r="C20" s="62" t="n"/>
      <c r="D20" s="62" t="inlineStr">
        <is>
          <t>PL-011</t>
        </is>
      </c>
      <c r="E20" s="62">
        <f>COUNTIF('01_Master_Facts'!$O$2:$O$500,D20)</f>
        <v/>
      </c>
    </row>
    <row r="21" ht="21" customHeight="1" s="59">
      <c r="A21" s="63" t="inlineStr">
        <is>
          <t>Цвет</t>
        </is>
      </c>
      <c r="B21" s="63">
        <f>COUNTIF('01_Master_Facts'!$H$2:$H$500,A21)</f>
        <v/>
      </c>
      <c r="C21" s="62" t="n"/>
      <c r="D21" s="62" t="inlineStr">
        <is>
          <t>PL-012</t>
        </is>
      </c>
      <c r="E21" s="62">
        <f>COUNTIF('01_Master_Facts'!$O$2:$O$500,D21)</f>
        <v/>
      </c>
    </row>
    <row r="22" ht="21" customHeight="1" s="59">
      <c r="A22" s="63" t="inlineStr">
        <is>
          <t>Проекция / распространение</t>
        </is>
      </c>
      <c r="B22" s="63">
        <f>COUNTIF('01_Master_Facts'!$H$2:$H$500,A22)</f>
        <v/>
      </c>
      <c r="C22" s="62" t="n"/>
      <c r="D22" s="62" t="inlineStr">
        <is>
          <t>PL-013</t>
        </is>
      </c>
      <c r="E22" s="62">
        <f>COUNTIF('01_Master_Facts'!$O$2:$O$500,D22)</f>
        <v/>
      </c>
    </row>
    <row r="23" ht="20" customHeight="1" s="59">
      <c r="A23" s="63" t="n"/>
      <c r="B23" s="63" t="n"/>
      <c r="C23" s="62" t="n"/>
      <c r="D23" s="62" t="inlineStr">
        <is>
          <t>PL-014</t>
        </is>
      </c>
      <c r="E23" s="62">
        <f>COUNTIF('01_Master_Facts'!$O$2:$O$500,D23)</f>
        <v/>
      </c>
    </row>
    <row r="24" ht="20" customHeight="1" s="59">
      <c r="A24" s="63" t="n"/>
      <c r="B24" s="63" t="n"/>
      <c r="C24" s="62" t="n"/>
      <c r="D24" s="62" t="inlineStr">
        <is>
          <t>PL-015</t>
        </is>
      </c>
      <c r="E24" s="62">
        <f>COUNTIF('01_Master_Facts'!$O$2:$O$500,D24)</f>
        <v/>
      </c>
    </row>
    <row r="25" ht="42" customHeight="1" s="59">
      <c r="A25" s="60" t="n"/>
      <c r="B25" s="60" t="n"/>
      <c r="C25" s="62" t="n"/>
      <c r="D25" s="62" t="inlineStr">
        <is>
          <t>PL-016</t>
        </is>
      </c>
      <c r="E25" s="62">
        <f>COUNTIF('01_Master_Facts'!$O$2:$O$500,D25)</f>
        <v/>
      </c>
    </row>
    <row r="26" ht="21" customHeight="1" s="59">
      <c r="A26" s="63" t="n"/>
      <c r="B26" s="63" t="n"/>
      <c r="C26" s="62" t="n"/>
      <c r="D26" s="62" t="inlineStr">
        <is>
          <t>PL-017</t>
        </is>
      </c>
      <c r="E26" s="62">
        <f>COUNTIF('01_Master_Facts'!$O$2:$O$500,D26)</f>
        <v/>
      </c>
    </row>
    <row r="27" ht="21" customHeight="1" s="59">
      <c r="A27" s="63" t="n"/>
      <c r="B27" s="63" t="n"/>
      <c r="C27" s="62" t="n"/>
      <c r="D27" s="62" t="inlineStr">
        <is>
          <t>PL-018</t>
        </is>
      </c>
      <c r="E27" s="62">
        <f>COUNTIF('01_Master_Facts'!$O$2:$O$500,D27)</f>
        <v/>
      </c>
    </row>
    <row r="28" ht="21" customHeight="1" s="59">
      <c r="A28" s="63" t="n"/>
      <c r="B28" s="63" t="n"/>
      <c r="C28" s="62" t="n"/>
      <c r="D28" s="62" t="inlineStr">
        <is>
          <t>PL-019</t>
        </is>
      </c>
      <c r="E28" s="62">
        <f>COUNTIF('01_Master_Facts'!$O$2:$O$500,D28)</f>
        <v/>
      </c>
    </row>
    <row r="29" ht="21" customHeight="1" s="59">
      <c r="A29" s="63" t="n"/>
      <c r="B29" s="63" t="n"/>
      <c r="C29" s="62" t="n"/>
      <c r="D29" s="62" t="inlineStr">
        <is>
          <t>PL-020</t>
        </is>
      </c>
      <c r="E29" s="62">
        <f>COUNTIF('01_Master_Facts'!$O$2:$O$500,D29)</f>
        <v/>
      </c>
    </row>
    <row r="30" ht="21" customHeight="1" s="59">
      <c r="A30" s="63" t="n"/>
      <c r="B30" s="63" t="n"/>
      <c r="C30" s="62" t="n"/>
      <c r="D30" s="62" t="inlineStr">
        <is>
          <t>будущие PL</t>
        </is>
      </c>
      <c r="E30" s="62">
        <f>COUNTIF('01_Master_Facts'!$O$2:$O$500,D30)</f>
        <v/>
      </c>
    </row>
    <row r="31" ht="21" customHeight="1" s="59">
      <c r="A31" s="63" t="n"/>
      <c r="B31" s="63" t="n"/>
      <c r="C31" s="62" t="n"/>
      <c r="D31" s="62" t="inlineStr">
        <is>
          <t>межурочный узел</t>
        </is>
      </c>
      <c r="E31" s="62">
        <f>COUNTIF('01_Master_Facts'!$O$2:$O$500,D31)</f>
        <v/>
      </c>
    </row>
    <row r="32" ht="21" customHeight="1" s="59">
      <c r="A32" s="63" t="n"/>
      <c r="B32" s="63" t="n"/>
      <c r="C32" s="62" t="n"/>
      <c r="D32" s="62" t="n"/>
      <c r="E32" s="62" t="n"/>
    </row>
    <row r="33" ht="21" customHeight="1" s="59">
      <c r="A33" s="63" t="n"/>
      <c r="B33" s="63" t="n"/>
      <c r="C33" s="62" t="n"/>
      <c r="D33" s="62" t="n"/>
      <c r="E33" s="62" t="n"/>
    </row>
    <row r="34" ht="21" customHeight="1" s="59">
      <c r="A34" s="63" t="inlineStr">
        <is>
          <t>Тип узла</t>
        </is>
      </c>
      <c r="B34" s="63" t="inlineStr">
        <is>
          <t>Количество узлов</t>
        </is>
      </c>
      <c r="C34" s="62" t="n"/>
      <c r="D34" s="62" t="n"/>
      <c r="E34" s="62" t="n"/>
    </row>
    <row r="35" ht="21" customHeight="1" s="59">
      <c r="A35" s="63" t="inlineStr">
        <is>
          <t>Фундаментальная предпосылка</t>
        </is>
      </c>
      <c r="B35" s="63">
        <f>COUNTIF('01_Master_Facts'!$Z$2:$Z$500,A35)</f>
        <v/>
      </c>
      <c r="C35" s="62" t="n"/>
      <c r="D35" s="62" t="n"/>
      <c r="E35" s="62" t="n"/>
    </row>
    <row r="36" ht="21" customHeight="1" s="59">
      <c r="A36" s="63" t="inlineStr">
        <is>
          <t>Технология / процесс</t>
        </is>
      </c>
      <c r="B36" s="63">
        <f>COUNTIF('01_Master_Facts'!$Z$2:$Z$500,A36)</f>
        <v/>
      </c>
      <c r="C36" s="62" t="n"/>
      <c r="D36" s="62" t="n"/>
      <c r="E36" s="62" t="n"/>
    </row>
    <row r="37" ht="20" customHeight="1" s="59">
      <c r="A37" s="63" t="inlineStr">
        <is>
          <t>Инструмент / устройство</t>
        </is>
      </c>
      <c r="B37" s="63">
        <f>COUNTIF('01_Master_Facts'!$Z$2:$Z$500,A37)</f>
        <v/>
      </c>
      <c r="C37" s="62" t="n"/>
      <c r="D37" s="62" t="n"/>
      <c r="E37" s="62" t="n"/>
    </row>
    <row r="38" ht="20" customHeight="1" s="59">
      <c r="A38" s="63" t="inlineStr">
        <is>
          <t>Публикация / объявление</t>
        </is>
      </c>
      <c r="B38" s="63">
        <f>COUNTIF('01_Master_Facts'!$Z$2:$Z$500,A38)</f>
        <v/>
      </c>
      <c r="C38" s="62" t="n"/>
      <c r="D38" s="62" t="n"/>
      <c r="E38" s="62" t="n"/>
    </row>
    <row r="39" ht="20" customHeight="1" s="59">
      <c r="A39" s="63" t="inlineStr">
        <is>
          <t>Терминология / язык</t>
        </is>
      </c>
      <c r="B39" s="63">
        <f>COUNTIF('01_Master_Facts'!$Z$2:$Z$500,A39)</f>
        <v/>
      </c>
      <c r="C39" s="62" t="n"/>
      <c r="D39" s="62" t="n"/>
      <c r="E39" s="62" t="n"/>
    </row>
    <row r="40" ht="20" customHeight="1" s="59">
      <c r="A40" s="63" t="inlineStr">
        <is>
          <t>Связь / переход</t>
        </is>
      </c>
      <c r="B40" s="63">
        <f>COUNTIF('01_Master_Facts'!$Z$2:$Z$500,A40)</f>
        <v/>
      </c>
      <c r="C40" s="62" t="n"/>
      <c r="D40" s="62" t="n"/>
      <c r="E40" s="62" t="n"/>
    </row>
    <row r="41" ht="20" customHeight="1" s="59">
      <c r="A41" s="4" t="inlineStr">
        <is>
          <t>Тиражирование / публикация</t>
        </is>
      </c>
      <c r="B41" s="4">
        <f>COUNTIF('01_Master_Facts'!$Z$2:$Z$500,A41)</f>
        <v/>
      </c>
    </row>
    <row r="42" ht="20" customHeight="1" s="59">
      <c r="A42" s="4" t="inlineStr">
        <is>
          <t>Распространение / коммерциализация</t>
        </is>
      </c>
      <c r="B42" s="4">
        <f>COUNTIF('01_Master_Facts'!$Z$2:$Z$500,A42)</f>
        <v/>
      </c>
    </row>
    <row r="43" ht="20" customHeight="1" s="59">
      <c r="A43" s="4" t="inlineStr">
        <is>
          <t>Научное применение / пример</t>
        </is>
      </c>
      <c r="B43" s="4">
        <f>COUNTIF('01_Master_Facts'!$Z$2:$Z$500,A43)</f>
        <v/>
      </c>
    </row>
    <row r="44" ht="20" customHeight="1" s="59">
      <c r="A44" s="4" t="inlineStr">
        <is>
          <t>Применение / жанр</t>
        </is>
      </c>
      <c r="B44" s="4">
        <f>COUNTIF('01_Master_Facts'!$Z$2:$Z$500,A44)</f>
        <v/>
      </c>
    </row>
    <row r="45" ht="20" customHeight="1" s="59">
      <c r="A45" s="4" t="inlineStr">
        <is>
          <t>Ключевой исторический узел</t>
        </is>
      </c>
      <c r="B45" s="4">
        <f>COUNTIF('01_Master_Facts'!$Z$2:$Z$500,A45)</f>
        <v/>
      </c>
    </row>
    <row r="46" ht="20" customHeight="1" s="59">
      <c r="A46" s="4" t="n"/>
      <c r="B46" s="4" t="n"/>
    </row>
  </sheetData>
  <mergeCells count="1">
    <mergeCell ref="A1:F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09"/>
  <sheetViews>
    <sheetView workbookViewId="0">
      <selection activeCell="A1" sqref="A1"/>
    </sheetView>
  </sheetViews>
  <sheetFormatPr baseColWidth="10" defaultColWidth="8.6640625" defaultRowHeight="13"/>
  <cols>
    <col width="14" customWidth="1" style="59" min="1" max="1"/>
    <col width="16" customWidth="1" style="59" min="2" max="3"/>
    <col width="20" customWidth="1" style="59" min="4" max="4"/>
    <col width="22" customWidth="1" style="59" min="5" max="5"/>
    <col width="24" customWidth="1" style="59" min="6" max="6"/>
    <col width="44" customWidth="1" style="59" min="7" max="7"/>
    <col width="24" customWidth="1" style="59" min="8" max="9"/>
    <col width="46" customWidth="1" style="59" min="10" max="10"/>
    <col width="30" customWidth="1" style="59" min="11" max="12"/>
    <col width="26" customWidth="1" style="59" min="13" max="13"/>
    <col width="12" customWidth="1" style="59" min="14" max="14"/>
    <col width="18" customWidth="1" style="59" min="15" max="15"/>
    <col width="12" customWidth="1" style="59" min="16" max="16"/>
    <col width="34" customWidth="1" style="59" min="17" max="17"/>
    <col width="52" customWidth="1" style="59" min="18" max="18"/>
    <col width="14" customWidth="1" style="59" min="19" max="19"/>
    <col width="46" customWidth="1" style="59" min="20" max="20"/>
    <col width="38" customWidth="1" style="59" min="21" max="21"/>
    <col width="24" customWidth="1" style="59" min="22" max="22"/>
    <col width="34" customWidth="1" style="59" min="23" max="23"/>
    <col width="20" customWidth="1" style="59" min="24" max="24"/>
    <col width="28" customWidth="1" style="59" min="25" max="25"/>
    <col width="26" customWidth="1" style="59" min="26" max="26"/>
    <col width="16" customWidth="1" style="59" min="27" max="27"/>
  </cols>
  <sheetData>
    <row r="1" ht="37" customHeight="1" s="59">
      <c r="A1" s="60" t="inlineStr">
        <is>
          <t>ID</t>
        </is>
      </c>
      <c r="B1" s="60" t="inlineStr">
        <is>
          <t>Период / дата</t>
        </is>
      </c>
      <c r="C1" s="60" t="inlineStr">
        <is>
          <t>Точность даты</t>
        </is>
      </c>
      <c r="D1" s="60" t="inlineStr">
        <is>
          <t>Страна</t>
        </is>
      </c>
      <c r="E1" s="60" t="inlineStr">
        <is>
          <t>Город / регион</t>
        </is>
      </c>
      <c r="F1" s="60" t="inlineStr">
        <is>
          <t>Персона / группа</t>
        </is>
      </c>
      <c r="G1" s="60" t="inlineStr">
        <is>
          <t>Событие</t>
        </is>
      </c>
      <c r="H1" s="60" t="inlineStr">
        <is>
          <t>Ветка развития</t>
        </is>
      </c>
      <c r="I1" s="60" t="inlineStr">
        <is>
          <t>Технология / процесс</t>
        </is>
      </c>
      <c r="J1" s="60" t="inlineStr">
        <is>
          <t>Что изменилось</t>
        </is>
      </c>
      <c r="K1" s="60" t="inlineStr">
        <is>
          <t>Предыдущая связь</t>
        </is>
      </c>
      <c r="L1" s="60" t="inlineStr">
        <is>
          <t>Следующая связь</t>
        </is>
      </c>
      <c r="M1" s="60" t="inlineStr">
        <is>
          <t>Статус ветки</t>
        </is>
      </c>
      <c r="N1" s="60" t="inlineStr">
        <is>
          <t>Важность 1–5</t>
        </is>
      </c>
      <c r="O1" s="60" t="inlineStr">
        <is>
          <t>Привязка к уроку</t>
        </is>
      </c>
      <c r="P1" s="60" t="inlineStr">
        <is>
          <t>Источник ID</t>
        </is>
      </c>
      <c r="Q1" s="60" t="inlineStr">
        <is>
          <t>Название источника</t>
        </is>
      </c>
      <c r="R1" s="60" t="inlineStr">
        <is>
          <t>URL источника</t>
        </is>
      </c>
      <c r="S1" s="60" t="inlineStr">
        <is>
          <t>Уверенность 1–5</t>
        </is>
      </c>
      <c r="T1" s="60" t="inlineStr">
        <is>
          <t>Комментарий для лекции</t>
        </is>
      </c>
      <c r="U1" s="60" t="inlineStr">
        <is>
          <t>Визуальная идея для карты</t>
        </is>
      </c>
      <c r="V1" s="60" t="inlineStr">
        <is>
          <t>Теги</t>
        </is>
      </c>
      <c r="W1" s="60" t="inlineStr">
        <is>
          <t>Проверить позже</t>
        </is>
      </c>
      <c r="X1" s="61" t="inlineStr">
        <is>
          <t>Координаты (lat, lon)</t>
        </is>
      </c>
      <c r="Y1" s="61" t="inlineStr">
        <is>
          <t>Подветка (детали)</t>
        </is>
      </c>
      <c r="Z1" s="61" t="inlineStr">
        <is>
          <t>Тип узла</t>
        </is>
      </c>
      <c r="AA1" s="62" t="inlineStr">
        <is>
          <t>Флагман урока (да/нет)</t>
        </is>
      </c>
    </row>
    <row r="2" ht="60" customHeight="1" s="59">
      <c r="A2" s="5" t="inlineStr">
        <is>
          <t>PL-HIST-0001</t>
        </is>
      </c>
      <c r="B2" s="5" t="inlineStr">
        <is>
          <t>ок. 1011–1021</t>
        </is>
      </c>
      <c r="C2" s="5" t="inlineStr">
        <is>
          <t>диапазон</t>
        </is>
      </c>
      <c r="D2" s="5" t="inlineStr">
        <is>
          <t>Египет / исламский научный мир</t>
        </is>
      </c>
      <c r="E2" s="5" t="inlineStr">
        <is>
          <t>Каир / Басра (контекст учёного)</t>
        </is>
      </c>
      <c r="F2" s="5" t="inlineStr">
        <is>
          <t>Ибн аль-Хайсам (Альхазен)</t>
        </is>
      </c>
      <c r="G2" s="5" t="inlineStr">
        <is>
          <t>В «Книге оптики» системно исследует свет, зрение и опыт тёмной комнаты с малым отверстием.</t>
        </is>
      </c>
      <c r="H2" s="5" t="inlineStr">
        <is>
          <t>Оптика / камера-обскура</t>
        </is>
      </c>
      <c r="I2" s="5" t="inlineStr">
        <is>
          <t>Камера-обскура / pinhole image</t>
        </is>
      </c>
      <c r="J2" s="5" t="inlineStr">
        <is>
          <t>Фотографии ещё нет, но появляется научная база: свет распространяется прямыми линиями и может строить изображение.</t>
        </is>
      </c>
      <c r="K2" s="5" t="inlineStr">
        <is>
          <t>Античная оптика и астрономические наблюдения</t>
        </is>
      </c>
      <c r="L2" s="5" t="inlineStr">
        <is>
          <t>Европейская оптика, камера-обскура как инструмент наблюдения</t>
        </is>
      </c>
      <c r="M2" s="5" t="inlineStr">
        <is>
          <t>Оптическая предпосылка</t>
        </is>
      </c>
      <c r="N2" s="6" t="n">
        <v>5</v>
      </c>
      <c r="O2" s="5" t="inlineStr">
        <is>
          <t>PL-001</t>
        </is>
      </c>
      <c r="P2" s="5" t="inlineStr">
        <is>
          <t>SRC-001</t>
        </is>
      </c>
      <c r="Q2" s="5" t="inlineStr">
        <is>
          <t>AramcoWorld — Ibn al-Haytham: Testing is Believing</t>
        </is>
      </c>
      <c r="R2" s="5" t="inlineStr">
        <is>
          <t>https://www.aramcoworld.com/en/articles/2023/ibn-al-haytham-testing-is-believing</t>
        </is>
      </c>
      <c r="S2" s="6" t="n">
        <v>4</v>
      </c>
      <c r="T2" s="5" t="inlineStr">
        <is>
          <t>Важно сказать аккуратно: он не изобрёл фотографию, а дал фундамент для понимания изображения светом.</t>
        </is>
      </c>
      <c r="U2" s="5" t="inlineStr">
        <is>
          <t>Стартовая точка карты: луч света входит в тёмную комнату и строит перевёрнутое изображение.</t>
        </is>
      </c>
      <c r="V2" s="5" t="inlineStr">
        <is>
          <t>#оптика #камера-обскура #ИбнАльХайсам #PL001</t>
        </is>
      </c>
      <c r="W2" s="5" t="inlineStr">
        <is>
          <t>Уточнить формулировку места: не привязывать к современной стране слишком жёстко.</t>
        </is>
      </c>
      <c r="X2" t="inlineStr">
        <is>
          <t>30.0444, 31.2357</t>
        </is>
      </c>
      <c r="Z2" t="inlineStr">
        <is>
          <t>Фундаментальная предпосылка</t>
        </is>
      </c>
      <c r="AA2" t="inlineStr">
        <is>
          <t>да</t>
        </is>
      </c>
    </row>
    <row r="3" ht="60" customHeight="1" s="59">
      <c r="A3" s="5" t="inlineStr">
        <is>
          <t>PL-HIST-0002</t>
        </is>
      </c>
      <c r="B3" s="5" t="inlineStr">
        <is>
          <t>1545</t>
        </is>
      </c>
      <c r="C3" s="5" t="inlineStr">
        <is>
          <t>год</t>
        </is>
      </c>
      <c r="D3" s="5" t="inlineStr">
        <is>
          <t>Нидерланды / Священная Римская империя</t>
        </is>
      </c>
      <c r="E3" s="5" t="inlineStr">
        <is>
          <t>Лёвен / Фрисландия (контекст публикации)</t>
        </is>
      </c>
      <c r="F3" s="5" t="inlineStr">
        <is>
          <t>Гемма Фризиус</t>
        </is>
      </c>
      <c r="G3" s="5" t="inlineStr">
        <is>
          <t>Публикует один из ранних известных рисунков камеры-обскуры, использованной для наблюдения солнечного затмения.</t>
        </is>
      </c>
      <c r="H3" s="5" t="inlineStr">
        <is>
          <t>Оптика / камера-обскура</t>
        </is>
      </c>
      <c r="I3" s="5" t="inlineStr">
        <is>
          <t>Камера-обскура как астрономический инструмент</t>
        </is>
      </c>
      <c r="J3" s="5" t="inlineStr">
        <is>
          <t>Принцип тёмной комнаты становится не только философским описанием, но и изображаемым инструментом наблюдения.</t>
        </is>
      </c>
      <c r="K3" s="5" t="inlineStr">
        <is>
          <t>Ибн аль-Хайсам и средневековая оптика</t>
        </is>
      </c>
      <c r="L3" s="5" t="inlineStr">
        <is>
          <t>Линза и художественное применение камеры-обскуры</t>
        </is>
      </c>
      <c r="M3" s="5" t="inlineStr">
        <is>
          <t>Оптическая предпосылка</t>
        </is>
      </c>
      <c r="N3" s="6" t="n">
        <v>3</v>
      </c>
      <c r="O3" s="5" t="inlineStr">
        <is>
          <t>PL-001</t>
        </is>
      </c>
      <c r="P3" s="5" t="inlineStr">
        <is>
          <t>SRC-003</t>
        </is>
      </c>
      <c r="Q3" s="5" t="inlineStr">
        <is>
          <t>Max Planck Institute — Camera Obscura PDF</t>
        </is>
      </c>
      <c r="R3" s="5" t="inlineStr">
        <is>
          <t>https://www.mpiwg-berlin.mpg.de/sites/default/files/Preprints/P307.pdf</t>
        </is>
      </c>
      <c r="S3" s="6" t="n">
        <v>3</v>
      </c>
      <c r="T3" s="5" t="inlineStr">
        <is>
          <t>Можно использовать как промежуточный узел: камера-обскура служит не фотографии, а безопасному наблюдению солнца.</t>
        </is>
      </c>
      <c r="U3" s="5" t="inlineStr">
        <is>
          <t>Иконка солнечного затмения + тёмная комната.</t>
        </is>
      </c>
      <c r="V3" s="5" t="inlineStr">
        <is>
          <t>#оптика #астрономия #камера-обскура</t>
        </is>
      </c>
      <c r="W3" s="5" t="inlineStr">
        <is>
          <t>Нужен первичный источник/точная ссылка на публикацию Frisius.</t>
        </is>
      </c>
      <c r="X3" t="inlineStr">
        <is>
          <t>50.8798, 4.7005</t>
        </is>
      </c>
      <c r="Z3" t="inlineStr">
        <is>
          <t>Инструмент / устройство</t>
        </is>
      </c>
    </row>
    <row r="4" ht="60" customHeight="1" s="59">
      <c r="A4" s="5" t="inlineStr">
        <is>
          <t>PL-HIST-0003</t>
        </is>
      </c>
      <c r="B4" s="5" t="inlineStr">
        <is>
          <t>1550</t>
        </is>
      </c>
      <c r="C4" s="5" t="inlineStr">
        <is>
          <t>год</t>
        </is>
      </c>
      <c r="D4" s="5" t="inlineStr">
        <is>
          <t>Италия</t>
        </is>
      </c>
      <c r="E4" s="5" t="inlineStr">
        <is>
          <t>Павия / Италия</t>
        </is>
      </c>
      <c r="F4" s="5" t="inlineStr">
        <is>
          <t>Джероламо Кардано</t>
        </is>
      </c>
      <c r="G4" s="5" t="inlineStr">
        <is>
          <t>Описывает использование стеклянной линзы в камере-обскуре для улучшения изображения.</t>
        </is>
      </c>
      <c r="H4" s="5" t="inlineStr">
        <is>
          <t>Оптика / камера-обскура</t>
        </is>
      </c>
      <c r="I4" s="5" t="inlineStr">
        <is>
          <t>Линза в камере-обскуре</t>
        </is>
      </c>
      <c r="J4" s="5" t="inlineStr">
        <is>
          <t>Камера-обскура становится ближе к будущей камере: не просто отверстие, а оптическое формирование более яркого и резкого изображения.</t>
        </is>
      </c>
      <c r="K4" s="5" t="inlineStr">
        <is>
          <t>Пинхол / тёмная комната</t>
        </is>
      </c>
      <c r="L4" s="5" t="inlineStr">
        <is>
          <t>Della Porta и популяризация камеры-обскуры</t>
        </is>
      </c>
      <c r="M4" s="5" t="inlineStr">
        <is>
          <t>Оптическая предпосылка</t>
        </is>
      </c>
      <c r="N4" s="6" t="n">
        <v>4</v>
      </c>
      <c r="O4" s="5" t="inlineStr">
        <is>
          <t>PL-001</t>
        </is>
      </c>
      <c r="P4" s="5" t="inlineStr">
        <is>
          <t>SRC-002</t>
        </is>
      </c>
      <c r="Q4" s="5" t="inlineStr">
        <is>
          <t>IMSS / Museo Galileo — Camera Obscura</t>
        </is>
      </c>
      <c r="R4" s="5" t="inlineStr">
        <is>
          <t>https://redi.imss.fi.it/inventions/index.php/Camera_Obscura</t>
        </is>
      </c>
      <c r="S4" s="6" t="n">
        <v>4</v>
      </c>
      <c r="T4" s="5" t="inlineStr">
        <is>
          <t>Для новичка: отверстие даёт картинку, линза делает её ярче и удобнее.</t>
        </is>
      </c>
      <c r="U4" s="5" t="inlineStr">
        <is>
          <t>На линии добавить маленькую линзу перед тёмной комнатой.</t>
        </is>
      </c>
      <c r="V4" s="5" t="inlineStr">
        <is>
          <t>#оптика #линза #камера</t>
        </is>
      </c>
      <c r="W4" s="5" t="n"/>
      <c r="X4" t="inlineStr">
        <is>
          <t>45.1847, 9.1582</t>
        </is>
      </c>
      <c r="Z4" t="inlineStr">
        <is>
          <t>Инструмент / устройство</t>
        </is>
      </c>
    </row>
    <row r="5" ht="60" customHeight="1" s="59">
      <c r="A5" s="5" t="inlineStr">
        <is>
          <t>PL-HIST-0004</t>
        </is>
      </c>
      <c r="B5" s="5" t="inlineStr">
        <is>
          <t>1558</t>
        </is>
      </c>
      <c r="C5" s="5" t="inlineStr">
        <is>
          <t>год</t>
        </is>
      </c>
      <c r="D5" s="5" t="inlineStr">
        <is>
          <t>Италия</t>
        </is>
      </c>
      <c r="E5" s="5" t="inlineStr">
        <is>
          <t>Неаполь</t>
        </is>
      </c>
      <c r="F5" s="5" t="inlineStr">
        <is>
          <t>Джамбаттиста делла Порта</t>
        </is>
      </c>
      <c r="G5" s="5" t="inlineStr">
        <is>
          <t>В «Magia Naturalis» описывает камеру-обскуру как зрелищный и практический инструмент наблюдения/рисования.</t>
        </is>
      </c>
      <c r="H5" s="5" t="inlineStr">
        <is>
          <t>Оптика / камера-обскура</t>
        </is>
      </c>
      <c r="I5" s="5" t="inlineStr">
        <is>
          <t>Камера-обскура как инструмент художника</t>
        </is>
      </c>
      <c r="J5" s="5" t="inlineStr">
        <is>
          <t>Камера-обскура входит в европейскую культуру изображения: становится помощником перспективы и точного рисунка.</t>
        </is>
      </c>
      <c r="K5" s="5" t="inlineStr">
        <is>
          <t>Кардано и линза</t>
        </is>
      </c>
      <c r="L5" s="5" t="inlineStr">
        <is>
          <t>Kepler, портативные камеры-обскуры</t>
        </is>
      </c>
      <c r="M5" s="5" t="inlineStr">
        <is>
          <t>Оптическая предпосылка</t>
        </is>
      </c>
      <c r="N5" s="6" t="n">
        <v>4</v>
      </c>
      <c r="O5" s="5" t="inlineStr">
        <is>
          <t>PL-001</t>
        </is>
      </c>
      <c r="P5" s="5" t="inlineStr">
        <is>
          <t>SRC-002</t>
        </is>
      </c>
      <c r="Q5" s="5" t="inlineStr">
        <is>
          <t>IMSS / Museo Galileo — Camera Obscura</t>
        </is>
      </c>
      <c r="R5" s="5" t="inlineStr">
        <is>
          <t>https://redi.imss.fi.it/inventions/index.php/Camera_Obscura</t>
        </is>
      </c>
      <c r="S5" s="6" t="n">
        <v>4</v>
      </c>
      <c r="T5" s="5" t="inlineStr">
        <is>
          <t>Здесь можно показать мост от науки к искусству: камера ещё не фотографирует, но уже помогает изображать реальность.</t>
        </is>
      </c>
      <c r="U5" s="5" t="inlineStr">
        <is>
          <t>Иконка художника, который обводит проекцию.</t>
        </is>
      </c>
      <c r="V5" s="5" t="inlineStr">
        <is>
          <t>#оптика #искусство #DellaPorta</t>
        </is>
      </c>
      <c r="W5" s="5" t="n"/>
      <c r="X5" t="inlineStr">
        <is>
          <t>40.8518, 14.2681</t>
        </is>
      </c>
      <c r="Z5" t="inlineStr">
        <is>
          <t>Применение / жанр</t>
        </is>
      </c>
    </row>
    <row r="6" ht="40" customHeight="1" s="59">
      <c r="A6" s="5" t="inlineStr">
        <is>
          <t>PL-HIST-0005</t>
        </is>
      </c>
      <c r="B6" s="5" t="inlineStr">
        <is>
          <t>1604</t>
        </is>
      </c>
      <c r="C6" s="5" t="inlineStr">
        <is>
          <t>год</t>
        </is>
      </c>
      <c r="D6" s="5" t="inlineStr">
        <is>
          <t>Германия</t>
        </is>
      </c>
      <c r="E6" s="5" t="inlineStr">
        <is>
          <t>Прага / Линц (контекст Kepler)</t>
        </is>
      </c>
      <c r="F6" s="5" t="inlineStr">
        <is>
          <t>Иоганн Кеплер</t>
        </is>
      </c>
      <c r="G6" s="5" t="inlineStr">
        <is>
          <t>Использует/закрепляет термин «camera obscura» и анализирует формирование оптического изображения.</t>
        </is>
      </c>
      <c r="H6" s="5" t="inlineStr">
        <is>
          <t>Оптика / камера-обскура</t>
        </is>
      </c>
      <c r="I6" s="5" t="inlineStr">
        <is>
          <t>Camera obscura</t>
        </is>
      </c>
      <c r="J6" s="5" t="inlineStr">
        <is>
          <t>Понятие получает устойчивое научное имя и входит в язык оптики.</t>
        </is>
      </c>
      <c r="K6" s="5" t="inlineStr">
        <is>
          <t>Renaissance descriptions of camera obscura</t>
        </is>
      </c>
      <c r="L6" s="5" t="inlineStr">
        <is>
          <t>Kepler's Dioptrice and portable camera obscura</t>
        </is>
      </c>
      <c r="M6" s="5" t="inlineStr">
        <is>
          <t>Оптическая предпосылка</t>
        </is>
      </c>
      <c r="N6" s="6" t="n">
        <v>3</v>
      </c>
      <c r="O6" s="5" t="inlineStr">
        <is>
          <t>PL-001</t>
        </is>
      </c>
      <c r="P6" s="5" t="inlineStr">
        <is>
          <t>SRC-003</t>
        </is>
      </c>
      <c r="Q6" s="5" t="inlineStr">
        <is>
          <t>Max Planck Institute — Camera Obscura PDF</t>
        </is>
      </c>
      <c r="R6" s="5" t="inlineStr">
        <is>
          <t>https://www.mpiwg-berlin.mpg.de/sites/default/files/Preprints/P307.pdf</t>
        </is>
      </c>
      <c r="S6" s="6" t="n">
        <v>4</v>
      </c>
      <c r="T6" s="5" t="inlineStr">
        <is>
          <t>На карте можно показать, что слова тоже важны: когда явление получает имя, его проще передавать и развивать.</t>
        </is>
      </c>
      <c r="U6" s="5" t="inlineStr">
        <is>
          <t>Плашка-термин: CAMERA OBSCURA.</t>
        </is>
      </c>
      <c r="V6" s="5" t="inlineStr">
        <is>
          <t>#оптика #Kepler #термин</t>
        </is>
      </c>
      <c r="W6" s="5" t="n"/>
      <c r="X6" t="inlineStr">
        <is>
          <t>50.0755, 14.4378</t>
        </is>
      </c>
      <c r="Y6" t="inlineStr">
        <is>
          <t>Оптика / терминология</t>
        </is>
      </c>
      <c r="Z6" t="inlineStr">
        <is>
          <t>Терминология / язык</t>
        </is>
      </c>
    </row>
    <row r="7" ht="40" customHeight="1" s="59">
      <c r="A7" s="5" t="inlineStr">
        <is>
          <t>PL-HIST-0006</t>
        </is>
      </c>
      <c r="B7" s="5" t="inlineStr">
        <is>
          <t>1611</t>
        </is>
      </c>
      <c r="C7" s="5" t="inlineStr">
        <is>
          <t>год</t>
        </is>
      </c>
      <c r="D7" s="5" t="inlineStr">
        <is>
          <t>Германия</t>
        </is>
      </c>
      <c r="E7" s="5" t="inlineStr">
        <is>
          <t>Линц / Прага</t>
        </is>
      </c>
      <c r="F7" s="5" t="inlineStr">
        <is>
          <t>Иоганн Кеплер</t>
        </is>
      </c>
      <c r="G7" s="5" t="inlineStr">
        <is>
          <t>В «Dioptrice» развивает понимание линз, проекции и улучшения изображения в оптических системах.</t>
        </is>
      </c>
      <c r="H7" s="5" t="inlineStr">
        <is>
          <t>Оптика / камера-обскура</t>
        </is>
      </c>
      <c r="I7" s="5" t="inlineStr">
        <is>
          <t>Линзовая камера-обскура</t>
        </is>
      </c>
      <c r="J7" s="5" t="inlineStr">
        <is>
          <t>Будущая камера всё больше зависит от оптики: линзы дают контроль над изображением.</t>
        </is>
      </c>
      <c r="K7" s="5" t="inlineStr">
        <is>
          <t>Термин camera obscura</t>
        </is>
      </c>
      <c r="L7" s="5" t="inlineStr">
        <is>
          <t>Портативные камеры-обскуры и объективы</t>
        </is>
      </c>
      <c r="M7" s="5" t="inlineStr">
        <is>
          <t>Оптическая предпосылка</t>
        </is>
      </c>
      <c r="N7" s="6" t="n">
        <v>4</v>
      </c>
      <c r="O7" s="5" t="inlineStr">
        <is>
          <t>PL-001</t>
        </is>
      </c>
      <c r="P7" s="5" t="inlineStr">
        <is>
          <t>SRC-003</t>
        </is>
      </c>
      <c r="Q7" s="5" t="inlineStr">
        <is>
          <t>Max Planck Institute — Camera Obscura PDF</t>
        </is>
      </c>
      <c r="R7" s="5" t="inlineStr">
        <is>
          <t>https://www.mpiwg-berlin.mpg.de/sites/default/files/Preprints/P307.pdf</t>
        </is>
      </c>
      <c r="S7" s="6" t="n">
        <v>3</v>
      </c>
      <c r="T7" s="5" t="inlineStr">
        <is>
          <t>Не перегружать урок формулами; объяснить как «переход от дырочки к оптической системе».</t>
        </is>
      </c>
      <c r="U7" s="5" t="inlineStr">
        <is>
          <t>Схема: отверстие → линза → более яркая проекция.</t>
        </is>
      </c>
      <c r="V7" s="5" t="inlineStr">
        <is>
          <t>#оптика #линзы #Kepler</t>
        </is>
      </c>
      <c r="W7" s="5" t="inlineStr">
        <is>
          <t>Подтвердить конкретные формулировки по первичному тексту Dioptrice.</t>
        </is>
      </c>
      <c r="X7" t="inlineStr">
        <is>
          <t>48.3069, 14.2858</t>
        </is>
      </c>
      <c r="Y7" t="inlineStr">
        <is>
          <t>Оптика / камера</t>
        </is>
      </c>
      <c r="Z7" t="inlineStr">
        <is>
          <t>Фундаментальная предпосылка</t>
        </is>
      </c>
    </row>
    <row r="8" ht="40" customHeight="1" s="59">
      <c r="A8" s="5" t="inlineStr">
        <is>
          <t>PL-HIST-0007</t>
        </is>
      </c>
      <c r="B8" s="5" t="inlineStr">
        <is>
          <t>ок. 1620</t>
        </is>
      </c>
      <c r="C8" s="5" t="inlineStr">
        <is>
          <t>примерно</t>
        </is>
      </c>
      <c r="D8" s="5" t="inlineStr">
        <is>
          <t>Австрия / Германия</t>
        </is>
      </c>
      <c r="E8" s="5" t="inlineStr">
        <is>
          <t>Верхняя Австрия</t>
        </is>
      </c>
      <c r="F8" s="5" t="inlineStr">
        <is>
          <t>Иоганн Кеплер</t>
        </is>
      </c>
      <c r="G8" s="5" t="inlineStr">
        <is>
          <t>Использует переносную камеру-обскуру в виде палатки для наблюдения и зарисовок ландшафта.</t>
        </is>
      </c>
      <c r="H8" s="5" t="inlineStr">
        <is>
          <t>Оптические инструменты</t>
        </is>
      </c>
      <c r="I8" s="5" t="inlineStr">
        <is>
          <t>Портативная camera obscura</t>
        </is>
      </c>
      <c r="J8" s="5" t="inlineStr">
        <is>
          <t>Камера-обскура становится мобильной: это важный шаг к переносной камере.</t>
        </is>
      </c>
      <c r="K8" s="5" t="inlineStr">
        <is>
          <t>Линзовая камера-обскура</t>
        </is>
      </c>
      <c r="L8" s="5" t="inlineStr">
        <is>
          <t>Zahn and portable camera designs</t>
        </is>
      </c>
      <c r="M8" s="5" t="inlineStr">
        <is>
          <t>Оптическая предпосылка</t>
        </is>
      </c>
      <c r="N8" s="6" t="n">
        <v>3</v>
      </c>
      <c r="O8" s="5" t="inlineStr">
        <is>
          <t>PL-001</t>
        </is>
      </c>
      <c r="P8" s="5" t="inlineStr">
        <is>
          <t>SRC-003</t>
        </is>
      </c>
      <c r="Q8" s="5" t="inlineStr">
        <is>
          <t>Max Planck Institute — Camera Obscura PDF</t>
        </is>
      </c>
      <c r="R8" s="5" t="inlineStr">
        <is>
          <t>https://www.mpiwg-berlin.mpg.de/sites/default/files/Preprints/P307.pdf</t>
        </is>
      </c>
      <c r="S8" s="6" t="n">
        <v>3</v>
      </c>
      <c r="T8" s="5" t="inlineStr">
        <is>
          <t>Хороший визуальный эпизод для рилса: учёный в тёмной палатке ловит изображение мира.</t>
        </is>
      </c>
      <c r="U8" s="5" t="inlineStr">
        <is>
          <t>Карта: линия от комнаты к переносной палатке.</t>
        </is>
      </c>
      <c r="V8" s="5" t="inlineStr">
        <is>
          <t>#камера-обскура #портативность #Kepler</t>
        </is>
      </c>
      <c r="W8" s="5" t="inlineStr">
        <is>
          <t>Проверить год и источники письма Henry Wotton.</t>
        </is>
      </c>
      <c r="X8" t="inlineStr">
        <is>
          <t>48.3069, 14.2858</t>
        </is>
      </c>
      <c r="Z8" t="inlineStr">
        <is>
          <t>Инструмент / устройство</t>
        </is>
      </c>
    </row>
    <row r="9" ht="60" customHeight="1" s="59">
      <c r="A9" s="5" t="inlineStr">
        <is>
          <t>PL-HIST-0008</t>
        </is>
      </c>
      <c r="B9" s="5" t="inlineStr">
        <is>
          <t>1685</t>
        </is>
      </c>
      <c r="C9" s="5" t="inlineStr">
        <is>
          <t>год</t>
        </is>
      </c>
      <c r="D9" s="5" t="inlineStr">
        <is>
          <t>Германия</t>
        </is>
      </c>
      <c r="E9" s="5" t="inlineStr">
        <is>
          <t>Вюрцбург</t>
        </is>
      </c>
      <c r="F9" s="5" t="inlineStr">
        <is>
          <t>Иоганн Цан</t>
        </is>
      </c>
      <c r="G9" s="5" t="inlineStr">
        <is>
          <t>Публикует схемы переносных камер-обскур и оптических устройств в «Oculus Artificialis».</t>
        </is>
      </c>
      <c r="H9" s="5" t="inlineStr">
        <is>
          <t>Оптические инструменты</t>
        </is>
      </c>
      <c r="I9" s="5" t="inlineStr">
        <is>
          <t>Портативная / зеркальная camera obscura</t>
        </is>
      </c>
      <c r="J9" s="5" t="inlineStr">
        <is>
          <t>Идея камеры становится почти предметной: устройство уже похоже на будущий фотоаппарат, но без химической фиксации.</t>
        </is>
      </c>
      <c r="K9" s="5" t="inlineStr">
        <is>
          <t>Портативные камеры-обскуры XVII века</t>
        </is>
      </c>
      <c r="L9" s="5" t="inlineStr">
        <is>
          <t>Фотохимия XVIII века</t>
        </is>
      </c>
      <c r="M9" s="5" t="inlineStr">
        <is>
          <t>Оптическая предпосылка</t>
        </is>
      </c>
      <c r="N9" s="6" t="n">
        <v>4</v>
      </c>
      <c r="O9" s="5" t="inlineStr">
        <is>
          <t>PL-001</t>
        </is>
      </c>
      <c r="P9" s="5" t="inlineStr">
        <is>
          <t>SRC-004</t>
        </is>
      </c>
      <c r="Q9" s="5" t="inlineStr">
        <is>
          <t>Public Domain Review — Johann Zahn's Oculus Artificialis</t>
        </is>
      </c>
      <c r="R9" s="5" t="inlineStr">
        <is>
          <t>https://publicdomainreview.org/collection/images-from-johann-zahn-s-oculus-artificialis-1685</t>
        </is>
      </c>
      <c r="S9" s="6" t="n">
        <v>4</v>
      </c>
      <c r="T9" s="5" t="inlineStr">
        <is>
          <t>Можно показать как «корпус камеры появился раньше фотографии».</t>
        </is>
      </c>
      <c r="U9" s="5" t="inlineStr">
        <is>
          <t>Иконка деревянной камеры с зеркалом.</t>
        </is>
      </c>
      <c r="V9" s="5" t="inlineStr">
        <is>
          <t>#камера #Zahn #оптика</t>
        </is>
      </c>
      <c r="W9" s="5" t="n"/>
      <c r="X9" t="inlineStr">
        <is>
          <t>49.7913, 9.9534</t>
        </is>
      </c>
      <c r="Z9" t="inlineStr">
        <is>
          <t>Инструмент / устройство</t>
        </is>
      </c>
    </row>
    <row r="10" ht="40" customHeight="1" s="59">
      <c r="A10" s="5" t="inlineStr">
        <is>
          <t>PL-HIST-0009</t>
        </is>
      </c>
      <c r="B10" s="5" t="inlineStr">
        <is>
          <t>1727</t>
        </is>
      </c>
      <c r="C10" s="5" t="inlineStr">
        <is>
          <t>год</t>
        </is>
      </c>
      <c r="D10" s="5" t="inlineStr">
        <is>
          <t>Германия</t>
        </is>
      </c>
      <c r="E10" s="5" t="inlineStr">
        <is>
          <t>Альтдорф / Галле</t>
        </is>
      </c>
      <c r="F10" s="5" t="inlineStr">
        <is>
          <t>Иоганн Генрих Шульце</t>
        </is>
      </c>
      <c r="G10" s="5" t="inlineStr">
        <is>
          <t>Публикует научное исследование: соли серебра темнеют под действием света, а не тепла.</t>
        </is>
      </c>
      <c r="H10" s="5" t="inlineStr">
        <is>
          <t>Фотохимия</t>
        </is>
      </c>
      <c r="I10" s="5" t="inlineStr">
        <is>
          <t>Серебряные соли</t>
        </is>
      </c>
      <c r="J10" s="5" t="inlineStr">
        <is>
          <t>Появляется химическая половина фотографии: материал может реагировать на свет.</t>
        </is>
      </c>
      <c r="K10" s="5" t="inlineStr">
        <is>
          <t>Алхимические наблюдения потемнения серебра</t>
        </is>
      </c>
      <c r="L10" s="5" t="inlineStr">
        <is>
          <t>Scheele, Wedgwood, Niépce</t>
        </is>
      </c>
      <c r="M10" s="5" t="inlineStr">
        <is>
          <t>Химическая предпосылка</t>
        </is>
      </c>
      <c r="N10" s="6" t="n">
        <v>5</v>
      </c>
      <c r="O10" s="5" t="inlineStr">
        <is>
          <t>PL-002</t>
        </is>
      </c>
      <c r="P10" s="5" t="inlineStr">
        <is>
          <t>SRC-005</t>
        </is>
      </c>
      <c r="Q10" s="5" t="inlineStr">
        <is>
          <t>Swiss Camera Museum — Johann Heinrich Schulze</t>
        </is>
      </c>
      <c r="R10" s="5" t="inlineStr">
        <is>
          <t>https://www.cameramuseum.ch/en/discover/permanent-exhibition/the-origins-of-photography/the-precursors-johann-heinrich-schulze/</t>
        </is>
      </c>
      <c r="S10" s="6" t="n">
        <v>5</v>
      </c>
      <c r="T10" s="5" t="inlineStr">
        <is>
          <t>Это ключевой мост: камера уже строила изображение, но теперь появился материал, который свет может менять.</t>
        </is>
      </c>
      <c r="U10" s="5" t="inlineStr">
        <is>
          <t>Серебряная колба/бутылка, на которой свет оставляет след.</t>
        </is>
      </c>
      <c r="V10" s="5" t="inlineStr">
        <is>
          <t>#фотохимия #серебро #Schulze #PL002</t>
        </is>
      </c>
      <c r="W10" s="5" t="n"/>
      <c r="X10" t="inlineStr">
        <is>
          <t>49.3833, 11.3833</t>
        </is>
      </c>
      <c r="Z10" t="inlineStr">
        <is>
          <t>Фундаментальная предпосылка</t>
        </is>
      </c>
    </row>
    <row r="11" ht="60" customHeight="1" s="59">
      <c r="A11" s="5" t="inlineStr">
        <is>
          <t>PL-HIST-0010</t>
        </is>
      </c>
      <c r="B11" s="5" t="inlineStr">
        <is>
          <t>1777</t>
        </is>
      </c>
      <c r="C11" s="5" t="inlineStr">
        <is>
          <t>год</t>
        </is>
      </c>
      <c r="D11" s="5" t="inlineStr">
        <is>
          <t>Швеция</t>
        </is>
      </c>
      <c r="E11" s="5" t="inlineStr">
        <is>
          <t>Кёпинг / Стокгольм (контекст)</t>
        </is>
      </c>
      <c r="F11" s="5" t="inlineStr">
        <is>
          <t>Карл Вильгельм Шееле</t>
        </is>
      </c>
      <c r="G11" s="5" t="inlineStr">
        <is>
          <t>Изучает свойства хлорида серебра: потемнение на свету и роль аммиака для растворения/стабилизации соединений серебра.</t>
        </is>
      </c>
      <c r="H11" s="5" t="inlineStr">
        <is>
          <t>Фотохимия</t>
        </is>
      </c>
      <c r="I11" s="5" t="inlineStr">
        <is>
          <t>Silver chloride / ammonia</t>
        </is>
      </c>
      <c r="J11" s="5" t="inlineStr">
        <is>
          <t>Фиксация становится главным нерешённым вопросом: как сделать след света устойчивым.</t>
        </is>
      </c>
      <c r="K11" s="5" t="inlineStr">
        <is>
          <t>Schulze and silver salts</t>
        </is>
      </c>
      <c r="L11" s="5" t="inlineStr">
        <is>
          <t>Wedgwood and Davy, then Niépce</t>
        </is>
      </c>
      <c r="M11" s="5" t="inlineStr">
        <is>
          <t>Химическая предпосылка</t>
        </is>
      </c>
      <c r="N11" s="6" t="n">
        <v>4</v>
      </c>
      <c r="O11" s="5" t="inlineStr">
        <is>
          <t>PL-002</t>
        </is>
      </c>
      <c r="P11" s="5" t="inlineStr">
        <is>
          <t>SRC-006</t>
        </is>
      </c>
      <c r="Q11" s="5" t="inlineStr">
        <is>
          <t>Science History Institute — Silver and Sunlight</t>
        </is>
      </c>
      <c r="R11" s="5" t="inlineStr">
        <is>
          <t>https://www.sciencehistory.org/stories/magazine/silver-and-sunlight/</t>
        </is>
      </c>
      <c r="S11" s="6" t="n">
        <v>4</v>
      </c>
      <c r="T11" s="5" t="inlineStr">
        <is>
          <t>Новичку объяснить: мало получить изображение — нужно остановить дальнейшее потемнение.</t>
        </is>
      </c>
      <c r="U11" s="5" t="inlineStr">
        <is>
          <t>Иконка: след света + знак «зафиксировать».</t>
        </is>
      </c>
      <c r="V11" s="5" t="inlineStr">
        <is>
          <t>#фотохимия #фиксаж #серебро</t>
        </is>
      </c>
      <c r="W11" s="5" t="inlineStr">
        <is>
          <t>Уточнить связь Scheele с практическим фиксированием: не преувеличивать.</t>
        </is>
      </c>
      <c r="X11" t="inlineStr">
        <is>
          <t>59.5117, 15.9992</t>
        </is>
      </c>
      <c r="Y11" t="inlineStr">
        <is>
          <t>Фотохимия / фиксация</t>
        </is>
      </c>
      <c r="Z11" t="inlineStr">
        <is>
          <t>Фундаментальная предпосылка</t>
        </is>
      </c>
    </row>
    <row r="12" ht="40" customHeight="1" s="59">
      <c r="A12" s="5" t="inlineStr">
        <is>
          <t>PL-HIST-0011</t>
        </is>
      </c>
      <c r="B12" s="5" t="inlineStr">
        <is>
          <t>ок. 1800</t>
        </is>
      </c>
      <c r="C12" s="5" t="inlineStr">
        <is>
          <t>примерно</t>
        </is>
      </c>
      <c r="D12" s="5" t="inlineStr">
        <is>
          <t>Великобритания</t>
        </is>
      </c>
      <c r="E12" s="5" t="inlineStr">
        <is>
          <t>Этрурия / Стаффордшир</t>
        </is>
      </c>
      <c r="F12" s="5" t="inlineStr">
        <is>
          <t>Томас Веджвуд</t>
        </is>
      </c>
      <c r="G12" s="5" t="inlineStr">
        <is>
          <t>Проводит опыты с бумагой/кожей, обработанными нитратом серебра, пытаясь получать изображения светом.</t>
        </is>
      </c>
      <c r="H12" s="5" t="inlineStr">
        <is>
          <t>Фотохимия</t>
        </is>
      </c>
      <c r="I12" s="5" t="inlineStr">
        <is>
          <t>Серебряный нитрат на бумаге/коже</t>
        </is>
      </c>
      <c r="J12" s="5" t="inlineStr">
        <is>
          <t>Появляется идея фотографического изображения, но проблема сохранения ещё не решена.</t>
        </is>
      </c>
      <c r="K12" s="5" t="inlineStr">
        <is>
          <t>Schulze and Scheele</t>
        </is>
      </c>
      <c r="L12" s="5" t="inlineStr">
        <is>
          <t>Davy publication, Niépce's experiments</t>
        </is>
      </c>
      <c r="M12" s="5" t="inlineStr">
        <is>
          <t>Тупиковая / не получила развития</t>
        </is>
      </c>
      <c r="N12" s="6" t="n">
        <v>4</v>
      </c>
      <c r="O12" s="5" t="inlineStr">
        <is>
          <t>PL-002</t>
        </is>
      </c>
      <c r="P12" s="5" t="inlineStr">
        <is>
          <t>SRC-007</t>
        </is>
      </c>
      <c r="Q12" s="5" t="inlineStr">
        <is>
          <t>Swiss Camera Museum — Thomas Wedgwood</t>
        </is>
      </c>
      <c r="R12" s="5" t="inlineStr">
        <is>
          <t>https://www.cameramuseum.ch/en/discover/permanent-exhibition/the-origins-of-photography/the-precursors-thomas-wedgwood/</t>
        </is>
      </c>
      <c r="S12" s="6" t="n">
        <v>4</v>
      </c>
      <c r="T12" s="5" t="inlineStr">
        <is>
          <t>Хорошо показать как честную неудачу: попытка почти фотографическая, но изображение исчезает.</t>
        </is>
      </c>
      <c r="U12" s="5" t="inlineStr">
        <is>
          <t>Пунктирная линия: «почти получилось, но не закрепилось».</t>
        </is>
      </c>
      <c r="V12" s="5" t="inlineStr">
        <is>
          <t>#Wedgwood #фотохимия #неудача</t>
        </is>
      </c>
      <c r="W12" s="5" t="n"/>
      <c r="X12" t="inlineStr">
        <is>
          <t>53.0027, -2.1794</t>
        </is>
      </c>
      <c r="Y12" t="inlineStr">
        <is>
          <t>Фотохимия / первая фиксация</t>
        </is>
      </c>
      <c r="Z12" t="inlineStr">
        <is>
          <t>Технология / процесс</t>
        </is>
      </c>
    </row>
    <row r="13" ht="40" customHeight="1" s="59">
      <c r="A13" s="5" t="inlineStr">
        <is>
          <t>PL-HIST-0012</t>
        </is>
      </c>
      <c r="B13" s="5" t="inlineStr">
        <is>
          <t>1802</t>
        </is>
      </c>
      <c r="C13" s="5" t="inlineStr">
        <is>
          <t>год</t>
        </is>
      </c>
      <c r="D13" s="5" t="inlineStr">
        <is>
          <t>Великобритания</t>
        </is>
      </c>
      <c r="E13" s="5" t="inlineStr">
        <is>
          <t>Лондон / Бристоль</t>
        </is>
      </c>
      <c r="F13" s="5" t="inlineStr">
        <is>
          <t>Хамфри Дэви и Томас Веджвуд</t>
        </is>
      </c>
      <c r="G13" s="5" t="inlineStr">
        <is>
          <t>Дэви публикует отчёт о методе копирования изображений светом на нитрате серебра.</t>
        </is>
      </c>
      <c r="H13" s="5" t="inlineStr">
        <is>
          <t>Фотохимия</t>
        </is>
      </c>
      <c r="I13" s="5" t="inlineStr">
        <is>
          <t>Photogenic copying on silver nitrate</t>
        </is>
      </c>
      <c r="J13" s="5" t="inlineStr">
        <is>
          <t>Первые эксперименты становятся опубликованным знанием, но без полноценного фиксирования изображения.</t>
        </is>
      </c>
      <c r="K13" s="5" t="inlineStr">
        <is>
          <t>Wedgwood experiments</t>
        </is>
      </c>
      <c r="L13" s="5" t="inlineStr">
        <is>
          <t>Niépce and Talbot later address permanence</t>
        </is>
      </c>
      <c r="M13" s="5" t="inlineStr">
        <is>
          <t>Тупиковая / не получила развития</t>
        </is>
      </c>
      <c r="N13" s="6" t="n">
        <v>4</v>
      </c>
      <c r="O13" s="5" t="inlineStr">
        <is>
          <t>PL-002</t>
        </is>
      </c>
      <c r="P13" s="5" t="inlineStr">
        <is>
          <t>SRC-008</t>
        </is>
      </c>
      <c r="Q13" s="5" t="inlineStr">
        <is>
          <t>Bodleian — Talbot Catalogue: Photogenic Drawing</t>
        </is>
      </c>
      <c r="R13" s="5" t="inlineStr">
        <is>
          <t>https://talbot.bodleian.ox.ac.uk/2017/02/17/an-account-of-the-processes-employed-in-photogenic-drawing/</t>
        </is>
      </c>
      <c r="S13" s="6" t="n">
        <v>4</v>
      </c>
      <c r="T13" s="5" t="inlineStr">
        <is>
          <t>В лекции: до Ньепса уже были люди, которые понимали направление, но не решили задачу постоянства.</t>
        </is>
      </c>
      <c r="U13" s="5" t="inlineStr">
        <is>
          <t>Иконка публикации/лист бумаги, который постепенно темнеет.</t>
        </is>
      </c>
      <c r="V13" s="5" t="inlineStr">
        <is>
          <t>#Davy #Wedgwood #публикация</t>
        </is>
      </c>
      <c r="W13" s="5" t="inlineStr">
        <is>
          <t>Добавить первичный PDF/текст Journal of the Royal Institution при углублении.</t>
        </is>
      </c>
      <c r="X13" t="inlineStr">
        <is>
          <t>51.5074, -0.1278</t>
        </is>
      </c>
      <c r="Y13" t="inlineStr">
        <is>
          <t>Фотохимия / публикация</t>
        </is>
      </c>
      <c r="Z13" t="inlineStr">
        <is>
          <t>Публикация / объявление</t>
        </is>
      </c>
    </row>
    <row r="14" ht="40" customHeight="1" s="59">
      <c r="A14" s="5" t="inlineStr">
        <is>
          <t>PL-HIST-0013</t>
        </is>
      </c>
      <c r="B14" s="5" t="inlineStr">
        <is>
          <t>1806–1807</t>
        </is>
      </c>
      <c r="C14" s="5" t="inlineStr">
        <is>
          <t>диапазон</t>
        </is>
      </c>
      <c r="D14" s="5" t="inlineStr">
        <is>
          <t>Великобритания</t>
        </is>
      </c>
      <c r="E14" s="5" t="inlineStr">
        <is>
          <t>Лондон</t>
        </is>
      </c>
      <c r="F14" s="5" t="inlineStr">
        <is>
          <t>Уильям Хайд Волластон</t>
        </is>
      </c>
      <c r="G14" s="5" t="inlineStr">
        <is>
          <t>Патентует и называет camera lucida — оптический прибор для точного рисования.</t>
        </is>
      </c>
      <c r="H14" s="5" t="inlineStr">
        <is>
          <t>Оптические инструменты</t>
        </is>
      </c>
      <c r="I14" s="5" t="inlineStr">
        <is>
          <t>Camera lucida</t>
        </is>
      </c>
      <c r="J14" s="5" t="inlineStr">
        <is>
          <t>Показывает, что до фотографии общество уже искало способы механизировать точность изображения.</t>
        </is>
      </c>
      <c r="K14" s="5" t="inlineStr">
        <is>
          <t>Camera obscura drawing tools</t>
        </is>
      </c>
      <c r="L14" s="5" t="inlineStr">
        <is>
          <t>Photography will replace drawing aids for some purposes</t>
        </is>
      </c>
      <c r="M14" s="5" t="inlineStr">
        <is>
          <t>Оптическая предпосылка</t>
        </is>
      </c>
      <c r="N14" s="6" t="n">
        <v>3</v>
      </c>
      <c r="O14" s="5" t="inlineStr">
        <is>
          <t>межурочный узел</t>
        </is>
      </c>
      <c r="P14" s="5" t="inlineStr">
        <is>
          <t>SRC-009</t>
        </is>
      </c>
      <c r="Q14" s="5" t="inlineStr">
        <is>
          <t>Smithsonian NMAH — Camera Lucida</t>
        </is>
      </c>
      <c r="R14" s="5" t="inlineStr">
        <is>
          <t>https://americanhistory.si.edu/collections/object/nmah_1184286</t>
        </is>
      </c>
      <c r="S14" s="6" t="n">
        <v>5</v>
      </c>
      <c r="T14" s="5" t="inlineStr">
        <is>
          <t>Это не фотография, но очень полезный узел: люди хотели точного изображения до химической фотографии.</t>
        </is>
      </c>
      <c r="U14" s="5" t="inlineStr">
        <is>
          <t>Иконка призмы и руки художника.</t>
        </is>
      </c>
      <c r="V14" s="5" t="inlineStr">
        <is>
          <t>#оптика #camera-lucida #рисование</t>
        </is>
      </c>
      <c r="W14" s="5" t="n"/>
      <c r="X14" t="inlineStr">
        <is>
          <t>51.5074, -0.1278</t>
        </is>
      </c>
      <c r="Z14" t="inlineStr">
        <is>
          <t>Инструмент / устройство</t>
        </is>
      </c>
    </row>
    <row r="15" ht="40" customHeight="1" s="59">
      <c r="A15" s="5" t="inlineStr">
        <is>
          <t>PL-HIST-0014</t>
        </is>
      </c>
      <c r="B15" s="5" t="inlineStr">
        <is>
          <t>1816</t>
        </is>
      </c>
      <c r="C15" s="5" t="inlineStr">
        <is>
          <t>год</t>
        </is>
      </c>
      <c r="D15" s="5" t="inlineStr">
        <is>
          <t>Франция</t>
        </is>
      </c>
      <c r="E15" s="5" t="inlineStr">
        <is>
          <t>Сен-Лу-де-Варенн / Ле-Гра</t>
        </is>
      </c>
      <c r="F15" s="5" t="inlineStr">
        <is>
          <t>Нисефор Ньепс</t>
        </is>
      </c>
      <c r="G15" s="5" t="inlineStr">
        <is>
          <t>Получает исчезающие негативные изображения в камере-обскуре на бумаге с солями серебра.</t>
        </is>
      </c>
      <c r="H15" s="5" t="inlineStr">
        <is>
          <t>Гелиография</t>
        </is>
      </c>
      <c r="I15" s="5" t="inlineStr">
        <is>
          <t>Silver chloride paper negative</t>
        </is>
      </c>
      <c r="J15" s="5" t="inlineStr">
        <is>
          <t>Ньепс впервые подходит к реальной камере-фотографии, но изображение ещё не устойчиво.</t>
        </is>
      </c>
      <c r="K15" s="5" t="inlineStr">
        <is>
          <t>Wedgwood/Davy experiments</t>
        </is>
      </c>
      <c r="L15" s="5" t="inlineStr">
        <is>
          <t>Niépce switches to bitumen heliography</t>
        </is>
      </c>
      <c r="M15" s="5" t="inlineStr">
        <is>
          <t>Переходная технология</t>
        </is>
      </c>
      <c r="N15" s="6" t="n">
        <v>5</v>
      </c>
      <c r="O15" s="5" t="inlineStr">
        <is>
          <t>PL-002</t>
        </is>
      </c>
      <c r="P15" s="5" t="inlineStr">
        <is>
          <t>SRC-011</t>
        </is>
      </c>
      <c r="Q15" s="5" t="inlineStr">
        <is>
          <t>Maison Nicéphore Niépce — First experiments</t>
        </is>
      </c>
      <c r="R15" s="5" t="inlineStr">
        <is>
          <t>https://bicentennial-of-photography.org/niepce-and-the-invention-of-photography-niepce-s-first-experiments/</t>
        </is>
      </c>
      <c r="S15" s="6" t="n">
        <v>4</v>
      </c>
      <c r="T15" s="5" t="inlineStr">
        <is>
          <t>Важно: это не первый сохранившийся снимок, а первая стадия Ньепса — изображение было, но исчезало.</t>
        </is>
      </c>
      <c r="U15" s="5" t="inlineStr">
        <is>
          <t>Светлая линия появляется на бумаге и затем исчезает.</t>
        </is>
      </c>
      <c r="V15" s="5" t="inlineStr">
        <is>
          <t>#Niépce #1816 #PL002 #негатив</t>
        </is>
      </c>
      <c r="W15" s="5" t="n"/>
      <c r="X15" t="inlineStr">
        <is>
          <t>46.7828, 4.8892</t>
        </is>
      </c>
      <c r="Y15" t="inlineStr">
        <is>
          <t>Первая фиксация / проблема постоянства</t>
        </is>
      </c>
      <c r="Z15" t="inlineStr">
        <is>
          <t>Технология / процесс</t>
        </is>
      </c>
    </row>
    <row r="16" ht="60" customHeight="1" s="59">
      <c r="A16" s="5" t="inlineStr">
        <is>
          <t>PL-HIST-0015</t>
        </is>
      </c>
      <c r="B16" s="5" t="inlineStr">
        <is>
          <t>1822–1825</t>
        </is>
      </c>
      <c r="C16" s="5" t="inlineStr">
        <is>
          <t>диапазон</t>
        </is>
      </c>
      <c r="D16" s="5" t="inlineStr">
        <is>
          <t>Франция</t>
        </is>
      </c>
      <c r="E16" s="5" t="inlineStr">
        <is>
          <t>Сен-Лу-де-Варенн / Ле-Гра</t>
        </is>
      </c>
      <c r="F16" s="5" t="inlineStr">
        <is>
          <t>Нисефор Ньепс</t>
        </is>
      </c>
      <c r="G16" s="5" t="inlineStr">
        <is>
          <t>Развивает гелиографию: использует светочувствительный битум для создания устойчивых изображений/копий гравюр.</t>
        </is>
      </c>
      <c r="H16" s="5" t="inlineStr">
        <is>
          <t>Гелиография</t>
        </is>
      </c>
      <c r="I16" s="5" t="inlineStr">
        <is>
          <t>Bitumen of Judea on metal/stone</t>
        </is>
      </c>
      <c r="J16" s="5" t="inlineStr">
        <is>
          <t>Путь меняется: вместо серебряных солей Ньепс ищет материал, который свет делает не темнее, а твёрже/нерастворимее.</t>
        </is>
      </c>
      <c r="K16" s="5" t="inlineStr">
        <is>
          <t>1816 silver-salt negatives</t>
        </is>
      </c>
      <c r="L16" s="5" t="inlineStr">
        <is>
          <t>View from the Window at Le Gras</t>
        </is>
      </c>
      <c r="M16" s="5" t="inlineStr">
        <is>
          <t>Переходная технология</t>
        </is>
      </c>
      <c r="N16" s="6" t="n">
        <v>4</v>
      </c>
      <c r="O16" s="5" t="inlineStr">
        <is>
          <t>PL-002</t>
        </is>
      </c>
      <c r="P16" s="5" t="inlineStr">
        <is>
          <t>SRC-010</t>
        </is>
      </c>
      <c r="Q16" s="5" t="inlineStr">
        <is>
          <t>Harry Ransom Center — The Niépce Heliograph</t>
        </is>
      </c>
      <c r="R16" s="5" t="inlineStr">
        <is>
          <t>https://www.hrc.utexas.edu/niepce-heliograph/</t>
        </is>
      </c>
      <c r="S16" s="6" t="n">
        <v>4</v>
      </c>
      <c r="T16" s="5" t="inlineStr">
        <is>
          <t>Для лекции: Ньепс думал не только о камере, но и о механическом копировании изображений.</t>
        </is>
      </c>
      <c r="U16" s="5" t="inlineStr">
        <is>
          <t>Узел «гелиография»: солнце превращает покрытие в устойчивый след.</t>
        </is>
      </c>
      <c r="V16" s="5" t="inlineStr">
        <is>
          <t>#гелиография #Niépce #битум</t>
        </is>
      </c>
      <c r="W16" s="5" t="inlineStr">
        <is>
          <t>Проверить дату 1822 для несохранившейся heliograph copy.</t>
        </is>
      </c>
      <c r="X16" t="inlineStr">
        <is>
          <t>46.7828, 4.8892</t>
        </is>
      </c>
      <c r="Z16" t="inlineStr">
        <is>
          <t>Технология / процесс</t>
        </is>
      </c>
    </row>
    <row r="17" ht="60" customHeight="1" s="59">
      <c r="A17" s="5" t="inlineStr">
        <is>
          <t>PL-HIST-0016</t>
        </is>
      </c>
      <c r="B17" s="5" t="inlineStr">
        <is>
          <t>1826 / 1827</t>
        </is>
      </c>
      <c r="C17" s="5" t="inlineStr">
        <is>
          <t>спорно/уточнить</t>
        </is>
      </c>
      <c r="D17" s="5" t="inlineStr">
        <is>
          <t>Франция</t>
        </is>
      </c>
      <c r="E17" s="5" t="inlineStr">
        <is>
          <t>Ле-Гра, Сен-Лу-де-Варенн</t>
        </is>
      </c>
      <c r="F17" s="5" t="inlineStr">
        <is>
          <t>Нисефор Ньепс</t>
        </is>
      </c>
      <c r="G17" s="5" t="inlineStr">
        <is>
          <t>Создаёт «Вид из окна в Ле-Гра» — самое раннее сохранившееся изображение, полученное с помощью камеры-обскуры.</t>
        </is>
      </c>
      <c r="H17" s="5" t="inlineStr">
        <is>
          <t>Гелиография</t>
        </is>
      </c>
      <c r="I17" s="5" t="inlineStr">
        <is>
          <t>Heliograph on pewter plate</t>
        </is>
      </c>
      <c r="J17" s="5" t="inlineStr">
        <is>
          <t>Изображение впервые не просто возникло, а сохранилось до наших дней.</t>
        </is>
      </c>
      <c r="K17" s="5" t="inlineStr">
        <is>
          <t>Heliographic experiments</t>
        </is>
      </c>
      <c r="L17" s="5" t="inlineStr">
        <is>
          <t>Partnership with Daguerre</t>
        </is>
      </c>
      <c r="M17" s="5" t="inlineStr">
        <is>
          <t>Главная линия</t>
        </is>
      </c>
      <c r="N17" s="6" t="n">
        <v>5</v>
      </c>
      <c r="O17" s="5" t="inlineStr">
        <is>
          <t>PL-002</t>
        </is>
      </c>
      <c r="P17" s="5" t="inlineStr">
        <is>
          <t>SRC-010</t>
        </is>
      </c>
      <c r="Q17" s="5" t="inlineStr">
        <is>
          <t>Harry Ransom Center — The Niépce Heliograph</t>
        </is>
      </c>
      <c r="R17" s="5" t="inlineStr">
        <is>
          <t>https://www.hrc.utexas.edu/niepce-heliograph/</t>
        </is>
      </c>
      <c r="S17" s="6" t="n">
        <v>5</v>
      </c>
      <c r="T17" s="5" t="inlineStr">
        <is>
          <t>Дата встречается как 1826 или 1827; в таблице оставляем спорной/уточняемой.</t>
        </is>
      </c>
      <c r="U17" s="5" t="inlineStr">
        <is>
          <t>Главный узел PL-002: окно, свет, металлическая пластина.</t>
        </is>
      </c>
      <c r="V17" s="5" t="inlineStr">
        <is>
          <t>#Niépce #перваяфотография #гелиография #PL002</t>
        </is>
      </c>
      <c r="W17" s="5" t="inlineStr">
        <is>
          <t>Уточнить редакционную дату: Harvard даёт 1826, HRC — 1827.</t>
        </is>
      </c>
      <c r="X17" t="inlineStr">
        <is>
          <t>46.7828, 4.8892</t>
        </is>
      </c>
      <c r="Y17" t="inlineStr">
        <is>
          <t>Гелиография / первая сохранившаяся фотография</t>
        </is>
      </c>
      <c r="Z17" t="inlineStr">
        <is>
          <t>Ключевой исторический узел</t>
        </is>
      </c>
      <c r="AA17" t="inlineStr">
        <is>
          <t>да</t>
        </is>
      </c>
    </row>
    <row r="18" ht="40" customHeight="1" s="59">
      <c r="A18" s="5" t="inlineStr">
        <is>
          <t>PL-HIST-0017</t>
        </is>
      </c>
      <c r="B18" s="5" t="inlineStr">
        <is>
          <t>1829</t>
        </is>
      </c>
      <c r="C18" s="5" t="inlineStr">
        <is>
          <t>год</t>
        </is>
      </c>
      <c r="D18" s="5" t="inlineStr">
        <is>
          <t>Франция</t>
        </is>
      </c>
      <c r="E18" s="5" t="inlineStr">
        <is>
          <t>Париж / Сен-Лу-де-Варенн</t>
        </is>
      </c>
      <c r="F18" s="5" t="inlineStr">
        <is>
          <t>Нисефор Ньепс и Луи Дагер</t>
        </is>
      </c>
      <c r="G18" s="5" t="inlineStr">
        <is>
          <t>Ньепс и Дагер вступают в формальное партнёрство для развития фотографического процесса.</t>
        </is>
      </c>
      <c r="H18" s="5" t="inlineStr">
        <is>
          <t>Дагеротип</t>
        </is>
      </c>
      <c r="I18" s="5" t="inlineStr">
        <is>
          <t>Heliography → daguerreotype lineage</t>
        </is>
      </c>
      <c r="J18" s="5" t="inlineStr">
        <is>
          <t>Линия Ньепса соединяется с практическими улучшениями Дагера.</t>
        </is>
      </c>
      <c r="K18" s="5" t="inlineStr">
        <is>
          <t>Niépce heliography</t>
        </is>
      </c>
      <c r="L18" s="5" t="inlineStr">
        <is>
          <t>Daguerreotype announcement</t>
        </is>
      </c>
      <c r="M18" s="5" t="inlineStr">
        <is>
          <t>Главная линия</t>
        </is>
      </c>
      <c r="N18" s="6" t="n">
        <v>4</v>
      </c>
      <c r="O18" s="5" t="inlineStr">
        <is>
          <t>PL-003</t>
        </is>
      </c>
      <c r="P18" s="5" t="inlineStr">
        <is>
          <t>SRC-010</t>
        </is>
      </c>
      <c r="Q18" s="5" t="inlineStr">
        <is>
          <t>Harry Ransom Center — The Niépce Heliograph</t>
        </is>
      </c>
      <c r="R18" s="5" t="inlineStr">
        <is>
          <t>https://www.hrc.utexas.edu/niepce-heliograph/</t>
        </is>
      </c>
      <c r="S18" s="6" t="n">
        <v>5</v>
      </c>
      <c r="T18" s="5" t="inlineStr">
        <is>
          <t>Это не просто смена фамилии: здесь начинается связка Ньепс → Дагер.</t>
        </is>
      </c>
      <c r="U18" s="5" t="inlineStr">
        <is>
          <t>Линия на карте: Ле-Гра → Париж.</t>
        </is>
      </c>
      <c r="V18" s="5" t="inlineStr">
        <is>
          <t>#Niépce #Daguerre #Франция #PL003</t>
        </is>
      </c>
      <c r="W18" s="5" t="n"/>
      <c r="X18" t="inlineStr">
        <is>
          <t>48.8566, 2.3522</t>
        </is>
      </c>
      <c r="Y18" t="inlineStr">
        <is>
          <t>Передача идеи / развитие процесса</t>
        </is>
      </c>
      <c r="Z18" t="inlineStr">
        <is>
          <t>Связь / переход</t>
        </is>
      </c>
    </row>
    <row r="19" ht="40" customHeight="1" s="59">
      <c r="A19" s="5" t="inlineStr">
        <is>
          <t>PL-HIST-0018</t>
        </is>
      </c>
      <c r="B19" s="5" t="inlineStr">
        <is>
          <t>1833</t>
        </is>
      </c>
      <c r="C19" s="5" t="inlineStr">
        <is>
          <t>год</t>
        </is>
      </c>
      <c r="D19" s="5" t="inlineStr">
        <is>
          <t>Франция</t>
        </is>
      </c>
      <c r="E19" s="5" t="inlineStr">
        <is>
          <t>Сен-Лу-де-Варенн</t>
        </is>
      </c>
      <c r="F19" s="5" t="inlineStr">
        <is>
          <t>Нисефор Ньепс / Луи Дагер</t>
        </is>
      </c>
      <c r="G19" s="5" t="inlineStr">
        <is>
          <t>После смерти Ньепса Дагер продолжает работы и в итоге доводит процесс до публичного объявления.</t>
        </is>
      </c>
      <c r="H19" s="5" t="inlineStr">
        <is>
          <t>Дагеротип</t>
        </is>
      </c>
      <c r="I19" s="5" t="inlineStr">
        <is>
          <t>Daguerreotype lineage</t>
        </is>
      </c>
      <c r="J19" s="5" t="inlineStr">
        <is>
          <t>Фотография становится историей не одного человека, а продолжения незавершённой разработки.</t>
        </is>
      </c>
      <c r="K19" s="5" t="inlineStr">
        <is>
          <t>Partnership 1829</t>
        </is>
      </c>
      <c r="L19" s="5" t="inlineStr">
        <is>
          <t>1839 public announcement</t>
        </is>
      </c>
      <c r="M19" s="5" t="inlineStr">
        <is>
          <t>Главная линия</t>
        </is>
      </c>
      <c r="N19" s="6" t="n">
        <v>3</v>
      </c>
      <c r="O19" s="5" t="inlineStr">
        <is>
          <t>PL-003</t>
        </is>
      </c>
      <c r="P19" s="5" t="inlineStr">
        <is>
          <t>SRC-010</t>
        </is>
      </c>
      <c r="Q19" s="5" t="inlineStr">
        <is>
          <t>Harry Ransom Center — The Niépce Heliograph</t>
        </is>
      </c>
      <c r="R19" s="5" t="inlineStr">
        <is>
          <t>https://www.hrc.utexas.edu/niepce-heliograph/</t>
        </is>
      </c>
      <c r="S19" s="6" t="n">
        <v>4</v>
      </c>
      <c r="T19" s="5" t="inlineStr">
        <is>
          <t>Для сериала: Ньепс не увидел публичного триумфа фотографии.</t>
        </is>
      </c>
      <c r="U19" s="5" t="inlineStr">
        <is>
          <t>Линия прерывается у Ньепса и продолжается к Дагеру.</t>
        </is>
      </c>
      <c r="V19" s="5" t="inlineStr">
        <is>
          <t>#Niépce #Daguerre #история</t>
        </is>
      </c>
      <c r="W19" s="5" t="n"/>
      <c r="X19" t="inlineStr">
        <is>
          <t>46.7828, 4.8892</t>
        </is>
      </c>
      <c r="Y19" t="inlineStr">
        <is>
          <t>Передача идеи / развитие процесса</t>
        </is>
      </c>
      <c r="Z19" t="inlineStr">
        <is>
          <t>Связь / переход</t>
        </is>
      </c>
    </row>
    <row r="20" ht="40" customHeight="1" s="59">
      <c r="A20" s="5" t="inlineStr">
        <is>
          <t>PL-HIST-0019</t>
        </is>
      </c>
      <c r="B20" s="5" t="inlineStr">
        <is>
          <t>1834</t>
        </is>
      </c>
      <c r="C20" s="5" t="inlineStr">
        <is>
          <t>год</t>
        </is>
      </c>
      <c r="D20" s="5" t="inlineStr">
        <is>
          <t>Великобритания</t>
        </is>
      </c>
      <c r="E20" s="5" t="inlineStr">
        <is>
          <t>Лэкок-Эбби</t>
        </is>
      </c>
      <c r="F20" s="5" t="inlineStr">
        <is>
          <t>Уильям Генри Фокс Тальбот</t>
        </is>
      </c>
      <c r="G20" s="5" t="inlineStr">
        <is>
          <t>Создаёт фотогенные рисунки: предметы кладутся на светочувствительную бумагу и оставляют силуэт.</t>
        </is>
      </c>
      <c r="H20" s="5" t="inlineStr">
        <is>
          <t>Фотогенный рисунок / фотограмма</t>
        </is>
      </c>
      <c r="I20" s="5" t="inlineStr">
        <is>
          <t>Photogenic drawing</t>
        </is>
      </c>
      <c r="J20" s="5" t="inlineStr">
        <is>
          <t>Параллельно французской линии появляется британская ветка: изображение через негативный след на бумаге.</t>
        </is>
      </c>
      <c r="K20" s="5" t="inlineStr">
        <is>
          <t>Wedgwood/Davy and silver salts</t>
        </is>
      </c>
      <c r="L20" s="5" t="inlineStr">
        <is>
          <t>Calotype and negative-positive process</t>
        </is>
      </c>
      <c r="M20" s="5" t="inlineStr">
        <is>
          <t>Главная линия</t>
        </is>
      </c>
      <c r="N20" s="6" t="n">
        <v>5</v>
      </c>
      <c r="O20" s="5" t="inlineStr">
        <is>
          <t>PL-004</t>
        </is>
      </c>
      <c r="P20" s="5" t="inlineStr">
        <is>
          <t>SRC-023</t>
        </is>
      </c>
      <c r="Q20" s="5" t="inlineStr">
        <is>
          <t>National Gallery of Canada — The Calotype Process</t>
        </is>
      </c>
      <c r="R20" s="5" t="inlineStr">
        <is>
          <t>https://www.gallery.ca/photo-blog/the-calotype-process</t>
        </is>
      </c>
      <c r="S20" s="6" t="n">
        <v>4</v>
      </c>
      <c r="T20" s="5" t="inlineStr">
        <is>
          <t>Важно показать как параллельную работу, а не как продолжение Дагера.</t>
        </is>
      </c>
      <c r="U20" s="5" t="inlineStr">
        <is>
          <t>Отдельная линия Великобритания: лист растения на бумаге.</t>
        </is>
      </c>
      <c r="V20" s="5" t="inlineStr">
        <is>
          <t>#Talbot #photogenic-drawing #PL004</t>
        </is>
      </c>
      <c r="W20" s="5" t="n"/>
      <c r="X20" t="inlineStr">
        <is>
          <t>51.4136, -2.118</t>
        </is>
      </c>
      <c r="Z20" t="inlineStr">
        <is>
          <t>Технология / процесс</t>
        </is>
      </c>
    </row>
    <row r="21" ht="40" customHeight="1" s="59">
      <c r="A21" s="5" t="inlineStr">
        <is>
          <t>PL-HIST-0020</t>
        </is>
      </c>
      <c r="B21" s="5" t="inlineStr">
        <is>
          <t>1835</t>
        </is>
      </c>
      <c r="C21" s="5" t="inlineStr">
        <is>
          <t>год</t>
        </is>
      </c>
      <c r="D21" s="5" t="inlineStr">
        <is>
          <t>Великобритания</t>
        </is>
      </c>
      <c r="E21" s="5" t="inlineStr">
        <is>
          <t>Лэкок-Эбби</t>
        </is>
      </c>
      <c r="F21" s="5" t="inlineStr">
        <is>
          <t>Уильям Генри Фокс Тальбот</t>
        </is>
      </c>
      <c r="G21" s="5" t="inlineStr">
        <is>
          <t>Делает ранние маленькие камерные негативы, включая вид окна в Лэкок-Эбби.</t>
        </is>
      </c>
      <c r="H21" s="5" t="inlineStr">
        <is>
          <t>Негатив-позитив</t>
        </is>
      </c>
      <c r="I21" s="5" t="inlineStr">
        <is>
          <t>Paper negative in camera</t>
        </is>
      </c>
      <c r="J21" s="5" t="inlineStr">
        <is>
          <t>Тальбот переносит идею фотогенного рисунка в камеру: бумага становится негативом будущей копии.</t>
        </is>
      </c>
      <c r="K21" s="5" t="inlineStr">
        <is>
          <t>Photogenic drawings</t>
        </is>
      </c>
      <c r="L21" s="5" t="inlineStr">
        <is>
          <t>1839 publication and 1841 calotype</t>
        </is>
      </c>
      <c r="M21" s="5" t="inlineStr">
        <is>
          <t>Главная линия</t>
        </is>
      </c>
      <c r="N21" s="6" t="n">
        <v>4</v>
      </c>
      <c r="O21" s="5" t="inlineStr">
        <is>
          <t>PL-004</t>
        </is>
      </c>
      <c r="P21" s="5" t="inlineStr">
        <is>
          <t>SRC-016</t>
        </is>
      </c>
      <c r="Q21" s="5" t="inlineStr">
        <is>
          <t>The Met — William Henry Fox Talbot</t>
        </is>
      </c>
      <c r="R21" s="5" t="inlineStr">
        <is>
          <t>https://www.metmuseum.org/essays/william-henry-fox-talbot-1800-1877-and-the-invention-of-photography</t>
        </is>
      </c>
      <c r="S21" s="6" t="n">
        <v>4</v>
      </c>
      <c r="T21" s="5" t="inlineStr">
        <is>
          <t>Можно объяснить: у Тальбота фотография думает не как «одна пластинка», а как система копирования.</t>
        </is>
      </c>
      <c r="U21" s="5" t="inlineStr">
        <is>
          <t>Окно Лэкок-Эбби как британская пара к окну Ньепса.</t>
        </is>
      </c>
      <c r="V21" s="5" t="inlineStr">
        <is>
          <t>#Talbot #окно #негатив #PL004</t>
        </is>
      </c>
      <c r="W21" s="5" t="inlineStr">
        <is>
          <t>Проверить источник для конкретной даты и объекта Oriel Window.</t>
        </is>
      </c>
      <c r="X21" t="inlineStr">
        <is>
          <t>51.4136, -2.118</t>
        </is>
      </c>
      <c r="Z21" t="inlineStr">
        <is>
          <t>Технология / процесс</t>
        </is>
      </c>
    </row>
    <row r="22" ht="60" customHeight="1" s="59">
      <c r="A22" s="5" t="inlineStr">
        <is>
          <t>PL-HIST-0021</t>
        </is>
      </c>
      <c r="B22" s="5" t="inlineStr">
        <is>
          <t>1837</t>
        </is>
      </c>
      <c r="C22" s="5" t="inlineStr">
        <is>
          <t>год</t>
        </is>
      </c>
      <c r="D22" s="5" t="inlineStr">
        <is>
          <t>Франция</t>
        </is>
      </c>
      <c r="E22" s="5" t="inlineStr">
        <is>
          <t>Париж</t>
        </is>
      </c>
      <c r="F22" s="5" t="inlineStr">
        <is>
          <t>Луи Дагер</t>
        </is>
      </c>
      <c r="G22" s="5" t="inlineStr">
        <is>
          <t>Дагер получает более практичный прямой позитив на серебряной пластине и сокращает экспозицию по сравнению с Ньепсом.</t>
        </is>
      </c>
      <c r="H22" s="5" t="inlineStr">
        <is>
          <t>Дагеротип</t>
        </is>
      </c>
      <c r="I22" s="5" t="inlineStr">
        <is>
          <t>Silver-plated copper plate / direct positive</t>
        </is>
      </c>
      <c r="J22" s="5" t="inlineStr">
        <is>
          <t>Фотография становится резче, быстрее и технически убедительнее, но остаётся уникальным изображением.</t>
        </is>
      </c>
      <c r="K22" s="5" t="inlineStr">
        <is>
          <t>Niépce-Daguerre partnership</t>
        </is>
      </c>
      <c r="L22" s="5" t="inlineStr">
        <is>
          <t>1839 Académie announcement</t>
        </is>
      </c>
      <c r="M22" s="5" t="inlineStr">
        <is>
          <t>Исторически важная ограниченная ветка</t>
        </is>
      </c>
      <c r="N22" s="6" t="n">
        <v>4</v>
      </c>
      <c r="O22" s="5" t="inlineStr">
        <is>
          <t>PL-003</t>
        </is>
      </c>
      <c r="P22" s="5" t="inlineStr">
        <is>
          <t>SRC-013</t>
        </is>
      </c>
      <c r="Q22" s="5" t="inlineStr">
        <is>
          <t>The Met — Daguerre and the Invention of Photography</t>
        </is>
      </c>
      <c r="R22" s="5" t="inlineStr">
        <is>
          <t>https://www.metmuseum.org/essays/daguerre-1787-1851-and-the-invention-of-photography</t>
        </is>
      </c>
      <c r="S22" s="6" t="n">
        <v>3</v>
      </c>
      <c r="T22" s="5" t="inlineStr">
        <is>
          <t>В таблице фиксируем как техническую подготовку к публичному объявлению, но дату/детали уточнить.</t>
        </is>
      </c>
      <c r="U22" s="5" t="inlineStr">
        <is>
          <t>Металлическая пластина + резкое изображение.</t>
        </is>
      </c>
      <c r="V22" s="5" t="inlineStr">
        <is>
          <t>#Daguerre #дагеротип #PL003</t>
        </is>
      </c>
      <c r="W22" s="5" t="inlineStr">
        <is>
          <t>Уточнить первичный источник и дату 1837.</t>
        </is>
      </c>
      <c r="X22" t="inlineStr">
        <is>
          <t>48.8566, 2.3522</t>
        </is>
      </c>
      <c r="Z22" t="inlineStr">
        <is>
          <t>Технология / процесс</t>
        </is>
      </c>
      <c r="AA22" t="inlineStr">
        <is>
          <t>да</t>
        </is>
      </c>
    </row>
    <row r="23" ht="40" customHeight="1" s="59">
      <c r="A23" s="5" t="inlineStr">
        <is>
          <t>PL-HIST-0022</t>
        </is>
      </c>
      <c r="B23" s="5" t="inlineStr">
        <is>
          <t>7 января 1839</t>
        </is>
      </c>
      <c r="C23" s="5" t="inlineStr">
        <is>
          <t>точная дата</t>
        </is>
      </c>
      <c r="D23" s="5" t="inlineStr">
        <is>
          <t>Франция</t>
        </is>
      </c>
      <c r="E23" s="5" t="inlineStr">
        <is>
          <t>Париж</t>
        </is>
      </c>
      <c r="F23" s="5" t="inlineStr">
        <is>
          <t>Франсуа Араго / Луи Дагер</t>
        </is>
      </c>
      <c r="G23" s="5" t="inlineStr">
        <is>
          <t>Французская Академия наук видит результаты процесса Дагера; фотография выходит в публичное научное поле.</t>
        </is>
      </c>
      <c r="H23" s="5" t="inlineStr">
        <is>
          <t>Дагеротип</t>
        </is>
      </c>
      <c r="I23" s="5" t="inlineStr">
        <is>
          <t>Daguerreotype</t>
        </is>
      </c>
      <c r="J23" s="5" t="inlineStr">
        <is>
          <t>Фотография перестаёт быть частной лабораторной тайной и становится событием культуры и науки.</t>
        </is>
      </c>
      <c r="K23" s="5" t="inlineStr">
        <is>
          <t>Daguerre's experiments</t>
        </is>
      </c>
      <c r="L23" s="5" t="inlineStr">
        <is>
          <t>19 August 1839 public disclosure</t>
        </is>
      </c>
      <c r="M23" s="5" t="inlineStr">
        <is>
          <t>Временная доминирующая линия</t>
        </is>
      </c>
      <c r="N23" s="6" t="n">
        <v>5</v>
      </c>
      <c r="O23" s="5" t="inlineStr">
        <is>
          <t>PL-003</t>
        </is>
      </c>
      <c r="P23" s="5" t="inlineStr">
        <is>
          <t>SRC-013</t>
        </is>
      </c>
      <c r="Q23" s="5" t="inlineStr">
        <is>
          <t>The Met — Daguerre and the Invention of Photography</t>
        </is>
      </c>
      <c r="R23" s="5" t="inlineStr">
        <is>
          <t>https://www.metmuseum.org/essays/daguerre-1787-1851-and-the-invention-of-photography</t>
        </is>
      </c>
      <c r="S23" s="6" t="n">
        <v>5</v>
      </c>
      <c r="T23" s="5" t="inlineStr">
        <is>
          <t>Это сильная сцена: не просто изобретение, а момент публичного признания.</t>
        </is>
      </c>
      <c r="U23" s="5" t="inlineStr">
        <is>
          <t>Париж, Академия наук, световая демонстрация.</t>
        </is>
      </c>
      <c r="V23" s="5" t="inlineStr">
        <is>
          <t>#Daguerre #Arago #Париж #PL003</t>
        </is>
      </c>
      <c r="W23" s="5" t="n"/>
      <c r="X23" t="inlineStr">
        <is>
          <t>48.8566, 2.3522</t>
        </is>
      </c>
      <c r="Y23" t="inlineStr">
        <is>
          <t>Дагеротип / публичное объявление</t>
        </is>
      </c>
      <c r="Z23" t="inlineStr">
        <is>
          <t>Публикация / объявление</t>
        </is>
      </c>
    </row>
    <row r="24" ht="40" customHeight="1" s="59">
      <c r="A24" s="5" t="inlineStr">
        <is>
          <t>PL-HIST-0023</t>
        </is>
      </c>
      <c r="B24" s="5" t="inlineStr">
        <is>
          <t>19 августа 1839</t>
        </is>
      </c>
      <c r="C24" s="5" t="inlineStr">
        <is>
          <t>точная дата</t>
        </is>
      </c>
      <c r="D24" s="5" t="inlineStr">
        <is>
          <t>Франция</t>
        </is>
      </c>
      <c r="E24" s="5" t="inlineStr">
        <is>
          <t>Париж</t>
        </is>
      </c>
      <c r="F24" s="5" t="inlineStr">
        <is>
          <t>Луи Дагер / французское государство</t>
        </is>
      </c>
      <c r="G24" s="5" t="inlineStr">
        <is>
          <t>Процесс дагеротипии официально раскрывается публично; Франция фактически дарит процесс миру.</t>
        </is>
      </c>
      <c r="H24" s="5" t="inlineStr">
        <is>
          <t>Дагеротип</t>
        </is>
      </c>
      <c r="I24" s="5" t="inlineStr">
        <is>
          <t>Daguerreotype</t>
        </is>
      </c>
      <c r="J24" s="5" t="inlineStr">
        <is>
          <t>Дагеротип быстро распространяется по Европе и Америке как первый публично объявленный фотографический процесс.</t>
        </is>
      </c>
      <c r="K24" s="5" t="inlineStr">
        <is>
          <t>Academy announcement</t>
        </is>
      </c>
      <c r="L24" s="5" t="inlineStr">
        <is>
          <t>Daguerreotypomania and portrait studios</t>
        </is>
      </c>
      <c r="M24" s="5" t="inlineStr">
        <is>
          <t>Временная доминирующая линия</t>
        </is>
      </c>
      <c r="N24" s="6" t="n">
        <v>5</v>
      </c>
      <c r="O24" s="5" t="inlineStr">
        <is>
          <t>PL-003</t>
        </is>
      </c>
      <c r="P24" s="5" t="inlineStr">
        <is>
          <t>SRC-012</t>
        </is>
      </c>
      <c r="Q24" s="5" t="inlineStr">
        <is>
          <t>Harvard Library — History of Photography Timeline</t>
        </is>
      </c>
      <c r="R24" s="5" t="inlineStr">
        <is>
          <t>https://photographpreservationprogram.hsites.harvard.edu/harvards-history-photography-timeline-text-only</t>
        </is>
      </c>
      <c r="S24" s="6" t="n">
        <v>5</v>
      </c>
      <c r="T24" s="5" t="inlineStr">
        <is>
          <t>В уроке: 1839 — год, когда фотография стала общественным событием.</t>
        </is>
      </c>
      <c r="U24" s="5" t="inlineStr">
        <is>
          <t>Большая точка на Париже и расходящиеся линии по миру.</t>
        </is>
      </c>
      <c r="V24" s="5" t="inlineStr">
        <is>
          <t>#1839 #Daguerre #Франция #распространение</t>
        </is>
      </c>
      <c r="W24" s="5" t="n"/>
      <c r="X24" t="inlineStr">
        <is>
          <t>48.8566, 2.3522</t>
        </is>
      </c>
      <c r="Y24" t="inlineStr">
        <is>
          <t>Дагеротип / распространение</t>
        </is>
      </c>
      <c r="Z24" t="inlineStr">
        <is>
          <t>Публикация / объявление</t>
        </is>
      </c>
    </row>
    <row r="25" ht="60" customHeight="1" s="59">
      <c r="A25" s="5" t="inlineStr">
        <is>
          <t>PL-HIST-0024</t>
        </is>
      </c>
      <c r="B25" s="5" t="inlineStr">
        <is>
          <t>1839</t>
        </is>
      </c>
      <c r="C25" s="5" t="inlineStr">
        <is>
          <t>год</t>
        </is>
      </c>
      <c r="D25" s="5" t="inlineStr">
        <is>
          <t>Великобритания</t>
        </is>
      </c>
      <c r="E25" s="5" t="inlineStr">
        <is>
          <t>Лондон</t>
        </is>
      </c>
      <c r="F25" s="5" t="inlineStr">
        <is>
          <t>Уильям Генри Фокс Тальбот</t>
        </is>
      </c>
      <c r="G25" s="5" t="inlineStr">
        <is>
          <t>Публикует «Some Account of the Art of Photogenic Drawing», представляя свой процесс.</t>
        </is>
      </c>
      <c r="H25" s="5" t="inlineStr">
        <is>
          <t>Фотогенный рисунок / фотограмма</t>
        </is>
      </c>
      <c r="I25" s="5" t="inlineStr">
        <is>
          <t>Photogenic drawing</t>
        </is>
      </c>
      <c r="J25" s="5" t="inlineStr">
        <is>
          <t>Британская линия заявляет о себе почти одновременно с французской, показывая параллельность изобретения фотографии.</t>
        </is>
      </c>
      <c r="K25" s="5" t="inlineStr">
        <is>
          <t>1834–1835 experiments</t>
        </is>
      </c>
      <c r="L25" s="5" t="inlineStr">
        <is>
          <t>Calotype patent 1841</t>
        </is>
      </c>
      <c r="M25" s="5" t="inlineStr">
        <is>
          <t>Главная линия</t>
        </is>
      </c>
      <c r="N25" s="6" t="n">
        <v>5</v>
      </c>
      <c r="O25" s="5" t="inlineStr">
        <is>
          <t>PL-004</t>
        </is>
      </c>
      <c r="P25" s="5" t="inlineStr">
        <is>
          <t>SRC-012</t>
        </is>
      </c>
      <c r="Q25" s="5" t="inlineStr">
        <is>
          <t>Harvard Library — History of Photography Timeline</t>
        </is>
      </c>
      <c r="R25" s="5" t="inlineStr">
        <is>
          <t>https://photographpreservationprogram.hsites.harvard.edu/harvards-history-photography-timeline-text-only</t>
        </is>
      </c>
      <c r="S25" s="6" t="n">
        <v>5</v>
      </c>
      <c r="T25" s="5" t="inlineStr">
        <is>
          <t>Идеально для объяснения: Франция дала резкость и публичный эффект, Британия — логику копии.</t>
        </is>
      </c>
      <c r="U25" s="5" t="inlineStr">
        <is>
          <t>Две линии на карте: Париж и Лондон одновременно загораются в 1839.</t>
        </is>
      </c>
      <c r="V25" s="5" t="inlineStr">
        <is>
          <t>#Talbot #1839 #PL004</t>
        </is>
      </c>
      <c r="W25" s="5" t="n"/>
      <c r="X25" t="inlineStr">
        <is>
          <t>51.5074, -0.1278</t>
        </is>
      </c>
      <c r="Y25" t="inlineStr">
        <is>
          <t>Фотогенный рисунок / публикация</t>
        </is>
      </c>
      <c r="Z25" t="inlineStr">
        <is>
          <t>Публикация / объявление</t>
        </is>
      </c>
    </row>
    <row r="26" ht="60" customHeight="1" s="59">
      <c r="A26" s="5" t="inlineStr">
        <is>
          <t>PL-HIST-0025</t>
        </is>
      </c>
      <c r="B26" s="5" t="inlineStr">
        <is>
          <t>1839</t>
        </is>
      </c>
      <c r="C26" s="5" t="inlineStr">
        <is>
          <t>год</t>
        </is>
      </c>
      <c r="D26" s="5" t="inlineStr">
        <is>
          <t>Великобритания</t>
        </is>
      </c>
      <c r="E26" s="5" t="inlineStr">
        <is>
          <t>Лондон / Slough</t>
        </is>
      </c>
      <c r="F26" s="5" t="inlineStr">
        <is>
          <t>Джон Фредерик Уильям Гершель</t>
        </is>
      </c>
      <c r="G26" s="5" t="inlineStr">
        <is>
          <t>Предлагает использовать hyposulphite of soda как фиксирующее средство для серебряных фотографий.</t>
        </is>
      </c>
      <c r="H26" s="5" t="inlineStr">
        <is>
          <t>Фиксаж / терминология</t>
        </is>
      </c>
      <c r="I26" s="5" t="inlineStr">
        <is>
          <t>Hypo / sodium thiosulfate fixer</t>
        </is>
      </c>
      <c r="J26" s="5" t="inlineStr">
        <is>
          <t>Фотография становится практически долговечной: изображение можно остановить от дальнейшего действия света.</t>
        </is>
      </c>
      <c r="K26" s="5" t="inlineStr">
        <is>
          <t>Silver-salt image instability</t>
        </is>
      </c>
      <c r="L26" s="5" t="inlineStr">
        <is>
          <t>Stable calotypes and later silver processes</t>
        </is>
      </c>
      <c r="M26" s="5" t="inlineStr">
        <is>
          <t>Главная линия</t>
        </is>
      </c>
      <c r="N26" s="6" t="n">
        <v>5</v>
      </c>
      <c r="O26" s="5" t="inlineStr">
        <is>
          <t>PL-004</t>
        </is>
      </c>
      <c r="P26" s="5" t="inlineStr">
        <is>
          <t>SRC-016</t>
        </is>
      </c>
      <c r="Q26" s="5" t="inlineStr">
        <is>
          <t>The Met — William Henry Fox Talbot</t>
        </is>
      </c>
      <c r="R26" s="5" t="inlineStr">
        <is>
          <t>https://www.metmuseum.org/essays/william-henry-fox-talbot-1800-1877-and-the-invention-of-photography</t>
        </is>
      </c>
      <c r="S26" s="6" t="n">
        <v>5</v>
      </c>
      <c r="T26" s="5" t="inlineStr">
        <is>
          <t>Сильный смысл: фотография — это не только камера, но и умение остановить свет.</t>
        </is>
      </c>
      <c r="U26" s="5" t="inlineStr">
        <is>
          <t>Иконка замка/стоп-символа на изображении.</t>
        </is>
      </c>
      <c r="V26" s="5" t="inlineStr">
        <is>
          <t>#Herschel #фиксаж #hypo</t>
        </is>
      </c>
      <c r="W26" s="5" t="n"/>
      <c r="X26" t="inlineStr">
        <is>
          <t>51.5074, -0.1278</t>
        </is>
      </c>
      <c r="Z26" t="inlineStr">
        <is>
          <t>Технология / процесс</t>
        </is>
      </c>
    </row>
    <row r="27" ht="60" customHeight="1" s="59">
      <c r="A27" s="5" t="inlineStr">
        <is>
          <t>PL-HIST-0026</t>
        </is>
      </c>
      <c r="B27" s="5" t="inlineStr">
        <is>
          <t>1839</t>
        </is>
      </c>
      <c r="C27" s="5" t="inlineStr">
        <is>
          <t>год</t>
        </is>
      </c>
      <c r="D27" s="5" t="inlineStr">
        <is>
          <t>Великобритания</t>
        </is>
      </c>
      <c r="E27" s="5" t="inlineStr">
        <is>
          <t>Лондон</t>
        </is>
      </c>
      <c r="F27" s="5" t="inlineStr">
        <is>
          <t>Джон Фредерик Уильям Гершель</t>
        </is>
      </c>
      <c r="G27" s="5" t="inlineStr">
        <is>
          <t>Вводит/закрепляет термины «photography», «negative» и «positive» в ранней фотографической культуре.</t>
        </is>
      </c>
      <c r="H27" s="5" t="inlineStr">
        <is>
          <t>Фиксаж / терминология</t>
        </is>
      </c>
      <c r="I27" s="5" t="inlineStr">
        <is>
          <t>Photographic terminology</t>
        </is>
      </c>
      <c r="J27" s="5" t="inlineStr">
        <is>
          <t>Язык фотографии формируется: появляются термины, без которых невозможно объяснить негативно-позитивный процесс.</t>
        </is>
      </c>
      <c r="K27" s="5" t="inlineStr">
        <is>
          <t>Talbot's paper negatives and photogenic drawings</t>
        </is>
      </c>
      <c r="L27" s="5" t="inlineStr">
        <is>
          <t>Calotype and photographic vocabulary</t>
        </is>
      </c>
      <c r="M27" s="5" t="inlineStr">
        <is>
          <t>Главная линия</t>
        </is>
      </c>
      <c r="N27" s="6" t="n">
        <v>4</v>
      </c>
      <c r="O27" s="5" t="inlineStr">
        <is>
          <t>PL-004</t>
        </is>
      </c>
      <c r="P27" s="5" t="inlineStr">
        <is>
          <t>SRC-017</t>
        </is>
      </c>
      <c r="Q27" s="5" t="inlineStr">
        <is>
          <t>Getty — Sir John F. W. Herschel</t>
        </is>
      </c>
      <c r="R27" s="5" t="inlineStr">
        <is>
          <t>https://www.getty.edu/art/collection/person/103KHK</t>
        </is>
      </c>
      <c r="S27" s="6" t="n">
        <v>4</v>
      </c>
      <c r="T27" s="5" t="inlineStr">
        <is>
          <t>Можно сделать мини-вставку: терминология — это тоже технология понимания.</t>
        </is>
      </c>
      <c r="U27" s="5" t="inlineStr">
        <is>
          <t>Карточка слов: PHOTOGRAPHY / NEGATIVE / POSITIVE.</t>
        </is>
      </c>
      <c r="V27" s="5" t="inlineStr">
        <is>
          <t>#Herschel #термины #negative #positive</t>
        </is>
      </c>
      <c r="W27" s="5" t="inlineStr">
        <is>
          <t>Уточнить первичные даты употребления терминов в письмах/докладах.</t>
        </is>
      </c>
      <c r="X27" t="inlineStr">
        <is>
          <t>51.5074, -0.1278</t>
        </is>
      </c>
      <c r="Z27" t="inlineStr">
        <is>
          <t>Терминология / язык</t>
        </is>
      </c>
    </row>
    <row r="28" ht="40" customHeight="1" s="59">
      <c r="A28" s="5" t="inlineStr">
        <is>
          <t>PL-HIST-0027</t>
        </is>
      </c>
      <c r="B28" s="5" t="inlineStr">
        <is>
          <t>1839–1840</t>
        </is>
      </c>
      <c r="C28" s="5" t="inlineStr">
        <is>
          <t>диапазон</t>
        </is>
      </c>
      <c r="D28" s="5" t="inlineStr">
        <is>
          <t>Франция</t>
        </is>
      </c>
      <c r="E28" s="5" t="inlineStr">
        <is>
          <t>Париж</t>
        </is>
      </c>
      <c r="F28" s="5" t="inlineStr">
        <is>
          <t>Ипполит Байяр</t>
        </is>
      </c>
      <c r="G28" s="5" t="inlineStr">
        <is>
          <t>Разрабатывает прямой позитивный процесс на бумаге, но оказывается в тени Дагера и Тальбота.</t>
        </is>
      </c>
      <c r="H28" s="5" t="inlineStr">
        <is>
          <t>Уникальный позитив</t>
        </is>
      </c>
      <c r="I28" s="5" t="inlineStr">
        <is>
          <t>Direct positive paper process</t>
        </is>
      </c>
      <c r="J28" s="5" t="inlineStr">
        <is>
          <t>Показывает, что история фотографии была многоголосой: не все ветки получили признание и масштаб.</t>
        </is>
      </c>
      <c r="K28" s="5" t="inlineStr">
        <is>
          <t>French early photographic experiments</t>
        </is>
      </c>
      <c r="L28" s="5" t="inlineStr">
        <is>
          <t>Bayard's staged self-portrait and later history</t>
        </is>
      </c>
      <c r="M28" s="5" t="inlineStr">
        <is>
          <t>Исторически важная ограниченная ветка</t>
        </is>
      </c>
      <c r="N28" s="6" t="n">
        <v>3</v>
      </c>
      <c r="O28" s="5" t="inlineStr">
        <is>
          <t>межурочный узел</t>
        </is>
      </c>
      <c r="P28" s="5" t="inlineStr">
        <is>
          <t>SRC-017</t>
        </is>
      </c>
      <c r="Q28" s="5" t="inlineStr">
        <is>
          <t>Getty — Sir John F. W. Herschel</t>
        </is>
      </c>
      <c r="R28" s="5" t="inlineStr">
        <is>
          <t>https://www.getty.edu/art/collection/person/103KHK</t>
        </is>
      </c>
      <c r="S28" s="6" t="n">
        <v>3</v>
      </c>
      <c r="T28" s="5" t="inlineStr">
        <is>
          <t>Можно использовать как сюжет о несправедливости истории и «забытых изобретателях».</t>
        </is>
      </c>
      <c r="U28" s="5" t="inlineStr">
        <is>
          <t>Пунктирная ветка от Парижа, уходящая в сторону.</t>
        </is>
      </c>
      <c r="V28" s="5" t="inlineStr">
        <is>
          <t>#Bayard #direct-positive #забытые</t>
        </is>
      </c>
      <c r="W28" s="5" t="inlineStr">
        <is>
          <t>Найти лучший источник именно по процессу Байяра, не только биографию Getty.</t>
        </is>
      </c>
      <c r="X28" t="inlineStr">
        <is>
          <t>48.8566, 2.3522</t>
        </is>
      </c>
      <c r="Z28" t="inlineStr">
        <is>
          <t>Технология / процесс</t>
        </is>
      </c>
    </row>
    <row r="29" ht="60" customHeight="1" s="59">
      <c r="A29" s="5" t="inlineStr">
        <is>
          <t>PL-HIST-0028</t>
        </is>
      </c>
      <c r="B29" s="5" t="inlineStr">
        <is>
          <t>1838</t>
        </is>
      </c>
      <c r="C29" s="5" t="inlineStr">
        <is>
          <t>год</t>
        </is>
      </c>
      <c r="D29" s="5" t="inlineStr">
        <is>
          <t>Великобритания</t>
        </is>
      </c>
      <c r="E29" s="5" t="inlineStr">
        <is>
          <t>Лондон</t>
        </is>
      </c>
      <c r="F29" s="5" t="inlineStr">
        <is>
          <t>Чарльз Уитстон</t>
        </is>
      </c>
      <c r="G29" s="5" t="inlineStr">
        <is>
          <t>Представляет стереоскоп и демонстрирует принцип бинокулярного зрения.</t>
        </is>
      </c>
      <c r="H29" s="5" t="inlineStr">
        <is>
          <t>Оптические инструменты</t>
        </is>
      </c>
      <c r="I29" s="5" t="inlineStr">
        <is>
          <t>Stereoscope</t>
        </is>
      </c>
      <c r="J29" s="5" t="inlineStr">
        <is>
          <t>Пока ещё не фотографическая технология, но позже стереофотография станет массовой формой визуального опыта.</t>
        </is>
      </c>
      <c r="K29" s="5" t="inlineStr">
        <is>
          <t>Optics of vision</t>
        </is>
      </c>
      <c r="L29" s="5" t="inlineStr">
        <is>
          <t>Photographic stereographs in the 1850s</t>
        </is>
      </c>
      <c r="M29" s="5" t="inlineStr">
        <is>
          <t>Оптическая предпосылка</t>
        </is>
      </c>
      <c r="N29" s="6" t="n">
        <v>3</v>
      </c>
      <c r="O29" s="5" t="inlineStr">
        <is>
          <t>будущие PL</t>
        </is>
      </c>
      <c r="P29" s="5" t="inlineStr">
        <is>
          <t>SRC-024</t>
        </is>
      </c>
      <c r="Q29" s="5" t="inlineStr">
        <is>
          <t>Royal Society / Google Arts &amp; Culture — Stereoscopy</t>
        </is>
      </c>
      <c r="R29" s="5" t="inlineStr">
        <is>
          <t>https://artsandculture.google.com/story/stereoscopy-the-birth-of-3d-technology-the-royal-society/pwWRTNS-hqDN5g</t>
        </is>
      </c>
      <c r="S29" s="6" t="n">
        <v>4</v>
      </c>
      <c r="T29" s="5" t="inlineStr">
        <is>
          <t>Этот узел лучше оставить для будущего раздела о 3D/стереофотографии.</t>
        </is>
      </c>
      <c r="U29" s="5" t="inlineStr">
        <is>
          <t>Иконка двух глаз / двух изображений.</t>
        </is>
      </c>
      <c r="V29" s="5" t="inlineStr">
        <is>
          <t>#стереоскоп #Wheatstone #3D</t>
        </is>
      </c>
      <c r="W29" s="5" t="n"/>
      <c r="X29" t="inlineStr">
        <is>
          <t>51.5074, -0.1278</t>
        </is>
      </c>
      <c r="Y29" t="inlineStr">
        <is>
          <t>Оптические инструменты / 3D</t>
        </is>
      </c>
      <c r="Z29" t="inlineStr">
        <is>
          <t>Инструмент / устройство</t>
        </is>
      </c>
    </row>
    <row r="30" ht="60" customHeight="1" s="59">
      <c r="A30" s="5" t="inlineStr">
        <is>
          <t>PL-HIST-0029</t>
        </is>
      </c>
      <c r="B30" s="5" t="inlineStr">
        <is>
          <t>1840</t>
        </is>
      </c>
      <c r="C30" s="5" t="inlineStr">
        <is>
          <t>год</t>
        </is>
      </c>
      <c r="D30" s="5" t="inlineStr">
        <is>
          <t>Великобритания</t>
        </is>
      </c>
      <c r="E30" s="5" t="inlineStr">
        <is>
          <t>Лэкок-Эбби</t>
        </is>
      </c>
      <c r="F30" s="5" t="inlineStr">
        <is>
          <t>Уильям Генри Фокс Тальбот</t>
        </is>
      </c>
      <c r="G30" s="5" t="inlineStr">
        <is>
          <t>Обнаруживает латентное изображение и проявление галловой кислотой: секунды экспозиции дают скрытый след, который можно проявить.</t>
        </is>
      </c>
      <c r="H30" s="5" t="inlineStr">
        <is>
          <t>Негатив-позитив</t>
        </is>
      </c>
      <c r="I30" s="5" t="inlineStr">
        <is>
          <t>Latent image development</t>
        </is>
      </c>
      <c r="J30" s="5" t="inlineStr">
        <is>
          <t>Это резко ускоряет бумажную фотографию: теперь не нужно ждать видимого потемнения во время экспозиции.</t>
        </is>
      </c>
      <c r="K30" s="5" t="inlineStr">
        <is>
          <t>Photogenic drawing and camera negatives</t>
        </is>
      </c>
      <c r="L30" s="5" t="inlineStr">
        <is>
          <t>Calotype patent 1841</t>
        </is>
      </c>
      <c r="M30" s="5" t="inlineStr">
        <is>
          <t>Главная линия</t>
        </is>
      </c>
      <c r="N30" s="6" t="n">
        <v>5</v>
      </c>
      <c r="O30" s="5" t="inlineStr">
        <is>
          <t>PL-004</t>
        </is>
      </c>
      <c r="P30" s="5" t="inlineStr">
        <is>
          <t>SRC-016</t>
        </is>
      </c>
      <c r="Q30" s="5" t="inlineStr">
        <is>
          <t>The Met — William Henry Fox Talbot</t>
        </is>
      </c>
      <c r="R30" s="5" t="inlineStr">
        <is>
          <t>https://www.metmuseum.org/essays/william-henry-fox-talbot-1800-1877-and-the-invention-of-photography</t>
        </is>
      </c>
      <c r="S30" s="6" t="n">
        <v>5</v>
      </c>
      <c r="T30" s="5" t="inlineStr">
        <is>
          <t>Для новичка: фотография научилась работать со скрытым изображением.</t>
        </is>
      </c>
      <c r="U30" s="5" t="inlineStr">
        <is>
          <t>Схема: невидимый след → проявитель → появляется картинка.</t>
        </is>
      </c>
      <c r="V30" s="5" t="inlineStr">
        <is>
          <t>#latent-image #Talbot #PL004</t>
        </is>
      </c>
      <c r="W30" s="5" t="n"/>
      <c r="X30" t="inlineStr">
        <is>
          <t>51.4136, -2.118</t>
        </is>
      </c>
      <c r="Y30" t="inlineStr">
        <is>
          <t>Негатив-позитив / проявление</t>
        </is>
      </c>
      <c r="Z30" t="inlineStr">
        <is>
          <t>Технология / процесс</t>
        </is>
      </c>
    </row>
    <row r="31" ht="80" customHeight="1" s="59">
      <c r="A31" s="5" t="inlineStr">
        <is>
          <t>PL-HIST-0030</t>
        </is>
      </c>
      <c r="B31" s="5" t="inlineStr">
        <is>
          <t>1840</t>
        </is>
      </c>
      <c r="C31" s="5" t="inlineStr">
        <is>
          <t>год</t>
        </is>
      </c>
      <c r="D31" s="5" t="inlineStr">
        <is>
          <t>США</t>
        </is>
      </c>
      <c r="E31" s="5" t="inlineStr">
        <is>
          <t>Нью-Йорк</t>
        </is>
      </c>
      <c r="F31" s="5" t="inlineStr">
        <is>
          <t>Джон Уильям Дрейпер</t>
        </is>
      </c>
      <c r="G31" s="5" t="inlineStr">
        <is>
          <t>Делает ранние научные дагеротипы, включая одну из первых фотографий Луны.</t>
        </is>
      </c>
      <c r="H31" s="5" t="inlineStr">
        <is>
          <t>Дагеротип</t>
        </is>
      </c>
      <c r="I31" s="5" t="inlineStr">
        <is>
          <t>Daguerreotype for astronomy</t>
        </is>
      </c>
      <c r="J31" s="5" t="inlineStr">
        <is>
          <t>Фотография быстро выходит за пределы портрета и становится научным инструментом.</t>
        </is>
      </c>
      <c r="K31" s="5" t="inlineStr">
        <is>
          <t>Daguerreotype public disclosure</t>
        </is>
      </c>
      <c r="L31" s="5" t="inlineStr">
        <is>
          <t>Astronomical and scientific photography</t>
        </is>
      </c>
      <c r="M31" s="5" t="inlineStr">
        <is>
          <t>Главная линия</t>
        </is>
      </c>
      <c r="N31" s="6" t="n">
        <v>3</v>
      </c>
      <c r="O31" s="5" t="inlineStr">
        <is>
          <t>будущие PL</t>
        </is>
      </c>
      <c r="P31" s="5" t="inlineStr">
        <is>
          <t>SRC-012</t>
        </is>
      </c>
      <c r="Q31" s="5" t="inlineStr">
        <is>
          <t>Harvard Library — History of Photography Timeline</t>
        </is>
      </c>
      <c r="R31" s="5" t="inlineStr">
        <is>
          <t>https://photographpreservationprogram.hsites.harvard.edu/harvards-history-photography-timeline-text-only</t>
        </is>
      </c>
      <c r="S31" s="6" t="n">
        <v>3</v>
      </c>
      <c r="T31" s="5" t="inlineStr">
        <is>
          <t>Будущий узел для урока о научной фотографии.</t>
        </is>
      </c>
      <c r="U31" s="5" t="inlineStr">
        <is>
          <t>Линия Париж → Нью-Йорк + Луна.</t>
        </is>
      </c>
      <c r="V31" s="5" t="inlineStr">
        <is>
          <t>#Draper #астрономия #научнаяфотография</t>
        </is>
      </c>
      <c r="W31" s="5" t="inlineStr">
        <is>
          <t>Добавить более авторитетный музейный источник по Draper. | Ветка нормализована к 13 значениям v0.2 — узел межжанровый, решение неоднозначное (см. Подветка).</t>
        </is>
      </c>
      <c r="X31" t="inlineStr">
        <is>
          <t>40.7128, -74.006</t>
        </is>
      </c>
      <c r="Y31" t="inlineStr">
        <is>
          <t>Научная фотография</t>
        </is>
      </c>
      <c r="Z31" t="inlineStr">
        <is>
          <t>Научное применение / пример</t>
        </is>
      </c>
    </row>
    <row r="32" ht="40" customHeight="1" s="59">
      <c r="A32" s="5" t="inlineStr">
        <is>
          <t>PL-HIST-0031</t>
        </is>
      </c>
      <c r="B32" s="5" t="inlineStr">
        <is>
          <t>1841</t>
        </is>
      </c>
      <c r="C32" s="5" t="inlineStr">
        <is>
          <t>год</t>
        </is>
      </c>
      <c r="D32" s="5" t="inlineStr">
        <is>
          <t>Великобритания</t>
        </is>
      </c>
      <c r="E32" s="5" t="inlineStr">
        <is>
          <t>Лондон / Лэкок-Эбби</t>
        </is>
      </c>
      <c r="F32" s="5" t="inlineStr">
        <is>
          <t>Уильям Генри Фокс Тальбот</t>
        </is>
      </c>
      <c r="G32" s="5" t="inlineStr">
        <is>
          <t>Патентует калотип: усовершенствованный негативно-позитивный процесс на бумаге.</t>
        </is>
      </c>
      <c r="H32" s="5" t="inlineStr">
        <is>
          <t>Негатив-позитив</t>
        </is>
      </c>
      <c r="I32" s="5" t="inlineStr">
        <is>
          <t>Calotype / Talbotype</t>
        </is>
      </c>
      <c r="J32" s="5" t="inlineStr">
        <is>
          <t>Появляется фундаментальная логика фотографии: один негатив может дать много позитивных отпечатков.</t>
        </is>
      </c>
      <c r="K32" s="5" t="inlineStr">
        <is>
          <t>Latent image development 1840</t>
        </is>
      </c>
      <c r="L32" s="5" t="inlineStr">
        <is>
          <t>Salted paper prints and The Pencil of Nature</t>
        </is>
      </c>
      <c r="M32" s="5" t="inlineStr">
        <is>
          <t>Главная линия</t>
        </is>
      </c>
      <c r="N32" s="6" t="n">
        <v>5</v>
      </c>
      <c r="O32" s="5" t="inlineStr">
        <is>
          <t>PL-004</t>
        </is>
      </c>
      <c r="P32" s="5" t="inlineStr">
        <is>
          <t>SRC-015</t>
        </is>
      </c>
      <c r="Q32" s="5" t="inlineStr">
        <is>
          <t>Library of Congress — Calotype and Daguerreotype</t>
        </is>
      </c>
      <c r="R32" s="5" t="inlineStr">
        <is>
          <t>https://blogs.loc.gov/teachers/2018/09/pre-civil-war-photographic-technologies-the-calotype-and-daguerreotype/</t>
        </is>
      </c>
      <c r="S32" s="6" t="n">
        <v>5</v>
      </c>
      <c r="T32" s="5" t="inlineStr">
        <is>
          <t>Ключевой тезис PL-004: калотип менее резкий, чем дагеротип, но его идея победила.</t>
        </is>
      </c>
      <c r="U32" s="5" t="inlineStr">
        <is>
          <t>Разветвление: один негатив → несколько отпечатков.</t>
        </is>
      </c>
      <c r="V32" s="5" t="inlineStr">
        <is>
          <t>#calotype #Talbot #negative-positive #PL004</t>
        </is>
      </c>
      <c r="W32" s="5" t="n"/>
      <c r="X32" t="inlineStr">
        <is>
          <t>51.5074, -0.1278</t>
        </is>
      </c>
      <c r="Z32" t="inlineStr">
        <is>
          <t>Технология / процесс</t>
        </is>
      </c>
      <c r="AA32" t="inlineStr">
        <is>
          <t>да</t>
        </is>
      </c>
    </row>
    <row r="33" ht="40" customHeight="1" s="59">
      <c r="A33" s="5" t="inlineStr">
        <is>
          <t>PL-HIST-0032</t>
        </is>
      </c>
      <c r="B33" s="5" t="inlineStr">
        <is>
          <t>1841</t>
        </is>
      </c>
      <c r="C33" s="5" t="inlineStr">
        <is>
          <t>год</t>
        </is>
      </c>
      <c r="D33" s="5" t="inlineStr">
        <is>
          <t>Великобритания</t>
        </is>
      </c>
      <c r="E33" s="5" t="inlineStr">
        <is>
          <t>Лондон / Лэкок-Эбби</t>
        </is>
      </c>
      <c r="F33" s="5" t="inlineStr">
        <is>
          <t>Уильям Генри Фокс Тальбот</t>
        </is>
      </c>
      <c r="G33" s="5" t="inlineStr">
        <is>
          <t>Солёная бумажная печать становится практическим позитивом с бумажного негатива.</t>
        </is>
      </c>
      <c r="H33" s="5" t="inlineStr">
        <is>
          <t>Печать / тиражирование</t>
        </is>
      </c>
      <c r="I33" s="5" t="inlineStr">
        <is>
          <t>Salted paper print</t>
        </is>
      </c>
      <c r="J33" s="5" t="inlineStr">
        <is>
          <t>Фотография становится печатной системой: негатив и позитив начинают работать вместе.</t>
        </is>
      </c>
      <c r="K33" s="5" t="inlineStr">
        <is>
          <t>Calotype negative</t>
        </is>
      </c>
      <c r="L33" s="5" t="inlineStr">
        <is>
          <t>Pencil of Nature and albumen print</t>
        </is>
      </c>
      <c r="M33" s="5" t="inlineStr">
        <is>
          <t>Главная линия</t>
        </is>
      </c>
      <c r="N33" s="6" t="n">
        <v>4</v>
      </c>
      <c r="O33" s="5" t="inlineStr">
        <is>
          <t>PL-004</t>
        </is>
      </c>
      <c r="P33" s="5" t="inlineStr">
        <is>
          <t>SRC-020</t>
        </is>
      </c>
      <c r="Q33" s="5" t="inlineStr">
        <is>
          <t>V&amp;A — Photography Processes and Techniques</t>
        </is>
      </c>
      <c r="R33" s="5" t="inlineStr">
        <is>
          <t>https://www.vam.ac.uk/info/collection-selection-boxes-photography-processes-and-techniques</t>
        </is>
      </c>
      <c r="S33" s="6" t="n">
        <v>4</v>
      </c>
      <c r="T33" s="5" t="inlineStr">
        <is>
          <t>Для схемы: калотип — это не только негатив, но и контактная печать.</t>
        </is>
      </c>
      <c r="U33" s="5" t="inlineStr">
        <is>
          <t>Контактная рамка: негатив лежит на бумаге под стеклом.</t>
        </is>
      </c>
      <c r="V33" s="5" t="inlineStr">
        <is>
          <t>#salted-paper #print #Talbot</t>
        </is>
      </c>
      <c r="W33" s="5" t="n"/>
      <c r="X33" t="inlineStr">
        <is>
          <t>51.5074, -0.1278</t>
        </is>
      </c>
      <c r="Z33" t="inlineStr">
        <is>
          <t>Тиражирование / публикация</t>
        </is>
      </c>
    </row>
    <row r="34" ht="60" customHeight="1" s="59">
      <c r="A34" s="5" t="inlineStr">
        <is>
          <t>PL-HIST-0033</t>
        </is>
      </c>
      <c r="B34" s="5" t="inlineStr">
        <is>
          <t>1842</t>
        </is>
      </c>
      <c r="C34" s="5" t="inlineStr">
        <is>
          <t>год</t>
        </is>
      </c>
      <c r="D34" s="5" t="inlineStr">
        <is>
          <t>Великобритания</t>
        </is>
      </c>
      <c r="E34" s="5" t="inlineStr">
        <is>
          <t>Лондон / Slough</t>
        </is>
      </c>
      <c r="F34" s="5" t="inlineStr">
        <is>
          <t>Джон Фредерик Уильям Гершель</t>
        </is>
      </c>
      <c r="G34" s="5" t="inlineStr">
        <is>
          <t>Изобретает цианотипию — железо-солевой процесс, дающий синий отпечаток.</t>
        </is>
      </c>
      <c r="H34" s="5" t="inlineStr">
        <is>
          <t>Печать / тиражирование</t>
        </is>
      </c>
      <c r="I34" s="5" t="inlineStr">
        <is>
          <t>Cyanotype</t>
        </is>
      </c>
      <c r="J34" s="5" t="inlineStr">
        <is>
          <t>Показывает, что фотография не обязана быть только серебряной; появляется альтернативная печать и будущие blueprint-процессы.</t>
        </is>
      </c>
      <c r="K34" s="5" t="inlineStr">
        <is>
          <t>Herschel's photochemistry</t>
        </is>
      </c>
      <c r="L34" s="5" t="inlineStr">
        <is>
          <t>Anna Atkins's photographic book</t>
        </is>
      </c>
      <c r="M34" s="5" t="inlineStr">
        <is>
          <t>Переходная технология / художественное возрождение</t>
        </is>
      </c>
      <c r="N34" s="6" t="n">
        <v>4</v>
      </c>
      <c r="O34" s="5" t="inlineStr">
        <is>
          <t>будущие PL</t>
        </is>
      </c>
      <c r="P34" s="5" t="inlineStr">
        <is>
          <t>SRC-018</t>
        </is>
      </c>
      <c r="Q34" s="5" t="inlineStr">
        <is>
          <t>HNOC — Cyanotype Process</t>
        </is>
      </c>
      <c r="R34" s="5" t="inlineStr">
        <is>
          <t>https://hnoc.org/virtual-exhibitions/from_daguerreotype_to_digital/cyanotype-process</t>
        </is>
      </c>
      <c r="S34" s="6" t="n">
        <v>5</v>
      </c>
      <c r="T34" s="5" t="inlineStr">
        <is>
          <t>Цианотипия идеальна для практического урока: простой, зрелищный процесс.</t>
        </is>
      </c>
      <c r="U34" s="5" t="inlineStr">
        <is>
          <t>Синяя ветка на карте.</t>
        </is>
      </c>
      <c r="V34" s="5" t="inlineStr">
        <is>
          <t>#cyanotype #Herschel #альтернативныйпроцесс</t>
        </is>
      </c>
      <c r="W34" s="5" t="inlineStr">
        <is>
          <t>Ветка нормализована к 13 значениям v0.2 — узел межжанровый, решение неоднозначное (см. Подветка).</t>
        </is>
      </c>
      <c r="X34" t="inlineStr">
        <is>
          <t>51.5074, -0.1278</t>
        </is>
      </c>
      <c r="Y34" t="inlineStr">
        <is>
          <t>Цианотипия</t>
        </is>
      </c>
      <c r="Z34" t="inlineStr">
        <is>
          <t>Технология / процесс</t>
        </is>
      </c>
    </row>
    <row r="35" ht="60" customHeight="1" s="59">
      <c r="A35" s="5" t="inlineStr">
        <is>
          <t>PL-HIST-0034</t>
        </is>
      </c>
      <c r="B35" s="5" t="inlineStr">
        <is>
          <t>1843</t>
        </is>
      </c>
      <c r="C35" s="5" t="inlineStr">
        <is>
          <t>год</t>
        </is>
      </c>
      <c r="D35" s="5" t="inlineStr">
        <is>
          <t>Великобритания</t>
        </is>
      </c>
      <c r="E35" s="5" t="inlineStr">
        <is>
          <t>Кент</t>
        </is>
      </c>
      <c r="F35" s="5" t="inlineStr">
        <is>
          <t>Анна Аткинс</t>
        </is>
      </c>
      <c r="G35" s="5" t="inlineStr">
        <is>
          <t>Начинает выпуск «Photographs of British Algae: Cyanotype Impressions» — первой книги, напечатанной и иллюстрированной фотографией.</t>
        </is>
      </c>
      <c r="H35" s="5" t="inlineStr">
        <is>
          <t>Печать / тиражирование</t>
        </is>
      </c>
      <c r="I35" s="5" t="inlineStr">
        <is>
          <t>Cyanotype photobook</t>
        </is>
      </c>
      <c r="J35" s="5" t="inlineStr">
        <is>
          <t>Фотография становится способом научной публикации, а не только экспериментом или портретом.</t>
        </is>
      </c>
      <c r="K35" s="5" t="inlineStr">
        <is>
          <t>Cyanotype 1842</t>
        </is>
      </c>
      <c r="L35" s="5" t="inlineStr">
        <is>
          <t>Scientific and documentary photography</t>
        </is>
      </c>
      <c r="M35" s="5" t="inlineStr">
        <is>
          <t>Главная линия</t>
        </is>
      </c>
      <c r="N35" s="6" t="n">
        <v>4</v>
      </c>
      <c r="O35" s="5" t="inlineStr">
        <is>
          <t>будущие PL</t>
        </is>
      </c>
      <c r="P35" s="5" t="inlineStr">
        <is>
          <t>SRC-019</t>
        </is>
      </c>
      <c r="Q35" s="5" t="inlineStr">
        <is>
          <t>Natural History Museum — Anna Atkins's cyanotypes</t>
        </is>
      </c>
      <c r="R35" s="5" t="inlineStr">
        <is>
          <t>https://www.nhm.ac.uk/discover/anna-atkins-cyanotypes-the-first-book-of-photographs.html</t>
        </is>
      </c>
      <c r="S35" s="6" t="n">
        <v>5</v>
      </c>
      <c r="T35" s="5" t="inlineStr">
        <is>
          <t>Очень важный узел: женщина-фотограф, наука, книга и фотография как документ.</t>
        </is>
      </c>
      <c r="U35" s="5" t="inlineStr">
        <is>
          <t>Иконка синей книги с водорослью.</t>
        </is>
      </c>
      <c r="V35" s="5" t="inlineStr">
        <is>
          <t>#AnnaAtkins #cyanotype #photobook</t>
        </is>
      </c>
      <c r="W35" s="5" t="n"/>
      <c r="X35" t="inlineStr">
        <is>
          <t>51.2787, 0.5217</t>
        </is>
      </c>
      <c r="Y35" t="inlineStr">
        <is>
          <t>Фотокнига / научная документация</t>
        </is>
      </c>
      <c r="Z35" t="inlineStr">
        <is>
          <t>Тиражирование / публикация</t>
        </is>
      </c>
    </row>
    <row r="36" ht="60" customHeight="1" s="59">
      <c r="A36" s="5" t="inlineStr">
        <is>
          <t>PL-HIST-0035</t>
        </is>
      </c>
      <c r="B36" s="5" t="inlineStr">
        <is>
          <t>1844</t>
        </is>
      </c>
      <c r="C36" s="5" t="inlineStr">
        <is>
          <t>год</t>
        </is>
      </c>
      <c r="D36" s="5" t="inlineStr">
        <is>
          <t>Великобритания</t>
        </is>
      </c>
      <c r="E36" s="5" t="inlineStr">
        <is>
          <t>Лондон</t>
        </is>
      </c>
      <c r="F36" s="5" t="inlineStr">
        <is>
          <t>Уильям Генри Фокс Тальбот</t>
        </is>
      </c>
      <c r="G36" s="5" t="inlineStr">
        <is>
          <t>Начинает публикацию «The Pencil of Nature» — первой коммерчески изданной книги с фотографическими отпечатками.</t>
        </is>
      </c>
      <c r="H36" s="5" t="inlineStr">
        <is>
          <t>Печать / тиражирование</t>
        </is>
      </c>
      <c r="I36" s="5" t="inlineStr">
        <is>
          <t>Salted paper prints from calotype negatives</t>
        </is>
      </c>
      <c r="J36" s="5" t="inlineStr">
        <is>
          <t>Фотография входит в книгу как новый способ иллюстрации и доказательства.</t>
        </is>
      </c>
      <c r="K36" s="5" t="inlineStr">
        <is>
          <t>Calotype and salted paper print</t>
        </is>
      </c>
      <c r="L36" s="5" t="inlineStr">
        <is>
          <t>Photographic publishing</t>
        </is>
      </c>
      <c r="M36" s="5" t="inlineStr">
        <is>
          <t>Главная линия</t>
        </is>
      </c>
      <c r="N36" s="6" t="n">
        <v>5</v>
      </c>
      <c r="O36" s="5" t="inlineStr">
        <is>
          <t>PL-004</t>
        </is>
      </c>
      <c r="P36" s="5" t="inlineStr">
        <is>
          <t>SRC-016</t>
        </is>
      </c>
      <c r="Q36" s="5" t="inlineStr">
        <is>
          <t>The Met — William Henry Fox Talbot</t>
        </is>
      </c>
      <c r="R36" s="5" t="inlineStr">
        <is>
          <t>https://www.metmuseum.org/essays/william-henry-fox-talbot-1800-1877-and-the-invention-of-photography</t>
        </is>
      </c>
      <c r="S36" s="6" t="n">
        <v>5</v>
      </c>
      <c r="T36" s="5" t="inlineStr">
        <is>
          <t>Сильный мост к бренду PHOTO LAB: фотография становится не только снимком, но и системой распространения знания.</t>
        </is>
      </c>
      <c r="U36" s="5" t="inlineStr">
        <is>
          <t>Книга, из которой выходят маленькие отпечатки.</t>
        </is>
      </c>
      <c r="V36" s="5" t="inlineStr">
        <is>
          <t>#PencilOfNature #Talbot #книга #PL004</t>
        </is>
      </c>
      <c r="W36" s="5" t="n"/>
      <c r="X36" t="inlineStr">
        <is>
          <t>51.5074, -0.1278</t>
        </is>
      </c>
      <c r="Y36" t="inlineStr">
        <is>
          <t>Фотокнига / тиражирование</t>
        </is>
      </c>
      <c r="Z36" t="inlineStr">
        <is>
          <t>Тиражирование / публикация</t>
        </is>
      </c>
    </row>
    <row r="37" ht="60" customHeight="1" s="59">
      <c r="A37" s="5" t="inlineStr">
        <is>
          <t>PL-HIST-0036</t>
        </is>
      </c>
      <c r="B37" s="5" t="inlineStr">
        <is>
          <t>1847</t>
        </is>
      </c>
      <c r="C37" s="5" t="inlineStr">
        <is>
          <t>год</t>
        </is>
      </c>
      <c r="D37" s="5" t="inlineStr">
        <is>
          <t>США</t>
        </is>
      </c>
      <c r="E37" s="5" t="inlineStr">
        <is>
          <t>Бостон</t>
        </is>
      </c>
      <c r="F37" s="5" t="inlineStr">
        <is>
          <t>Southworth &amp; Hawes</t>
        </is>
      </c>
      <c r="G37" s="5" t="inlineStr">
        <is>
          <t>Создают дагеротипы медицинских операций с эфирной анестезией в Massachusetts General Hospital.</t>
        </is>
      </c>
      <c r="H37" s="5" t="inlineStr">
        <is>
          <t>Дагеротип</t>
        </is>
      </c>
      <c r="I37" s="5" t="inlineStr">
        <is>
          <t>Daguerreotype documentation</t>
        </is>
      </c>
      <c r="J37" s="5" t="inlineStr">
        <is>
          <t>Фотография быстро становится инструментом медицинского и научного свидетельства.</t>
        </is>
      </c>
      <c r="K37" s="5" t="inlineStr">
        <is>
          <t>Daguerreotype portrait/studio practice</t>
        </is>
      </c>
      <c r="L37" s="5" t="inlineStr">
        <is>
          <t>Documentary and medical photography</t>
        </is>
      </c>
      <c r="M37" s="5" t="inlineStr">
        <is>
          <t>Главная линия</t>
        </is>
      </c>
      <c r="N37" s="6" t="n">
        <v>3</v>
      </c>
      <c r="O37" s="5" t="inlineStr">
        <is>
          <t>будущие PL</t>
        </is>
      </c>
      <c r="P37" s="5" t="inlineStr">
        <is>
          <t>SRC-012</t>
        </is>
      </c>
      <c r="Q37" s="5" t="inlineStr">
        <is>
          <t>Harvard Library — History of Photography Timeline</t>
        </is>
      </c>
      <c r="R37" s="5" t="inlineStr">
        <is>
          <t>https://photographpreservationprogram.hsites.harvard.edu/harvards-history-photography-timeline-text-only</t>
        </is>
      </c>
      <c r="S37" s="6" t="n">
        <v>4</v>
      </c>
      <c r="T37" s="5" t="inlineStr">
        <is>
          <t>Этот узел можно оставить для будущего урока о документальности фотографии.</t>
        </is>
      </c>
      <c r="U37" s="5" t="inlineStr">
        <is>
          <t>Иконка больницы/операционной + дагеротип.</t>
        </is>
      </c>
      <c r="V37" s="5" t="inlineStr">
        <is>
          <t>#medical-photography #daguerreotype #Boston</t>
        </is>
      </c>
      <c r="W37" s="5" t="inlineStr">
        <is>
          <t>Ветка нормализована к 13 значениям v0.2 — узел межжанровый, решение неоднозначное (см. Подветка).</t>
        </is>
      </c>
      <c r="X37" t="inlineStr">
        <is>
          <t>42.3601, -71.0589</t>
        </is>
      </c>
      <c r="Y37" t="inlineStr">
        <is>
          <t>Научная / медицинская фотография</t>
        </is>
      </c>
      <c r="Z37" t="inlineStr">
        <is>
          <t>Научное применение / пример</t>
        </is>
      </c>
    </row>
    <row r="38" ht="40" customHeight="1" s="59">
      <c r="A38" s="5" t="inlineStr">
        <is>
          <t>PL-HIST-0037</t>
        </is>
      </c>
      <c r="B38" s="5" t="inlineStr">
        <is>
          <t>1847</t>
        </is>
      </c>
      <c r="C38" s="5" t="inlineStr">
        <is>
          <t>год</t>
        </is>
      </c>
      <c r="D38" s="5" t="inlineStr">
        <is>
          <t>Франция</t>
        </is>
      </c>
      <c r="E38" s="5" t="inlineStr">
        <is>
          <t>Лилль / Париж</t>
        </is>
      </c>
      <c r="F38" s="5" t="inlineStr">
        <is>
          <t>Луи-Дезире Бланкар-Эврар</t>
        </is>
      </c>
      <c r="G38" s="5" t="inlineStr">
        <is>
          <t>Развивает и публикует улучшения бумажных негативно-позитивных процессов во Франции.</t>
        </is>
      </c>
      <c r="H38" s="5" t="inlineStr">
        <is>
          <t>Печать / тиражирование</t>
        </is>
      </c>
      <c r="I38" s="5" t="inlineStr">
        <is>
          <t>Paper negative-positive process</t>
        </is>
      </c>
      <c r="J38" s="5" t="inlineStr">
        <is>
          <t>Французская фотография получает не только дагеротипическую, но и бумажную тиражируемую ветку.</t>
        </is>
      </c>
      <c r="K38" s="5" t="inlineStr">
        <is>
          <t>Talbot calotype influence</t>
        </is>
      </c>
      <c r="L38" s="5" t="inlineStr">
        <is>
          <t>Albumen paper 1850</t>
        </is>
      </c>
      <c r="M38" s="5" t="inlineStr">
        <is>
          <t>Главная линия</t>
        </is>
      </c>
      <c r="N38" s="6" t="n">
        <v>3</v>
      </c>
      <c r="O38" s="5" t="inlineStr">
        <is>
          <t>будущие PL</t>
        </is>
      </c>
      <c r="P38" s="5" t="inlineStr">
        <is>
          <t>SRC-017</t>
        </is>
      </c>
      <c r="Q38" s="5" t="inlineStr">
        <is>
          <t>Getty — Sir John F. W. Herschel</t>
        </is>
      </c>
      <c r="R38" s="5" t="inlineStr">
        <is>
          <t>https://www.getty.edu/art/collection/person/103KHK</t>
        </is>
      </c>
      <c r="S38" s="6" t="n">
        <v>2</v>
      </c>
      <c r="T38" s="5" t="inlineStr">
        <is>
          <t>Пока источник не идеален; оставить как узел на доработку.</t>
        </is>
      </c>
      <c r="U38" s="5" t="inlineStr">
        <is>
          <t>Франция получает ответвление бумажной печати.</t>
        </is>
      </c>
      <c r="V38" s="5" t="inlineStr">
        <is>
          <t>#BlanquartEvrard #France #paper-process</t>
        </is>
      </c>
      <c r="W38" s="5" t="inlineStr">
        <is>
          <t>Найти лучший источник по 1847 публикации Бланкара-Эврара.</t>
        </is>
      </c>
      <c r="X38" t="inlineStr">
        <is>
          <t>50.6292, 3.0573</t>
        </is>
      </c>
      <c r="Z38" t="inlineStr">
        <is>
          <t>Распространение / коммерциализация</t>
        </is>
      </c>
    </row>
    <row r="39" ht="40" customHeight="1" s="59">
      <c r="A39" s="5" t="inlineStr">
        <is>
          <t>PL-HIST-0038</t>
        </is>
      </c>
      <c r="B39" s="5" t="inlineStr">
        <is>
          <t>1848</t>
        </is>
      </c>
      <c r="C39" s="5" t="inlineStr">
        <is>
          <t>год</t>
        </is>
      </c>
      <c r="D39" s="5" t="inlineStr">
        <is>
          <t>Франция</t>
        </is>
      </c>
      <c r="E39" s="5" t="inlineStr">
        <is>
          <t>Париж</t>
        </is>
      </c>
      <c r="F39" s="5" t="inlineStr">
        <is>
          <t>Эдмон Беккерель</t>
        </is>
      </c>
      <c r="G39" s="5" t="inlineStr">
        <is>
          <t>Создаёт ранний цветной фотографический процесс на основе серебряно-хлоридного слоя.</t>
        </is>
      </c>
      <c r="H39" s="5" t="inlineStr">
        <is>
          <t>Цвет</t>
        </is>
      </c>
      <c r="I39" s="5" t="inlineStr">
        <is>
          <t>Early colour photography / photochromatic images</t>
        </is>
      </c>
      <c r="J39" s="5" t="inlineStr">
        <is>
          <t>Цвет возникает очень рано, но эта ветка пока не становится практичной массовой фотографией.</t>
        </is>
      </c>
      <c r="K39" s="5" t="inlineStr">
        <is>
          <t>Silver-based photochemistry</t>
        </is>
      </c>
      <c r="L39" s="5" t="inlineStr">
        <is>
          <t>Autochrome and later colour processes</t>
        </is>
      </c>
      <c r="M39" s="5" t="inlineStr">
        <is>
          <t>Исторически важная ограниченная ветка</t>
        </is>
      </c>
      <c r="N39" s="6" t="n">
        <v>3</v>
      </c>
      <c r="O39" s="5" t="inlineStr">
        <is>
          <t>будущие PL</t>
        </is>
      </c>
      <c r="P39" s="5" t="inlineStr">
        <is>
          <t>SRC-025</t>
        </is>
      </c>
      <c r="Q39" s="5" t="inlineStr">
        <is>
          <t>Getty Conservation Institute — Atlas: Salt Print PDF</t>
        </is>
      </c>
      <c r="R39" s="5" t="inlineStr">
        <is>
          <t>https://www.getty.edu/conservation/publications_resources/pdf_publications/pdf/atlas_saltprint.pdf</t>
        </is>
      </c>
      <c r="S39" s="6" t="n">
        <v>3</v>
      </c>
      <c r="T39" s="5" t="inlineStr">
        <is>
          <t>На карте: цвет появился рано, но не сразу стал удобным.</t>
        </is>
      </c>
      <c r="U39" s="5" t="inlineStr">
        <is>
          <t>Пунктирная цветная ветка от серебряной химии.</t>
        </is>
      </c>
      <c r="V39" s="5" t="inlineStr">
        <is>
          <t>#color #Becquerel #раннийцвет</t>
        </is>
      </c>
      <c r="W39" s="5" t="inlineStr">
        <is>
          <t>Лучше заменить на специализированный музейный источник по Becquerel.</t>
        </is>
      </c>
      <c r="X39" t="inlineStr">
        <is>
          <t>48.8566, 2.3522</t>
        </is>
      </c>
      <c r="Z39" t="inlineStr">
        <is>
          <t>Технология / процесс</t>
        </is>
      </c>
    </row>
    <row r="40" ht="40" customHeight="1" s="59">
      <c r="A40" s="5" t="inlineStr">
        <is>
          <t>PL-HIST-0039</t>
        </is>
      </c>
      <c r="B40" s="5" t="inlineStr">
        <is>
          <t>1848</t>
        </is>
      </c>
      <c r="C40" s="5" t="inlineStr">
        <is>
          <t>год</t>
        </is>
      </c>
      <c r="D40" s="5" t="inlineStr">
        <is>
          <t>США</t>
        </is>
      </c>
      <c r="E40" s="5" t="inlineStr">
        <is>
          <t>Филадельфия</t>
        </is>
      </c>
      <c r="F40" s="5" t="inlineStr">
        <is>
          <t>Братья Лангенхайм</t>
        </is>
      </c>
      <c r="G40" s="5" t="inlineStr">
        <is>
          <t>Вводят первые фотографические фонарные слайды.</t>
        </is>
      </c>
      <c r="H40" s="5" t="inlineStr">
        <is>
          <t>Проекция / распространение</t>
        </is>
      </c>
      <c r="I40" s="5" t="inlineStr">
        <is>
          <t>Photographic lantern slide</t>
        </is>
      </c>
      <c r="J40" s="5" t="inlineStr">
        <is>
          <t>Фотография становится не только отпечатком, но и изображением для публичного показа и обучения.</t>
        </is>
      </c>
      <c r="K40" s="5" t="inlineStr">
        <is>
          <t>Daguerreotype and glass support experimentation</t>
        </is>
      </c>
      <c r="L40" s="5" t="inlineStr">
        <is>
          <t>Educational projection and slide culture</t>
        </is>
      </c>
      <c r="M40" s="5" t="inlineStr">
        <is>
          <t>Переходная технология</t>
        </is>
      </c>
      <c r="N40" s="6" t="n">
        <v>3</v>
      </c>
      <c r="O40" s="5" t="inlineStr">
        <is>
          <t>будущие PL</t>
        </is>
      </c>
      <c r="P40" s="5" t="inlineStr">
        <is>
          <t>SRC-012</t>
        </is>
      </c>
      <c r="Q40" s="5" t="inlineStr">
        <is>
          <t>Harvard Library — History of Photography Timeline</t>
        </is>
      </c>
      <c r="R40" s="5" t="inlineStr">
        <is>
          <t>https://photographpreservationprogram.hsites.harvard.edu/harvards-history-photography-timeline-text-only</t>
        </is>
      </c>
      <c r="S40" s="6" t="n">
        <v>4</v>
      </c>
      <c r="T40" s="5" t="inlineStr">
        <is>
          <t>Хороший узел для темы распространения изображений до кино и презентаций.</t>
        </is>
      </c>
      <c r="U40" s="5" t="inlineStr">
        <is>
          <t>Фонарный проектор + экран.</t>
        </is>
      </c>
      <c r="V40" s="5" t="inlineStr">
        <is>
          <t>#lantern-slide #projection #Langenheim</t>
        </is>
      </c>
      <c r="W40" s="5" t="n"/>
      <c r="X40" t="inlineStr">
        <is>
          <t>39.9526, -75.1652</t>
        </is>
      </c>
      <c r="Z40" t="inlineStr">
        <is>
          <t>Распространение / коммерциализация</t>
        </is>
      </c>
    </row>
    <row r="41" ht="40" customHeight="1" s="59">
      <c r="A41" s="5" t="inlineStr">
        <is>
          <t>PL-HIST-0040</t>
        </is>
      </c>
      <c r="B41" s="5" t="inlineStr">
        <is>
          <t>1850</t>
        </is>
      </c>
      <c r="C41" s="5" t="inlineStr">
        <is>
          <t>год</t>
        </is>
      </c>
      <c r="D41" s="5" t="inlineStr">
        <is>
          <t>Франция</t>
        </is>
      </c>
      <c r="E41" s="5" t="inlineStr">
        <is>
          <t>Лилль</t>
        </is>
      </c>
      <c r="F41" s="5" t="inlineStr">
        <is>
          <t>Луи-Дезире Бланкар-Эврар</t>
        </is>
      </c>
      <c r="G41" s="5" t="inlineStr">
        <is>
          <t>Изобретает альбуминовую печать, которая станет ведущим типом фотопечати XIX века.</t>
        </is>
      </c>
      <c r="H41" s="5" t="inlineStr">
        <is>
          <t>Печать / тиражирование</t>
        </is>
      </c>
      <c r="I41" s="5" t="inlineStr">
        <is>
          <t>Albumen print</t>
        </is>
      </c>
      <c r="J41" s="5" t="inlineStr">
        <is>
          <t>Печать становится более детальной, тональной и удобной для массовой фотографии XIX века.</t>
        </is>
      </c>
      <c r="K41" s="5" t="inlineStr">
        <is>
          <t>Salted paper print</t>
        </is>
      </c>
      <c r="L41" s="5" t="inlineStr">
        <is>
          <t>Wet collodion negative + albumen print dominance</t>
        </is>
      </c>
      <c r="M41" s="5" t="inlineStr">
        <is>
          <t>Главная линия</t>
        </is>
      </c>
      <c r="N41" s="6" t="n">
        <v>5</v>
      </c>
      <c r="O41" s="5" t="inlineStr">
        <is>
          <t>будущие PL</t>
        </is>
      </c>
      <c r="P41" s="5" t="inlineStr">
        <is>
          <t>SRC-020</t>
        </is>
      </c>
      <c r="Q41" s="5" t="inlineStr">
        <is>
          <t>V&amp;A — Photography Processes and Techniques</t>
        </is>
      </c>
      <c r="R41" s="5" t="inlineStr">
        <is>
          <t>https://www.vam.ac.uk/info/collection-selection-boxes-photography-processes-and-techniques</t>
        </is>
      </c>
      <c r="S41" s="6" t="n">
        <v>5</v>
      </c>
      <c r="T41" s="5" t="inlineStr">
        <is>
          <t>Важный мост к мокрому коллодию: резкий стеклянный негатив + альбуминовая бумага = визуальный язык XIX века.</t>
        </is>
      </c>
      <c r="U41" s="5" t="inlineStr">
        <is>
          <t>Яичный белок/лист бумаги + стеклянный негатив.</t>
        </is>
      </c>
      <c r="V41" s="5" t="inlineStr">
        <is>
          <t>#albumen #print #BlanquartEvrard</t>
        </is>
      </c>
      <c r="W41" s="5" t="n"/>
      <c r="X41" t="inlineStr">
        <is>
          <t>50.6292, 3.0573</t>
        </is>
      </c>
      <c r="Z41" t="inlineStr">
        <is>
          <t>Тиражирование / публикация</t>
        </is>
      </c>
    </row>
    <row r="42" ht="60" customHeight="1" s="59">
      <c r="A42" s="5" t="inlineStr">
        <is>
          <t>PL-HIST-0041</t>
        </is>
      </c>
      <c r="B42" s="5" t="inlineStr">
        <is>
          <t>1851</t>
        </is>
      </c>
      <c r="C42" s="5" t="inlineStr">
        <is>
          <t>год</t>
        </is>
      </c>
      <c r="D42" s="5" t="inlineStr">
        <is>
          <t>Великобритания</t>
        </is>
      </c>
      <c r="E42" s="5" t="inlineStr">
        <is>
          <t>Лондон</t>
        </is>
      </c>
      <c r="F42" s="5" t="inlineStr">
        <is>
          <t>Фредерик Скотт Арчер</t>
        </is>
      </c>
      <c r="G42" s="5" t="inlineStr">
        <is>
          <t>Публикует мокрый коллодионный процесс: стеклянная пластина покрывается коллодием, сенсибилизируется, экспонируется и проявляется влажной.</t>
        </is>
      </c>
      <c r="H42" s="5" t="inlineStr">
        <is>
          <t>Мокрый коллодий</t>
        </is>
      </c>
      <c r="I42" s="5" t="inlineStr">
        <is>
          <t>Wet collodion glass negative</t>
        </is>
      </c>
      <c r="J42" s="5" t="inlineStr">
        <is>
          <t>Соединяет резкость стеклянного носителя и тиражируемость негативно-позитивной системы.</t>
        </is>
      </c>
      <c r="K42" s="5" t="inlineStr">
        <is>
          <t>Daguerreotype sharpness + calotype reproducibility problem</t>
        </is>
      </c>
      <c r="L42" s="5" t="inlineStr">
        <is>
          <t>Albumen prints, ambrotypes, tintypes, documentary photography</t>
        </is>
      </c>
      <c r="M42" s="5" t="inlineStr">
        <is>
          <t>Главная линия / временная доминирующая линия</t>
        </is>
      </c>
      <c r="N42" s="6" t="n">
        <v>5</v>
      </c>
      <c r="O42" s="5" t="inlineStr">
        <is>
          <t>PL-005</t>
        </is>
      </c>
      <c r="P42" s="5" t="inlineStr">
        <is>
          <t>SRC-021</t>
        </is>
      </c>
      <c r="Q42" s="5" t="inlineStr">
        <is>
          <t>National Science and Media Museum — Frederick Scott Archer</t>
        </is>
      </c>
      <c r="R42" s="5" t="inlineStr">
        <is>
          <t>https://blog.scienceandmediamuseum.org.uk/photography-a-z-frederick-scott-archer-wet-collodion-process/</t>
        </is>
      </c>
      <c r="S42" s="6" t="n">
        <v>5</v>
      </c>
      <c r="T42" s="5" t="inlineStr">
        <is>
          <t>Ключ PL-005: резкость дагеротипа и тираж калотипа наконец встретились.</t>
        </is>
      </c>
      <c r="U42" s="5" t="inlineStr">
        <is>
          <t>Главный узел: стеклянная влажная пластина + таймер 15 минут.</t>
        </is>
      </c>
      <c r="V42" s="5" t="inlineStr">
        <is>
          <t>#wet-collodion #Archer #PL005</t>
        </is>
      </c>
      <c r="W42" s="5" t="n"/>
      <c r="X42" t="inlineStr">
        <is>
          <t>51.5074, -0.1278</t>
        </is>
      </c>
      <c r="Z42" t="inlineStr">
        <is>
          <t>Технология / процесс</t>
        </is>
      </c>
      <c r="AA42" t="inlineStr">
        <is>
          <t>да</t>
        </is>
      </c>
    </row>
    <row r="43" ht="60" customHeight="1" s="59">
      <c r="A43" s="5" t="inlineStr">
        <is>
          <t>PL-HIST-0042</t>
        </is>
      </c>
      <c r="B43" s="5" t="inlineStr">
        <is>
          <t>1851–1880-е</t>
        </is>
      </c>
      <c r="C43" s="5" t="inlineStr">
        <is>
          <t>диапазон</t>
        </is>
      </c>
      <c r="D43" s="5" t="inlineStr">
        <is>
          <t>Великобритания / глобально</t>
        </is>
      </c>
      <c r="E43" s="5" t="inlineStr">
        <is>
          <t>Лондон → Европа / Америка</t>
        </is>
      </c>
      <c r="F43" s="5" t="inlineStr">
        <is>
          <t>Фотографы мокрого коллодия</t>
        </is>
      </c>
      <c r="G43" s="5" t="inlineStr">
        <is>
          <t>Мокрый коллодий становится доминирующим процессом на несколько десятилетий.</t>
        </is>
      </c>
      <c r="H43" s="5" t="inlineStr">
        <is>
          <t>Мокрый коллодий</t>
        </is>
      </c>
      <c r="I43" s="5" t="inlineStr">
        <is>
          <t>Wet collodion negative</t>
        </is>
      </c>
      <c r="J43" s="5" t="inlineStr">
        <is>
          <t>Фотография становится более резкой, воспроизводимой и пригодной для документальных задач, но требует мобильной лаборатории.</t>
        </is>
      </c>
      <c r="K43" s="5" t="inlineStr">
        <is>
          <t>Archer's publication</t>
        </is>
      </c>
      <c r="L43" s="5" t="inlineStr">
        <is>
          <t>Dry plates replace wet collodion later</t>
        </is>
      </c>
      <c r="M43" s="5" t="inlineStr">
        <is>
          <t>Временная доминирующая линия</t>
        </is>
      </c>
      <c r="N43" s="6" t="n">
        <v>5</v>
      </c>
      <c r="O43" s="5" t="inlineStr">
        <is>
          <t>PL-005</t>
        </is>
      </c>
      <c r="P43" s="5" t="inlineStr">
        <is>
          <t>SRC-021</t>
        </is>
      </c>
      <c r="Q43" s="5" t="inlineStr">
        <is>
          <t>National Science and Media Museum — Frederick Scott Archer</t>
        </is>
      </c>
      <c r="R43" s="5" t="inlineStr">
        <is>
          <t>https://blog.scienceandmediamuseum.org.uk/photography-a-z-frederick-scott-archer-wet-collodion-process/</t>
        </is>
      </c>
      <c r="S43" s="6" t="n">
        <v>5</v>
      </c>
      <c r="T43" s="5" t="inlineStr">
        <is>
          <t>Важно: это не тупик сразу; это главный мост середины XIX века.</t>
        </is>
      </c>
      <c r="U43" s="5" t="inlineStr">
        <is>
          <t>Широкие линии от Лондона по Европе и Америке.</t>
        </is>
      </c>
      <c r="V43" s="5" t="inlineStr">
        <is>
          <t>#wet-collodion #dominant-process #PL005</t>
        </is>
      </c>
      <c r="W43" s="5" t="n"/>
      <c r="X43" t="inlineStr">
        <is>
          <t>51.5074, -0.1278</t>
        </is>
      </c>
      <c r="Y43" t="inlineStr">
        <is>
          <t>Мокрый коллодий / распространение</t>
        </is>
      </c>
      <c r="Z43" t="inlineStr">
        <is>
          <t>Распространение / коммерциализация</t>
        </is>
      </c>
    </row>
    <row r="44" ht="60" customHeight="1" s="59">
      <c r="A44" s="5" t="inlineStr">
        <is>
          <t>PL-HIST-0043</t>
        </is>
      </c>
      <c r="B44" s="5" t="inlineStr">
        <is>
          <t>1851</t>
        </is>
      </c>
      <c r="C44" s="5" t="inlineStr">
        <is>
          <t>год</t>
        </is>
      </c>
      <c r="D44" s="5" t="inlineStr">
        <is>
          <t>Великобритания</t>
        </is>
      </c>
      <c r="E44" s="5" t="inlineStr">
        <is>
          <t>Лондон</t>
        </is>
      </c>
      <c r="F44" s="5" t="inlineStr">
        <is>
          <t>Фредерик Скотт Арчер</t>
        </is>
      </c>
      <c r="G44" s="5" t="inlineStr">
        <is>
          <t>Показывает практическую формулу мокрого коллодия: коллодий + йодид калия + нитрат серебра + немедленное проявление/фиксаж.</t>
        </is>
      </c>
      <c r="H44" s="5" t="inlineStr">
        <is>
          <t>Мокрый коллодий</t>
        </is>
      </c>
      <c r="I44" s="5" t="inlineStr">
        <is>
          <t>Collodion + silver nitrate</t>
        </is>
      </c>
      <c r="J44" s="5" t="inlineStr">
        <is>
          <t>Процесс требует скорости и дисциплины: пластину надо подготовить, снять и проявить пока она влажная.</t>
        </is>
      </c>
      <c r="K44" s="5" t="inlineStr">
        <is>
          <t>Photographic chemistry and glass supports</t>
        </is>
      </c>
      <c r="L44" s="5" t="inlineStr">
        <is>
          <t>Portable darkrooms and field photography</t>
        </is>
      </c>
      <c r="M44" s="5" t="inlineStr">
        <is>
          <t>Главная линия / временная доминирующая линия</t>
        </is>
      </c>
      <c r="N44" s="6" t="n">
        <v>5</v>
      </c>
      <c r="O44" s="5" t="inlineStr">
        <is>
          <t>PL-005</t>
        </is>
      </c>
      <c r="P44" s="5" t="inlineStr">
        <is>
          <t>SRC-021</t>
        </is>
      </c>
      <c r="Q44" s="5" t="inlineStr">
        <is>
          <t>National Science and Media Museum — Frederick Scott Archer</t>
        </is>
      </c>
      <c r="R44" s="5" t="inlineStr">
        <is>
          <t>https://blog.scienceandmediamuseum.org.uk/photography-a-z-frederick-scott-archer-wet-collodion-process/</t>
        </is>
      </c>
      <c r="S44" s="6" t="n">
        <v>5</v>
      </c>
      <c r="T44" s="5" t="inlineStr">
        <is>
          <t>Для урока: здесь появляется драматургия «15 минут, пока пластина влажная».</t>
        </is>
      </c>
      <c r="U44" s="5" t="inlineStr">
        <is>
          <t>Схема-алгоритм из 5 шагов вокруг стеклянной пластины.</t>
        </is>
      </c>
      <c r="V44" s="5" t="inlineStr">
        <is>
          <t>#химия #коллодий #стекло #PL005</t>
        </is>
      </c>
      <c r="W44" s="5" t="n"/>
      <c r="X44" t="inlineStr">
        <is>
          <t>51.5074, -0.1278</t>
        </is>
      </c>
      <c r="Y44" t="inlineStr">
        <is>
          <t>Мокрый коллодий / химия</t>
        </is>
      </c>
      <c r="Z44" t="inlineStr">
        <is>
          <t>Технология / процесс</t>
        </is>
      </c>
    </row>
    <row r="45" ht="40" customHeight="1" s="59">
      <c r="A45" s="5" t="inlineStr">
        <is>
          <t>PL-HIST-0044</t>
        </is>
      </c>
      <c r="B45" s="5" t="inlineStr">
        <is>
          <t>1853</t>
        </is>
      </c>
      <c r="C45" s="5" t="inlineStr">
        <is>
          <t>год</t>
        </is>
      </c>
      <c r="D45" s="5" t="inlineStr">
        <is>
          <t>Великобритания</t>
        </is>
      </c>
      <c r="E45" s="5" t="inlineStr">
        <is>
          <t>Лондон</t>
        </is>
      </c>
      <c r="F45" s="5" t="inlineStr">
        <is>
          <t>Фредерик Скотт Арчер</t>
        </is>
      </c>
      <c r="G45" s="5" t="inlineStr">
        <is>
          <t>Демонстрирует складную коллодионную камеру, совмещённую с мини-тёмной комнатой.</t>
        </is>
      </c>
      <c r="H45" s="5" t="inlineStr">
        <is>
          <t>Мокрый коллодий</t>
        </is>
      </c>
      <c r="I45" s="5" t="inlineStr">
        <is>
          <t>Folding collodion camera / portable darkroom</t>
        </is>
      </c>
      <c r="J45" s="5" t="inlineStr">
        <is>
          <t>Техническая проблема процесса решается конструкцией: фотографу нужно работать с пластиной на месте.</t>
        </is>
      </c>
      <c r="K45" s="5" t="inlineStr">
        <is>
          <t>Wet collodion process 1851</t>
        </is>
      </c>
      <c r="L45" s="5" t="inlineStr">
        <is>
          <t>Field photography and mobile darkrooms</t>
        </is>
      </c>
      <c r="M45" s="5" t="inlineStr">
        <is>
          <t>Переходная технология</t>
        </is>
      </c>
      <c r="N45" s="6" t="n">
        <v>4</v>
      </c>
      <c r="O45" s="5" t="inlineStr">
        <is>
          <t>PL-005</t>
        </is>
      </c>
      <c r="P45" s="5" t="inlineStr">
        <is>
          <t>SRC-021</t>
        </is>
      </c>
      <c r="Q45" s="5" t="inlineStr">
        <is>
          <t>National Science and Media Museum — Frederick Scott Archer</t>
        </is>
      </c>
      <c r="R45" s="5" t="inlineStr">
        <is>
          <t>https://blog.scienceandmediamuseum.org.uk/photography-a-z-frederick-scott-archer-wet-collodion-process/</t>
        </is>
      </c>
      <c r="S45" s="6" t="n">
        <v>5</v>
      </c>
      <c r="T45" s="5" t="inlineStr">
        <is>
          <t>Хороший визуальный сюжет: камера как чемодан-лаборатория.</t>
        </is>
      </c>
      <c r="U45" s="5" t="inlineStr">
        <is>
          <t>Иконка камеры с рукавами и стеклянной пластиной внутри.</t>
        </is>
      </c>
      <c r="V45" s="5" t="inlineStr">
        <is>
          <t>#Archer #collodion-camera #PL005</t>
        </is>
      </c>
      <c r="W45" s="5" t="n"/>
      <c r="X45" t="inlineStr">
        <is>
          <t>51.5074, -0.1278</t>
        </is>
      </c>
      <c r="Y45" t="inlineStr">
        <is>
          <t>Мокрый коллодий / камера</t>
        </is>
      </c>
      <c r="Z45" t="inlineStr">
        <is>
          <t>Инструмент / устройство</t>
        </is>
      </c>
    </row>
    <row r="46" ht="40" customHeight="1" s="59">
      <c r="A46" s="5" t="inlineStr">
        <is>
          <t>PL-HIST-0045</t>
        </is>
      </c>
      <c r="B46" s="5" t="inlineStr">
        <is>
          <t>ок. 1853</t>
        </is>
      </c>
      <c r="C46" s="5" t="inlineStr">
        <is>
          <t>примерно</t>
        </is>
      </c>
      <c r="D46" s="5" t="inlineStr">
        <is>
          <t>Великобритания / США</t>
        </is>
      </c>
      <c r="E46" s="5" t="inlineStr">
        <is>
          <t>Лондон / Бостон</t>
        </is>
      </c>
      <c r="F46" s="5" t="inlineStr">
        <is>
          <t>Фотографы коллодионного процесса</t>
        </is>
      </c>
      <c r="G46" s="5" t="inlineStr">
        <is>
          <t>Появляется коллодионный позитив на стекле, позже известный как амбротип.</t>
        </is>
      </c>
      <c r="H46" s="5" t="inlineStr">
        <is>
          <t>Уникальный позитив</t>
        </is>
      </c>
      <c r="I46" s="5" t="inlineStr">
        <is>
          <t>Ambrotype / collodion positive</t>
        </is>
      </c>
      <c r="J46" s="5" t="inlineStr">
        <is>
          <t>Мокрый коллодий даёт не только негативы для печати, но и дешёвые уникальные портреты.</t>
        </is>
      </c>
      <c r="K46" s="5" t="inlineStr">
        <is>
          <t>Wet collodion process</t>
        </is>
      </c>
      <c r="L46" s="5" t="inlineStr">
        <is>
          <t>Cutting patent 1854 and tintype</t>
        </is>
      </c>
      <c r="M46" s="5" t="inlineStr">
        <is>
          <t>Исторически важная ограниченная ветка</t>
        </is>
      </c>
      <c r="N46" s="6" t="n">
        <v>4</v>
      </c>
      <c r="O46" s="5" t="inlineStr">
        <is>
          <t>PL-005</t>
        </is>
      </c>
      <c r="P46" s="5" t="inlineStr">
        <is>
          <t>SRC-022</t>
        </is>
      </c>
      <c r="Q46" s="5" t="inlineStr">
        <is>
          <t>Library of Congress — Ambrotypes and Tintypes</t>
        </is>
      </c>
      <c r="R46" s="5" t="inlineStr">
        <is>
          <t>https://www.loc.gov/collections/liljenquist-civil-war-photographs/articles-and-essays/ambrotypes-and-tintypes/</t>
        </is>
      </c>
      <c r="S46" s="6" t="n">
        <v>4</v>
      </c>
      <c r="T46" s="5" t="inlineStr">
        <is>
          <t>В PL-005 можно сказать: один процесс породил сразу несколько форм — негатив, амбротип, тинтайп.</t>
        </is>
      </c>
      <c r="U46" s="5" t="inlineStr">
        <is>
          <t>От основной коллодионной ветки отходит стеклянный позитив.</t>
        </is>
      </c>
      <c r="V46" s="5" t="inlineStr">
        <is>
          <t>#ambrotype #collodion-positive #PL005</t>
        </is>
      </c>
      <c r="W46" s="5" t="n"/>
      <c r="X46" t="inlineStr">
        <is>
          <t>51.5074, -0.1278</t>
        </is>
      </c>
      <c r="Y46" t="inlineStr">
        <is>
          <t>Уникальный позитив / мокрый коллодий</t>
        </is>
      </c>
      <c r="Z46" t="inlineStr">
        <is>
          <t>Технология / процесс</t>
        </is>
      </c>
    </row>
    <row r="47" ht="40" customHeight="1" s="59">
      <c r="A47" s="5" t="inlineStr">
        <is>
          <t>PL-HIST-0046</t>
        </is>
      </c>
      <c r="B47" s="5" t="inlineStr">
        <is>
          <t>1854</t>
        </is>
      </c>
      <c r="C47" s="5" t="inlineStr">
        <is>
          <t>год</t>
        </is>
      </c>
      <c r="D47" s="5" t="inlineStr">
        <is>
          <t>США</t>
        </is>
      </c>
      <c r="E47" s="5" t="inlineStr">
        <is>
          <t>Бостон</t>
        </is>
      </c>
      <c r="F47" s="5" t="inlineStr">
        <is>
          <t>Джеймс Амброуз Каттинг</t>
        </is>
      </c>
      <c r="G47" s="5" t="inlineStr">
        <is>
          <t>Патентует улучшения амбротипного процесса.</t>
        </is>
      </c>
      <c r="H47" s="5" t="inlineStr">
        <is>
          <t>Уникальный позитив</t>
        </is>
      </c>
      <c r="I47" s="5" t="inlineStr">
        <is>
          <t>Ambrotype</t>
        </is>
      </c>
      <c r="J47" s="5" t="inlineStr">
        <is>
          <t>Коллодионный позитив становится коммерческой портретной практикой, особенно в 1850–1860-х.</t>
        </is>
      </c>
      <c r="K47" s="5" t="inlineStr">
        <is>
          <t>Collodion positive around 1853</t>
        </is>
      </c>
      <c r="L47" s="5" t="inlineStr">
        <is>
          <t>Tintype and paper print competition</t>
        </is>
      </c>
      <c r="M47" s="5" t="inlineStr">
        <is>
          <t>Исторически важная ограниченная ветка</t>
        </is>
      </c>
      <c r="N47" s="6" t="n">
        <v>3</v>
      </c>
      <c r="O47" s="5" t="inlineStr">
        <is>
          <t>PL-005</t>
        </is>
      </c>
      <c r="P47" s="5" t="inlineStr">
        <is>
          <t>SRC-022</t>
        </is>
      </c>
      <c r="Q47" s="5" t="inlineStr">
        <is>
          <t>Library of Congress — Ambrotypes and Tintypes</t>
        </is>
      </c>
      <c r="R47" s="5" t="inlineStr">
        <is>
          <t>https://www.loc.gov/collections/liljenquist-civil-war-photographs/articles-and-essays/ambrotypes-and-tintypes/</t>
        </is>
      </c>
      <c r="S47" s="6" t="n">
        <v>5</v>
      </c>
      <c r="T47" s="5" t="inlineStr">
        <is>
          <t>Для карты: ветка не главная, но культурно важная — доступные портреты.</t>
        </is>
      </c>
      <c r="U47" s="5" t="inlineStr">
        <is>
          <t>Портрет на стекле с тёмной подложкой.</t>
        </is>
      </c>
      <c r="V47" s="5" t="inlineStr">
        <is>
          <t>#ambrotype #Cutting #portrait</t>
        </is>
      </c>
      <c r="W47" s="5" t="n"/>
      <c r="X47" t="inlineStr">
        <is>
          <t>42.3601, -71.0589</t>
        </is>
      </c>
      <c r="Y47" t="inlineStr">
        <is>
          <t>Уникальный позитив / мокрый коллодий</t>
        </is>
      </c>
      <c r="Z47" t="inlineStr">
        <is>
          <t>Технология / процесс</t>
        </is>
      </c>
    </row>
    <row r="48" ht="60" customHeight="1" s="59">
      <c r="A48" s="5" t="inlineStr">
        <is>
          <t>PL-HIST-0047</t>
        </is>
      </c>
      <c r="B48" s="5" t="inlineStr">
        <is>
          <t>1855–1881</t>
        </is>
      </c>
      <c r="C48" s="5" t="inlineStr">
        <is>
          <t>диапазон</t>
        </is>
      </c>
      <c r="D48" s="5" t="inlineStr">
        <is>
          <t>Европа / США</t>
        </is>
      </c>
      <c r="E48" s="5" t="inlineStr">
        <is>
          <t>Студии и полевые лаборатории</t>
        </is>
      </c>
      <c r="F48" s="5" t="inlineStr">
        <is>
          <t>Фотографы мокрого коллодия</t>
        </is>
      </c>
      <c r="G48" s="5" t="inlineStr">
        <is>
          <t>Мокрый коллодионный негатив + альбуминовая печать формируют классический визуальный язык середины XIX века.</t>
        </is>
      </c>
      <c r="H48" s="5" t="inlineStr">
        <is>
          <t>Мокрый коллодий</t>
        </is>
      </c>
      <c r="I48" s="5" t="inlineStr">
        <is>
          <t>Wet collodion negative + albumen print</t>
        </is>
      </c>
      <c r="J48" s="5" t="inlineStr">
        <is>
          <t>Появляется связка: резкий стеклянный негатив даёт детальные бумажные отпечатки.</t>
        </is>
      </c>
      <c r="K48" s="5" t="inlineStr">
        <is>
          <t>Albumen print 1850 + wet collodion 1851</t>
        </is>
      </c>
      <c r="L48" s="5" t="inlineStr">
        <is>
          <t>Dry plate and gelatin processes later</t>
        </is>
      </c>
      <c r="M48" s="5" t="inlineStr">
        <is>
          <t>Главная линия / временная доминирующая линия</t>
        </is>
      </c>
      <c r="N48" s="6" t="n">
        <v>5</v>
      </c>
      <c r="O48" s="5" t="inlineStr">
        <is>
          <t>PL-005</t>
        </is>
      </c>
      <c r="P48" s="5" t="inlineStr">
        <is>
          <t>SRC-020</t>
        </is>
      </c>
      <c r="Q48" s="5" t="inlineStr">
        <is>
          <t>V&amp;A — Photography Processes and Techniques</t>
        </is>
      </c>
      <c r="R48" s="5" t="inlineStr">
        <is>
          <t>https://www.vam.ac.uk/info/collection-selection-boxes-photography-processes-and-techniques</t>
        </is>
      </c>
      <c r="S48" s="6" t="n">
        <v>5</v>
      </c>
      <c r="T48" s="5" t="inlineStr">
        <is>
          <t>Это финальная формула PL-005: не один процесс, а связка негатив + печать.</t>
        </is>
      </c>
      <c r="U48" s="5" t="inlineStr">
        <is>
          <t>Двойной узел: стеклянная пластина → альбуминовый отпечаток.</t>
        </is>
      </c>
      <c r="V48" s="5" t="inlineStr">
        <is>
          <t>#wet-collodion #albumen #print #PL005</t>
        </is>
      </c>
      <c r="W48" s="5" t="n"/>
      <c r="Y48" t="inlineStr">
        <is>
          <t>Мокрый коллодий + печать</t>
        </is>
      </c>
      <c r="Z48" t="inlineStr">
        <is>
          <t>Тиражирование / публикация</t>
        </is>
      </c>
    </row>
    <row r="49" ht="60" customHeight="1" s="59">
      <c r="A49" s="5" t="inlineStr">
        <is>
          <t>PL-HIST-0048</t>
        </is>
      </c>
      <c r="B49" s="5" t="inlineStr">
        <is>
          <t>1856</t>
        </is>
      </c>
      <c r="C49" s="5" t="inlineStr">
        <is>
          <t>год</t>
        </is>
      </c>
      <c r="D49" s="5" t="inlineStr">
        <is>
          <t>США / Великобритания</t>
        </is>
      </c>
      <c r="E49" s="5" t="inlineStr">
        <is>
          <t>США / Великобритания</t>
        </is>
      </c>
      <c r="F49" s="5" t="inlineStr">
        <is>
          <t>Hamilton Smith / William Kloen / другие</t>
        </is>
      </c>
      <c r="G49" s="5" t="inlineStr">
        <is>
          <t>Тинтайп/ферротип закрепляется как дешёвый прямой позитив на лакированном металле, связанный с мокрым коллодием.</t>
        </is>
      </c>
      <c r="H49" s="5" t="inlineStr">
        <is>
          <t>Уникальный позитив</t>
        </is>
      </c>
      <c r="I49" s="5" t="inlineStr">
        <is>
          <t>Tintype / ferrotype</t>
        </is>
      </c>
      <c r="J49" s="5" t="inlineStr">
        <is>
          <t>Фотография становится более дешёвой, прочной и мобильной для массового портрета.</t>
        </is>
      </c>
      <c r="K49" s="5" t="inlineStr">
        <is>
          <t>Ambrotype and wet collodion</t>
        </is>
      </c>
      <c r="L49" s="5" t="inlineStr">
        <is>
          <t>Civil War era portraiture and itinerant photography</t>
        </is>
      </c>
      <c r="M49" s="5" t="inlineStr">
        <is>
          <t>Исторически важная ограниченная ветка / художественное возрождение</t>
        </is>
      </c>
      <c r="N49" s="6" t="n">
        <v>3</v>
      </c>
      <c r="O49" s="5" t="inlineStr">
        <is>
          <t>PL-005</t>
        </is>
      </c>
      <c r="P49" s="5" t="inlineStr">
        <is>
          <t>SRC-022</t>
        </is>
      </c>
      <c r="Q49" s="5" t="inlineStr">
        <is>
          <t>Library of Congress — Ambrotypes and Tintypes</t>
        </is>
      </c>
      <c r="R49" s="5" t="inlineStr">
        <is>
          <t>https://www.loc.gov/collections/liljenquist-civil-war-photographs/articles-and-essays/ambrotypes-and-tintypes/</t>
        </is>
      </c>
      <c r="S49" s="6" t="n">
        <v>4</v>
      </c>
      <c r="T49" s="5" t="inlineStr">
        <is>
          <t>Это ветка массового портрета: не главная линия к плёнке, но важная социально.</t>
        </is>
      </c>
      <c r="U49" s="5" t="inlineStr">
        <is>
          <t>Металлическая пластинка-портрет, ярмарка/палатка.</t>
        </is>
      </c>
      <c r="V49" s="5" t="inlineStr">
        <is>
          <t>#tintype #ferrotype #collodion #portrait</t>
        </is>
      </c>
      <c r="W49" s="5" t="inlineStr">
        <is>
          <t>Уточнить авторство/патенты 1856 по отдельным источникам.</t>
        </is>
      </c>
      <c r="Y49" t="inlineStr">
        <is>
          <t>Уникальный позитив / массовый портрет</t>
        </is>
      </c>
      <c r="Z49" t="inlineStr">
        <is>
          <t>Технология / процесс</t>
        </is>
      </c>
    </row>
    <row r="50" ht="61" customHeight="1" s="59">
      <c r="A50" s="3" t="inlineStr">
        <is>
          <t>PL-HIST-0049</t>
        </is>
      </c>
      <c r="B50" s="3" t="inlineStr">
        <is>
          <t>1871</t>
        </is>
      </c>
      <c r="C50" s="3" t="inlineStr">
        <is>
          <t>год</t>
        </is>
      </c>
      <c r="D50" s="3" t="inlineStr">
        <is>
          <t>Великобритания</t>
        </is>
      </c>
      <c r="E50" s="3" t="inlineStr">
        <is>
          <t>Лондон (публикация)</t>
        </is>
      </c>
      <c r="F50" s="3" t="inlineStr">
        <is>
          <t>Ричард Лич Мэддокс</t>
        </is>
      </c>
      <c r="G50" s="3" t="inlineStr">
        <is>
          <t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t>
        </is>
      </c>
      <c r="H50" s="3" t="inlineStr">
        <is>
          <t>Негатив-позитив</t>
        </is>
      </c>
      <c r="I50" s="3" t="inlineStr">
        <is>
          <t>Gelatino-bromide dry plate</t>
        </is>
      </c>
      <c r="J50" s="3" t="inlineStr">
        <is>
          <t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t>
        </is>
      </c>
      <c r="K50" s="3" t="inlineStr">
        <is>
          <t>Мокрый коллодий требовал немедленно готовить, снимать и проявлять пластину</t>
        </is>
      </c>
      <c r="L50" s="3" t="inlineStr">
        <is>
          <t>Эксперименты Бёрджесса, Кеннетта и Беннетта; коммерческие сухие пластины</t>
        </is>
      </c>
      <c r="M50" s="3" t="inlineStr">
        <is>
          <t>Главная линия</t>
        </is>
      </c>
      <c r="N50" s="3" t="n">
        <v>5</v>
      </c>
      <c r="O50" s="3" t="inlineStr">
        <is>
          <t>PL-006</t>
        </is>
      </c>
      <c r="P50" s="3" t="inlineStr">
        <is>
          <t>SRC-027</t>
        </is>
      </c>
      <c r="Q50" s="3" t="inlineStr">
        <is>
          <t>National Science and Media Museum — Kodak and Ilford camera factories</t>
        </is>
      </c>
      <c r="R50" s="3" t="inlineStr">
        <is>
          <t>https://www.scienceandmediamuseum.org.uk/objects-and-stories/kodak-ilford-camera-factories-1930s</t>
        </is>
      </c>
      <c r="S50" s="3" t="n">
        <v>5</v>
      </c>
      <c r="T50" s="3" t="inlineStr">
        <is>
          <t>В уроке важно объяснить: Мэддокс не сделал фотографию моментально массовой, но открыл принцип — стеклянную пластину можно готовить заранее.</t>
        </is>
      </c>
      <c r="U50" s="3" t="inlineStr">
        <is>
          <t>На карте: влажная красная линия коллодия переходит в сухую стеклянную пластину с желатиновой эмульсией.</t>
        </is>
      </c>
      <c r="V50" s="3" t="inlineStr">
        <is>
          <t>#PL006 #dry-plate #Maddox #gelatin #negative-positive</t>
        </is>
      </c>
      <c r="W50" s="3" t="inlineStr">
        <is>
          <t>Уточнить, стоит ли привязывать город к Лондону как месту публикации, а не к месту экспериментов.</t>
        </is>
      </c>
      <c r="X50" s="3" t="inlineStr">
        <is>
          <t>51.5074, -0.1278</t>
        </is>
      </c>
      <c r="Y50" s="3" t="inlineStr">
        <is>
          <t>Сухие желатиновые пластины / химия</t>
        </is>
      </c>
      <c r="Z50" s="3" t="inlineStr">
        <is>
          <t>Технология / процесс</t>
        </is>
      </c>
      <c r="AA50" t="inlineStr">
        <is>
          <t>да</t>
        </is>
      </c>
    </row>
    <row r="51" ht="61" customHeight="1" s="59">
      <c r="A51" s="3" t="inlineStr">
        <is>
          <t>PL-HIST-0050</t>
        </is>
      </c>
      <c r="B51" s="3" t="inlineStr">
        <is>
          <t>1874</t>
        </is>
      </c>
      <c r="C51" s="3" t="inlineStr">
        <is>
          <t>год</t>
        </is>
      </c>
      <c r="D51" s="3" t="inlineStr">
        <is>
          <t>Великобритания</t>
        </is>
      </c>
      <c r="E51" s="3" t="inlineStr">
        <is>
          <t>Ливерпуль</t>
        </is>
      </c>
      <c r="F51" s="3" t="inlineStr">
        <is>
          <t>Liverpool Dry Plate Company / ранние производители</t>
        </is>
      </c>
      <c r="G51" s="3" t="inlineStr">
        <is>
          <t>Начинаются коммерческие продажи желатиновых сухих пластин; одним из первых производителей называется Liverpool Dry Plate Company.</t>
        </is>
      </c>
      <c r="H51" s="3" t="inlineStr">
        <is>
          <t>Негатив-позитив</t>
        </is>
      </c>
      <c r="I51" s="3" t="inlineStr">
        <is>
          <t>Commercial gelatin dry plates</t>
        </is>
      </c>
      <c r="J51" s="3" t="inlineStr">
        <is>
          <t>Фотограф впервые может не готовить пластину сам перед съёмкой, а купить готовый чувствительный материал.</t>
        </is>
      </c>
      <c r="K51" s="3" t="inlineStr">
        <is>
          <t>Публикация Мэддокса 1871 и последующие улучшения</t>
        </is>
      </c>
      <c r="L51" s="3" t="inlineStr">
        <is>
          <t>Беннетт повышает чувствительность эмульсии; производство становится практичнее</t>
        </is>
      </c>
      <c r="M51" s="3" t="inlineStr">
        <is>
          <t>Распространение / коммерциализация</t>
        </is>
      </c>
      <c r="N51" s="3" t="n">
        <v>4</v>
      </c>
      <c r="O51" s="3" t="inlineStr">
        <is>
          <t>PL-006</t>
        </is>
      </c>
      <c r="P51" s="3" t="inlineStr">
        <is>
          <t>SRC-027</t>
        </is>
      </c>
      <c r="Q51" s="3" t="inlineStr">
        <is>
          <t>National Science and Media Museum — Kodak and Ilford camera factories</t>
        </is>
      </c>
      <c r="R51" s="3" t="inlineStr">
        <is>
          <t>https://www.scienceandmediamuseum.org.uk/objects-and-stories/kodak-ilford-camera-factories-1930s</t>
        </is>
      </c>
      <c r="S51" s="3" t="n">
        <v>4</v>
      </c>
      <c r="T51" s="3" t="inlineStr">
        <is>
          <t>Для новичка: это переход от «сам себе химик» к покупке готового фотоматериала.</t>
        </is>
      </c>
      <c r="U51" s="3" t="inlineStr">
        <is>
          <t>Иконка фабричной коробки сухих пластин рядом со стеклянной пластиной.</t>
        </is>
      </c>
      <c r="V51" s="3" t="inlineStr">
        <is>
          <t>#PL006 #LiverpoolDryPlate #commercial #dry-plate</t>
        </is>
      </c>
      <c r="W51" s="3" t="inlineStr">
        <is>
          <t>Проверить по отдельному источнику точное название компании и формат первых продаж.</t>
        </is>
      </c>
      <c r="X51" s="3" t="inlineStr">
        <is>
          <t>53.4084, -2.9916</t>
        </is>
      </c>
      <c r="Y51" s="3" t="inlineStr">
        <is>
          <t>Сухие желатиновые пластины / коммерциализация</t>
        </is>
      </c>
      <c r="Z51" s="3" t="inlineStr">
        <is>
          <t>Распространение / коммерциализация</t>
        </is>
      </c>
    </row>
    <row r="52" ht="46" customHeight="1" s="59">
      <c r="A52" s="3" t="inlineStr">
        <is>
          <t>PL-HIST-0051</t>
        </is>
      </c>
      <c r="B52" s="3" t="inlineStr">
        <is>
          <t>1878</t>
        </is>
      </c>
      <c r="C52" s="3" t="inlineStr">
        <is>
          <t>год</t>
        </is>
      </c>
      <c r="D52" s="3" t="inlineStr">
        <is>
          <t>Великобритания</t>
        </is>
      </c>
      <c r="E52" s="3" t="inlineStr">
        <is>
          <t>Лондон</t>
        </is>
      </c>
      <c r="F52" s="3" t="inlineStr">
        <is>
          <t>Чарльз Харпер Беннетт</t>
        </is>
      </c>
      <c r="G52" s="3" t="inlineStr">
        <is>
          <t>Предлагает нагревать/«созревать» желатиновую эмульсию перед нанесением на стекло, резко повышая её светочувствительность.</t>
        </is>
      </c>
      <c r="H52" s="3" t="inlineStr">
        <is>
          <t>Негатив-позитив</t>
        </is>
      </c>
      <c r="I52" s="3" t="inlineStr">
        <is>
          <t>Ripened gelatin-bromide emulsion</t>
        </is>
      </c>
      <c r="J52" s="3" t="inlineStr">
        <is>
          <t>Сухая пластина становится достаточно быстрой для коротких выдержек и съёмки более живого движения.</t>
        </is>
      </c>
      <c r="K52" s="3" t="inlineStr">
        <is>
          <t>Желатино-бромидная сухая пластина Мэддокса</t>
        </is>
      </c>
      <c r="L52" s="3" t="inlineStr">
        <is>
          <t>Сухие пластины входят в широкое производство и начинают вытеснять мокрый коллодий</t>
        </is>
      </c>
      <c r="M52" s="3" t="inlineStr">
        <is>
          <t>Главная линия</t>
        </is>
      </c>
      <c r="N52" s="3" t="n">
        <v>5</v>
      </c>
      <c r="O52" s="3" t="inlineStr">
        <is>
          <t>PL-006</t>
        </is>
      </c>
      <c r="P52" s="3" t="inlineStr">
        <is>
          <t>SRC-029</t>
        </is>
      </c>
      <c r="Q52" s="3" t="inlineStr">
        <is>
          <t>Swiss Camera Museum — Gelatine bromide plates</t>
        </is>
      </c>
      <c r="R52" s="3" t="inlineStr">
        <is>
          <t>https://www.cameramuseum.ch/en/discover/permanent-exhibition/the-plate-era/gelatine-bromide-plates/</t>
        </is>
      </c>
      <c r="S52" s="3" t="n">
        <v>5</v>
      </c>
      <c r="T52" s="3" t="inlineStr">
        <is>
          <t>Драматургия урока: сухая пластина была удобной, но сначала слабой; Беннетт сделал её действительно быстрой.</t>
        </is>
      </c>
      <c r="U52" s="3" t="inlineStr">
        <is>
          <t>Иконка нагрева эмульсии + секундомер/короткая выдержка.</t>
        </is>
      </c>
      <c r="V52" s="3" t="inlineStr">
        <is>
          <t>#PL006 #Bennett #gelatin-bromide #instantaneous</t>
        </is>
      </c>
      <c r="W52" s="3" t="n"/>
      <c r="X52" s="3" t="inlineStr">
        <is>
          <t>51.5074, -0.1278</t>
        </is>
      </c>
      <c r="Y52" s="3" t="inlineStr">
        <is>
          <t>Сухие желатиновые пластины / повышение чувствительности</t>
        </is>
      </c>
      <c r="Z52" s="3" t="inlineStr">
        <is>
          <t>Технология / процесс</t>
        </is>
      </c>
    </row>
    <row r="53" ht="46" customHeight="1" s="59">
      <c r="A53" s="3" t="inlineStr">
        <is>
          <t>PL-HIST-0052</t>
        </is>
      </c>
      <c r="B53" s="3" t="inlineStr">
        <is>
          <t>1878</t>
        </is>
      </c>
      <c r="C53" s="3" t="inlineStr">
        <is>
          <t>год</t>
        </is>
      </c>
      <c r="D53" s="3" t="inlineStr">
        <is>
          <t>Великобритания / Европа</t>
        </is>
      </c>
      <c r="E53" s="3" t="inlineStr">
        <is>
          <t>Лондон / промышленные центры</t>
        </is>
      </c>
      <c r="F53" s="3" t="inlineStr">
        <is>
          <t>Производители фотоматериалов</t>
        </is>
      </c>
      <c r="G53" s="3" t="inlineStr">
        <is>
          <t>После улучшений сухие желатиновые пластины переходят к общему производству и начинают быстро заменять мокрый коллодионный процесс.</t>
        </is>
      </c>
      <c r="H53" s="3" t="inlineStr">
        <is>
          <t>Негатив-позитив</t>
        </is>
      </c>
      <c r="I53" s="3" t="inlineStr">
        <is>
          <t>Manufactured gelatin dry plates</t>
        </is>
      </c>
      <c r="J53" s="3" t="inlineStr">
        <is>
          <t>Фотографу больше не нужна переносная тёмная комната на каждую съёмку; процесс становится удобнее, чище и предсказуемее.</t>
        </is>
      </c>
      <c r="K53" s="3" t="inlineStr">
        <is>
          <t>Улучшение чувствительности эмульсии Беннеттом</t>
        </is>
      </c>
      <c r="L53" s="3" t="inlineStr">
        <is>
          <t>Фабричное производство пластин и рост любительской фотографии</t>
        </is>
      </c>
      <c r="M53" s="3" t="inlineStr">
        <is>
          <t>Главная линия / временная доминирующая линия</t>
        </is>
      </c>
      <c r="N53" s="3" t="n">
        <v>5</v>
      </c>
      <c r="O53" s="3" t="inlineStr">
        <is>
          <t>PL-006</t>
        </is>
      </c>
      <c r="P53" s="3" t="inlineStr">
        <is>
          <t>SRC-028</t>
        </is>
      </c>
      <c r="Q53" s="3" t="inlineStr">
        <is>
          <t>National Science and Media Museum — A brief guide to photographs on glass</t>
        </is>
      </c>
      <c r="R53" s="3" t="inlineStr">
        <is>
          <t>https://blog.scienceandmediamuseum.org.uk/a-brief-guide-to-photographs-on-glass/</t>
        </is>
      </c>
      <c r="S53" s="3" t="n">
        <v>5</v>
      </c>
      <c r="T53" s="3" t="inlineStr">
        <is>
          <t>Это ключевой смысл PL-006: фотография освобождается от немедленной химической гонки мокрого коллодия.</t>
        </is>
      </c>
      <c r="U53" s="3" t="inlineStr">
        <is>
          <t>Линия: палатка-лаборатория исчезает, остаётся камера + коробка готовых пластин.</t>
        </is>
      </c>
      <c r="V53" s="3" t="inlineStr">
        <is>
          <t>#PL006 #manufacture #dry-plate #wet-collodion</t>
        </is>
      </c>
      <c r="W53" s="3" t="n"/>
      <c r="X53" s="3" t="inlineStr">
        <is>
          <t>51.5074, -0.1278</t>
        </is>
      </c>
      <c r="Y53" s="3" t="inlineStr">
        <is>
          <t>Сухие желатиновые пластины / переход от мокрого коллодия</t>
        </is>
      </c>
      <c r="Z53" s="3" t="inlineStr">
        <is>
          <t>Связь / переход</t>
        </is>
      </c>
    </row>
    <row r="54" ht="61" customHeight="1" s="59">
      <c r="A54" s="3" t="inlineStr">
        <is>
          <t>PL-HIST-0053</t>
        </is>
      </c>
      <c r="B54" s="3" t="inlineStr">
        <is>
          <t>конец 1870-х – 1880-е</t>
        </is>
      </c>
      <c r="C54" s="3" t="inlineStr">
        <is>
          <t>диапазон</t>
        </is>
      </c>
      <c r="D54" s="3" t="inlineStr">
        <is>
          <t>Европа / США</t>
        </is>
      </c>
      <c r="E54" s="3" t="inlineStr">
        <is>
          <t>распределённый процесс</t>
        </is>
      </c>
      <c r="F54" s="3" t="inlineStr">
        <is>
          <t>Фотографы и производители сухих пластин</t>
        </is>
      </c>
      <c r="G54" s="3" t="inlineStr">
        <is>
          <t>Более быстрые сухие пластины позволяют увереннее снимать события, повседневную жизнь и движение, а не только тщательно поставленные сцены.</t>
        </is>
      </c>
      <c r="H54" s="3" t="inlineStr">
        <is>
          <t>Негатив-позитив</t>
        </is>
      </c>
      <c r="I54" s="3" t="inlineStr">
        <is>
          <t>Fast dry plate / instantaneous photography</t>
        </is>
      </c>
      <c r="J54" s="3" t="inlineStr">
        <is>
          <t>Сокращение выдержки меняет не только технику, но и визуальный язык: фотография становится ближе к «моменту».</t>
        </is>
      </c>
      <c r="K54" s="3" t="inlineStr">
        <is>
          <t>Беннетт повышает чувствительность эмульсии</t>
        </is>
      </c>
      <c r="L54" s="3" t="inlineStr">
        <is>
          <t>Распространение портативных камер, любительской съёмки и последующий переход к плёнке</t>
        </is>
      </c>
      <c r="M54" s="3" t="inlineStr">
        <is>
          <t>Главная линия</t>
        </is>
      </c>
      <c r="N54" s="3" t="n">
        <v>4</v>
      </c>
      <c r="O54" s="3" t="inlineStr">
        <is>
          <t>PL-006</t>
        </is>
      </c>
      <c r="P54" s="3" t="inlineStr">
        <is>
          <t>SRC-030</t>
        </is>
      </c>
      <c r="Q54" s="3" t="inlineStr">
        <is>
          <t>Cornell Library — Dawn's Early Light: Towards Modern Photography</t>
        </is>
      </c>
      <c r="R54" s="3" t="inlineStr">
        <is>
          <t>https://rmc.library.cornell.edu/DawnsEarlyLight/exhibition/modernphotography/index.html</t>
        </is>
      </c>
      <c r="S54" s="3" t="n">
        <v>4</v>
      </c>
      <c r="T54" s="3" t="inlineStr">
        <is>
          <t>Для лекции: сухая пластина — это не просто удобство хранения, а новая скорость взгляда.</t>
        </is>
      </c>
      <c r="U54" s="3" t="inlineStr">
        <is>
          <t>На карте: рядом с пластиной появляется значок бегущего человека/движения.</t>
        </is>
      </c>
      <c r="V54" s="3" t="inlineStr">
        <is>
          <t>#PL006 #instantaneous #motion #dry-plate</t>
        </is>
      </c>
      <c r="W54" s="3" t="n"/>
      <c r="X54" s="3" t="n"/>
      <c r="Y54" s="3" t="inlineStr">
        <is>
          <t>Сухие желатиновые пластины / скорость и движение</t>
        </is>
      </c>
      <c r="Z54" s="3" t="inlineStr">
        <is>
          <t>Применение / жанр</t>
        </is>
      </c>
    </row>
    <row r="55" ht="46" customHeight="1" s="59">
      <c r="A55" s="3" t="inlineStr">
        <is>
          <t>PL-HIST-0054</t>
        </is>
      </c>
      <c r="B55" s="3" t="inlineStr">
        <is>
          <t>1880</t>
        </is>
      </c>
      <c r="C55" s="3" t="inlineStr">
        <is>
          <t>год</t>
        </is>
      </c>
      <c r="D55" s="3" t="inlineStr">
        <is>
          <t>США</t>
        </is>
      </c>
      <c r="E55" s="3" t="inlineStr">
        <is>
          <t>Рочестер, Нью-Йорк</t>
        </is>
      </c>
      <c r="F55" s="3" t="inlineStr">
        <is>
          <t>Джордж Истмен</t>
        </is>
      </c>
      <c r="G55" s="3" t="inlineStr">
        <is>
          <t>Начинает коммерчески производить сухие пластины в США и масштабировать их изготовление.</t>
        </is>
      </c>
      <c r="H55" s="3" t="inlineStr">
        <is>
          <t>Негатив-позитив</t>
        </is>
      </c>
      <c r="I55" s="3" t="inlineStr">
        <is>
          <t>Eastman dry plates</t>
        </is>
      </c>
      <c r="J55" s="3" t="inlineStr">
        <is>
          <t>Сухая пластина становится не только европейским техническим процессом, но и основой американской фотоиндустрии.</t>
        </is>
      </c>
      <c r="K55" s="3" t="inlineStr">
        <is>
          <t>Коммерческие сухие пластины в Великобритании и улучшения Беннетта</t>
        </is>
      </c>
      <c r="L55" s="3" t="inlineStr">
        <is>
          <t>Eastman Dry Plate Company; дальнейший поиск замены стекла гибким носителем</t>
        </is>
      </c>
      <c r="M55" s="3" t="inlineStr">
        <is>
          <t>Распространение / коммерциализация</t>
        </is>
      </c>
      <c r="N55" s="3" t="n">
        <v>4</v>
      </c>
      <c r="O55" s="3" t="inlineStr">
        <is>
          <t>PL-006</t>
        </is>
      </c>
      <c r="P55" s="3" t="inlineStr">
        <is>
          <t>SRC-031</t>
        </is>
      </c>
      <c r="Q55" s="3" t="inlineStr">
        <is>
          <t>Kodak — History</t>
        </is>
      </c>
      <c r="R55" s="3" t="inlineStr">
        <is>
          <t>https://www.kodak.com/en/company/page/history/</t>
        </is>
      </c>
      <c r="S55" s="3" t="n">
        <v>5</v>
      </c>
      <c r="T55" s="3" t="inlineStr">
        <is>
          <t>Здесь появляется мост к Kodak: сначала Истмен работает не с плёнкой, а именно с сухими пластинами.</t>
        </is>
      </c>
      <c r="U55" s="3" t="inlineStr">
        <is>
          <t>Иконка Рочестера/фабрики + коробка Eastman dry plates.</t>
        </is>
      </c>
      <c r="V55" s="3" t="inlineStr">
        <is>
          <t>#PL006 #Eastman #Rochester #dry-plate #Kodak</t>
        </is>
      </c>
      <c r="W55" s="3" t="n"/>
      <c r="X55" s="3" t="inlineStr">
        <is>
          <t>43.1566, -77.6088</t>
        </is>
      </c>
      <c r="Y55" s="3" t="inlineStr">
        <is>
          <t>Сухие желатиновые пластины / американская индустрия</t>
        </is>
      </c>
      <c r="Z55" s="3" t="inlineStr">
        <is>
          <t>Распространение / коммерциализация</t>
        </is>
      </c>
    </row>
    <row r="56" ht="46" customHeight="1" s="59">
      <c r="A56" s="3" t="inlineStr">
        <is>
          <t>PL-HIST-0055</t>
        </is>
      </c>
      <c r="B56" s="3" t="inlineStr">
        <is>
          <t>1881</t>
        </is>
      </c>
      <c r="C56" s="3" t="inlineStr">
        <is>
          <t>точная дата</t>
        </is>
      </c>
      <c r="D56" s="3" t="inlineStr">
        <is>
          <t>США</t>
        </is>
      </c>
      <c r="E56" s="3" t="inlineStr">
        <is>
          <t>Рочестер, Нью-Йорк</t>
        </is>
      </c>
      <c r="F56" s="3" t="inlineStr">
        <is>
          <t>Джордж Истмен / Генри Стронг</t>
        </is>
      </c>
      <c r="G56" s="3" t="inlineStr">
        <is>
          <t>1 января 1881 года создаётся Eastman Dry Plate Company.</t>
        </is>
      </c>
      <c r="H56" s="3" t="inlineStr">
        <is>
          <t>Негатив-позитив</t>
        </is>
      </c>
      <c r="I56" s="3" t="inlineStr">
        <is>
          <t>Eastman Dry Plate Company</t>
        </is>
      </c>
      <c r="J56" s="3" t="inlineStr">
        <is>
          <t>Промышленная логика фотографии усиливается: производство чувствительного материала становится самостоятельным бизнесом.</t>
        </is>
      </c>
      <c r="K56" s="3" t="inlineStr">
        <is>
          <t>Истмен начинает коммерческое производство сухих пластин в 1880</t>
        </is>
      </c>
      <c r="L56" s="3" t="inlineStr">
        <is>
          <t>Eastman Dry Plate and Film Company; рулонные носители и Kodak</t>
        </is>
      </c>
      <c r="M56" s="3" t="inlineStr">
        <is>
          <t>Распространение / коммерциализация</t>
        </is>
      </c>
      <c r="N56" s="3" t="n">
        <v>4</v>
      </c>
      <c r="O56" s="3" t="inlineStr">
        <is>
          <t>PL-006</t>
        </is>
      </c>
      <c r="P56" s="3" t="inlineStr">
        <is>
          <t>SRC-032</t>
        </is>
      </c>
      <c r="Q56" s="3" t="inlineStr">
        <is>
          <t>Kodak — George Eastman History</t>
        </is>
      </c>
      <c r="R56" s="3" t="inlineStr">
        <is>
          <t>https://www.kodak.com/en/company/page/george-eastman-history/</t>
        </is>
      </c>
      <c r="S56" s="3" t="n">
        <v>5</v>
      </c>
      <c r="T56" s="3" t="inlineStr">
        <is>
          <t>Это важный узел для перехода: Kodak родился не сразу как камера для всех, а из бизнеса сухих пластин.</t>
        </is>
      </c>
      <c r="U56" s="3" t="inlineStr">
        <is>
          <t>На карте: фабрика/брендовый узел между сухими пластинами и будущей плёнкой.</t>
        </is>
      </c>
      <c r="V56" s="3" t="inlineStr">
        <is>
          <t>#PL006 #EastmanDryPlateCompany #Rochester #Kodak</t>
        </is>
      </c>
      <c r="W56" s="3" t="n"/>
      <c r="X56" s="3" t="inlineStr">
        <is>
          <t>43.1566, -77.6088</t>
        </is>
      </c>
      <c r="Y56" s="3" t="inlineStr">
        <is>
          <t>Сухие желатиновые пластины / бизнес и масштабирование</t>
        </is>
      </c>
      <c r="Z56" s="3" t="inlineStr">
        <is>
          <t>Распространение / коммерциализация</t>
        </is>
      </c>
    </row>
    <row r="57" ht="46" customHeight="1" s="59">
      <c r="A57" s="3" t="inlineStr">
        <is>
          <t>PL-HIST-0056</t>
        </is>
      </c>
      <c r="B57" s="3" t="inlineStr">
        <is>
          <t>1880–1900</t>
        </is>
      </c>
      <c r="C57" s="3" t="inlineStr">
        <is>
          <t>диапазон</t>
        </is>
      </c>
      <c r="D57" s="3" t="inlineStr">
        <is>
          <t>Европа / США</t>
        </is>
      </c>
      <c r="E57" s="3" t="inlineStr">
        <is>
          <t>распределённый процесс</t>
        </is>
      </c>
      <c r="F57" s="3" t="inlineStr">
        <is>
          <t>Фотографы конца XIX века</t>
        </is>
      </c>
      <c r="G57" s="3" t="inlineStr">
        <is>
          <t>Желатиновые сухие пластинные негативы становятся наиболее распространённой формой негативов примерно с 1880 по 1900 год.</t>
        </is>
      </c>
      <c r="H57" s="3" t="inlineStr">
        <is>
          <t>Негатив-позитив</t>
        </is>
      </c>
      <c r="I57" s="3" t="inlineStr">
        <is>
          <t>Gelatin dry plate negative</t>
        </is>
      </c>
      <c r="J57" s="3" t="inlineStr">
        <is>
          <t>На два десятилетия сухая пластина становится нормой профессиональной и серьёзной любительской фотографии.</t>
        </is>
      </c>
      <c r="K57" s="3" t="inlineStr">
        <is>
          <t>Производство сухих пластин и рост чувствительности эмульсий</t>
        </is>
      </c>
      <c r="L57" s="3" t="inlineStr">
        <is>
          <t>Гибкая плёнка постепенно заменяет стеклянную пластину в массовой фотографии</t>
        </is>
      </c>
      <c r="M57" s="3" t="inlineStr">
        <is>
          <t>Главная линия / временная доминирующая линия</t>
        </is>
      </c>
      <c r="N57" s="3" t="n">
        <v>4</v>
      </c>
      <c r="O57" s="3" t="inlineStr">
        <is>
          <t>PL-006</t>
        </is>
      </c>
      <c r="P57" s="3" t="inlineStr">
        <is>
          <t>SRC-033</t>
        </is>
      </c>
      <c r="Q57" s="3" t="inlineStr">
        <is>
          <t>Smithsonian Institution Archives — Gelatin Dry Plate Negatives</t>
        </is>
      </c>
      <c r="R57" s="3" t="inlineStr">
        <is>
          <t>https://siarchives.si.edu/blog/highlight-photo-cold-vault-gelatin-dry-plate-negatives</t>
        </is>
      </c>
      <c r="S57" s="3" t="n">
        <v>5</v>
      </c>
      <c r="T57" s="3" t="inlineStr">
        <is>
          <t>Формула для урока: мокрый коллодий был революцией середины века, сухая пластина — нормой конца века.</t>
        </is>
      </c>
      <c r="U57" s="3" t="inlineStr">
        <is>
          <t>Широкая полоса на таймлайне 1880–1900: «эпоха сухих пластин».</t>
        </is>
      </c>
      <c r="V57" s="3" t="inlineStr">
        <is>
          <t>#PL006 #1880s #dry-plate-negative #glass-negative</t>
        </is>
      </c>
      <c r="W57" s="3" t="n"/>
      <c r="X57" s="3" t="n"/>
      <c r="Y57" s="3" t="inlineStr">
        <is>
          <t>Сухие желатиновые пластины / доминирующая практика</t>
        </is>
      </c>
      <c r="Z57" s="3" t="inlineStr">
        <is>
          <t>Ключевой исторический узел</t>
        </is>
      </c>
    </row>
    <row r="58" ht="61" customHeight="1" s="59">
      <c r="A58" s="3" t="inlineStr">
        <is>
          <t>PL-HIST-0057</t>
        </is>
      </c>
      <c r="B58" s="3" t="inlineStr">
        <is>
          <t>1880-е</t>
        </is>
      </c>
      <c r="C58" s="3" t="inlineStr">
        <is>
          <t>диапазон</t>
        </is>
      </c>
      <c r="D58" s="3" t="inlineStr">
        <is>
          <t>Европа / США</t>
        </is>
      </c>
      <c r="E58" s="3" t="inlineStr">
        <is>
          <t>распределённый процесс</t>
        </is>
      </c>
      <c r="F58" s="3" t="inlineStr">
        <is>
          <t>Профессиональные и любительские фотографы</t>
        </is>
      </c>
      <c r="G58" s="3" t="inlineStr">
        <is>
          <t>Сухие пластины можно было экспонировать в одном месте, а проявлять позже в тёмной комнате; это убирало зависимость от немедленной полевой химии.</t>
        </is>
      </c>
      <c r="H58" s="3" t="inlineStr">
        <is>
          <t>Негатив-позитив</t>
        </is>
      </c>
      <c r="I58" s="3" t="inlineStr">
        <is>
          <t>Prepared dry plates / delayed development</t>
        </is>
      </c>
      <c r="J58" s="3" t="inlineStr">
        <is>
          <t>Фотограф получает свободу маршрута: съёмка и проявка впервые заметно расходятся во времени и пространстве.</t>
        </is>
      </c>
      <c r="K58" s="3" t="inlineStr">
        <is>
          <t>Wet collodion field darkroom</t>
        </is>
      </c>
      <c r="L58" s="3" t="inlineStr">
        <is>
          <t>Portable cameras, amateur photography and roll film systems</t>
        </is>
      </c>
      <c r="M58" s="3" t="inlineStr">
        <is>
          <t>Главная линия</t>
        </is>
      </c>
      <c r="N58" s="3" t="n">
        <v>5</v>
      </c>
      <c r="O58" s="3" t="inlineStr">
        <is>
          <t>PL-006</t>
        </is>
      </c>
      <c r="P58" s="3" t="inlineStr">
        <is>
          <t>SRC-034</t>
        </is>
      </c>
      <c r="Q58" s="3" t="inlineStr">
        <is>
          <t>George Eastman Museum — Dry Plates in the Woods</t>
        </is>
      </c>
      <c r="R58" s="3" t="inlineStr">
        <is>
          <t>https://www.eastman.org/blog/dry-plates-woods-using-19th-century-photographic-processes-capture-letchworth-state-park</t>
        </is>
      </c>
      <c r="S58" s="3" t="n">
        <v>5</v>
      </c>
      <c r="T58" s="3" t="inlineStr">
        <is>
          <t>Очень понятная фраза для новичка: теперь не нужно тащить лабораторию за каждым кадром.</t>
        </is>
      </c>
      <c r="U58" s="3" t="inlineStr">
        <is>
          <t>Маршрутная линия: фотограф уходит из лаборатории на улицу/в лес, а проявляет позже.</t>
        </is>
      </c>
      <c r="V58" s="3" t="inlineStr">
        <is>
          <t>#PL006 #mobility #delayed-development #dry-plate</t>
        </is>
      </c>
      <c r="W58" s="3" t="n"/>
      <c r="X58" s="3" t="n"/>
      <c r="Y58" s="3" t="inlineStr">
        <is>
          <t>Сухие желатиновые пластины / мобильность</t>
        </is>
      </c>
      <c r="Z58" s="3" t="inlineStr">
        <is>
          <t>Связь / переход</t>
        </is>
      </c>
    </row>
    <row r="59" ht="61" customHeight="1" s="59">
      <c r="A59" s="3" t="inlineStr">
        <is>
          <t>PL-HIST-0058</t>
        </is>
      </c>
      <c r="B59" s="3" t="inlineStr">
        <is>
          <t>1880-е</t>
        </is>
      </c>
      <c r="C59" s="3" t="inlineStr">
        <is>
          <t>диапазон</t>
        </is>
      </c>
      <c r="D59" s="3" t="inlineStr">
        <is>
          <t>США / Великобритания</t>
        </is>
      </c>
      <c r="E59" s="3" t="inlineStr">
        <is>
          <t>Рочестер / промышленные центры</t>
        </is>
      </c>
      <c r="F59" s="3" t="inlineStr">
        <is>
          <t>Джордж Истмен и производители фотоматериалов</t>
        </is>
      </c>
      <c r="G59" s="3" t="inlineStr">
        <is>
          <t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t>
        </is>
      </c>
      <c r="H59" s="3" t="inlineStr">
        <is>
          <t>Негатив-позитив</t>
        </is>
      </c>
      <c r="I59" s="3" t="inlineStr">
        <is>
          <t>Bridge from glass plates to roll film</t>
        </is>
      </c>
      <c r="J59" s="3" t="inlineStr">
        <is>
          <t>PL-006 логически открывает PL-007: после свободы от мокрой химии фотография начинает освобождаться от стеклянной пластины.</t>
        </is>
      </c>
      <c r="K59" s="3" t="inlineStr">
        <is>
          <t>Сухие желатиновые пластины как удобный готовый негативный материал</t>
        </is>
      </c>
      <c r="L59" s="3" t="inlineStr">
        <is>
          <t>Рулонная плёнка, Kodak camera 1888, массовая любительская фотография</t>
        </is>
      </c>
      <c r="M59" s="3" t="inlineStr">
        <is>
          <t>Связь / переход</t>
        </is>
      </c>
      <c r="N59" s="3" t="n">
        <v>5</v>
      </c>
      <c r="O59" s="3" t="inlineStr">
        <is>
          <t>PL-006</t>
        </is>
      </c>
      <c r="P59" s="3" t="inlineStr">
        <is>
          <t>SRC-031</t>
        </is>
      </c>
      <c r="Q59" s="3" t="inlineStr">
        <is>
          <t>Kodak — History</t>
        </is>
      </c>
      <c r="R59" s="3" t="inlineStr">
        <is>
          <t>https://www.kodak.com/en/company/page/history/</t>
        </is>
      </c>
      <c r="S59" s="3" t="n">
        <v>4</v>
      </c>
      <c r="T59" s="3" t="inlineStr">
        <is>
          <t>Это интрига на следующий урок: фотография стала сухой, но пока ещё стеклянной.</t>
        </is>
      </c>
      <c r="U59" s="3" t="inlineStr">
        <is>
          <t>Стеклянная пластина превращается в гибкую ленту/рулон — стрелка к будущему PL-007.</t>
        </is>
      </c>
      <c r="V59" s="3" t="inlineStr">
        <is>
          <t>#PL006 #bridge #roll-film #Kodak #future-PL</t>
        </is>
      </c>
      <c r="W59" s="3" t="inlineStr">
        <is>
          <t>При планировании PL-007 уточнить отдельными источниками Eastman-Walker roll holder и даты ранней рулонной плёнки.</t>
        </is>
      </c>
      <c r="X59" s="3" t="inlineStr">
        <is>
          <t>43.1566, -77.6088</t>
        </is>
      </c>
      <c r="Y59" s="3" t="inlineStr">
        <is>
          <t>Сухие желатиновые пластины / мост к плёнке</t>
        </is>
      </c>
      <c r="Z59" s="3" t="inlineStr">
        <is>
          <t>Связь / переход</t>
        </is>
      </c>
    </row>
    <row r="60" ht="17" customHeight="1" s="59">
      <c r="A60" s="8" t="inlineStr">
        <is>
          <t>PL-HIST-0059</t>
        </is>
      </c>
      <c r="B60" s="8" t="inlineStr">
        <is>
          <t>1884</t>
        </is>
      </c>
      <c r="C60" s="8" t="inlineStr">
        <is>
          <t>год</t>
        </is>
      </c>
      <c r="D60" s="8" t="inlineStr">
        <is>
          <t>США</t>
        </is>
      </c>
      <c r="E60" s="8" t="inlineStr">
        <is>
          <t>Рочестер, Нью-Йорк</t>
        </is>
      </c>
      <c r="F60" s="8" t="inlineStr">
        <is>
          <t>Джордж Истмен / Eastman Dry Plate and Film Company</t>
        </is>
      </c>
      <c r="G60" s="8" t="inlineStr">
        <is>
          <t>Компания Истмена меняет акцент с одних сухих пластин на поиск более удобного рулонного носителя для фотографии.</t>
        </is>
      </c>
      <c r="H60" s="8" t="inlineStr">
        <is>
          <t>Негатив-позитив</t>
        </is>
      </c>
      <c r="I60" s="8" t="inlineStr">
        <is>
          <t>Eastman Dry Plate and Film Company / roll-film direction</t>
        </is>
      </c>
      <c r="J60" s="8" t="inlineStr">
        <is>
          <t>После сухих пластин следующей проблемой становится не химия, а носитель: стекло нужно заменить чем-то гибким и лёгким.</t>
        </is>
      </c>
      <c r="K60" s="8" t="inlineStr">
        <is>
          <t>Сухие желатиновые пластины освободили фотографа от мокрой лаборатории, но не от тяжёлого стекла.</t>
        </is>
      </c>
      <c r="L60" s="8" t="inlineStr">
        <is>
          <t>Eastman-Walker roll holder и бумажная рулонная плёнка</t>
        </is>
      </c>
      <c r="M60" s="8" t="inlineStr">
        <is>
          <t>Связь / переход</t>
        </is>
      </c>
      <c r="N60" s="8" t="n">
        <v>4</v>
      </c>
      <c r="O60" s="8" t="inlineStr">
        <is>
          <t>PL-007</t>
        </is>
      </c>
      <c r="P60" s="8" t="inlineStr">
        <is>
          <t>SRC-031</t>
        </is>
      </c>
      <c r="Q60" s="8" t="inlineStr">
        <is>
          <t>Kodak — History</t>
        </is>
      </c>
      <c r="R60" s="8" t="inlineStr">
        <is>
          <t>https://www.kodak.com/en/company/page/history/</t>
        </is>
      </c>
      <c r="S60" s="8" t="n">
        <v>4</v>
      </c>
      <c r="T60" s="8" t="inlineStr">
        <is>
          <t>В уроке это мост: фотография уже стала сухой, но ещё остаётся стеклянной. Истмен ищет следующий уровень удобства.</t>
        </is>
      </c>
      <c r="U60" s="8" t="inlineStr">
        <is>
          <t>Стеклянная пластина на карте превращается в намотанную ленту.</t>
        </is>
      </c>
      <c r="V60" s="8" t="inlineStr">
        <is>
          <t>#PL007 #Eastman #roll-film #Rochester #bridge</t>
        </is>
      </c>
      <c r="W60" s="8" t="inlineStr">
        <is>
          <t>Уточнить, нужна ли отдельная строка по юридическому переименованию компании 1884 или достаточно оставить как контекст.</t>
        </is>
      </c>
      <c r="X60" s="8" t="inlineStr">
        <is>
          <t>43.1566, -77.6088</t>
        </is>
      </c>
      <c r="Y60" s="8" t="inlineStr">
        <is>
          <t>Рулонная плёнка / бизнес-переход</t>
        </is>
      </c>
      <c r="Z60" s="8" t="inlineStr">
        <is>
          <t>Связь / переход</t>
        </is>
      </c>
      <c r="AA60" s="8" t="n"/>
    </row>
    <row r="61" ht="17" customHeight="1" s="59">
      <c r="A61" s="8" t="inlineStr">
        <is>
          <t>PL-HIST-0060</t>
        </is>
      </c>
      <c r="B61" s="8" t="inlineStr">
        <is>
          <t>1885</t>
        </is>
      </c>
      <c r="C61" s="8" t="inlineStr">
        <is>
          <t>год</t>
        </is>
      </c>
      <c r="D61" s="8" t="inlineStr">
        <is>
          <t>США</t>
        </is>
      </c>
      <c r="E61" s="8" t="inlineStr">
        <is>
          <t>Рочестер, Нью-Йорк</t>
        </is>
      </c>
      <c r="F61" s="8" t="inlineStr">
        <is>
          <t>Джордж Истмен / Уильям Холл Уокер</t>
        </is>
      </c>
      <c r="G61" s="8" t="inlineStr">
        <is>
          <t>Появляется Eastman-Walker roll holder — держатель, позволявший использовать рулонный носитель в камерах, рассчитанных на пластины.</t>
        </is>
      </c>
      <c r="H61" s="8" t="inlineStr">
        <is>
          <t>Негатив-позитив</t>
        </is>
      </c>
      <c r="I61" s="8" t="inlineStr">
        <is>
          <t>Eastman-Walker roll holder</t>
        </is>
      </c>
      <c r="J61" s="8" t="inlineStr">
        <is>
          <t>Камера начинает работать не с одиночными стеклянными пластинами, а с последовательностью кадров на рулоне.</t>
        </is>
      </c>
      <c r="K61" s="8" t="inlineStr">
        <is>
          <t>Сухая пластина как готовый негативный материал</t>
        </is>
      </c>
      <c r="L61" s="8" t="inlineStr">
        <is>
          <t>American Film и первые попытки коммерческого рулонного процесса</t>
        </is>
      </c>
      <c r="M61" s="8" t="inlineStr">
        <is>
          <t>Главная линия</t>
        </is>
      </c>
      <c r="N61" s="8" t="n">
        <v>5</v>
      </c>
      <c r="O61" s="8" t="inlineStr">
        <is>
          <t>PL-007</t>
        </is>
      </c>
      <c r="P61" s="8" t="inlineStr">
        <is>
          <t>SRC-035</t>
        </is>
      </c>
      <c r="Q61" s="8" t="inlineStr">
        <is>
          <t>Science Museum Group — Eastman-Walker roll holder</t>
        </is>
      </c>
      <c r="R61" s="8" t="inlineStr">
        <is>
          <t>https://collection.sciencemuseumgroup.org.uk/objects/co15879/eastman-walker-roll-holder</t>
        </is>
      </c>
      <c r="S61" s="8" t="n">
        <v>5</v>
      </c>
      <c r="T61" s="8" t="inlineStr">
        <is>
          <t>Для новичка: рулонная плёнка сначала вошла не как маленькая камера Kodak, а как приставка/держатель для уже существующих камер.</t>
        </is>
      </c>
      <c r="U61" s="8" t="inlineStr">
        <is>
          <t>На карте: рядом с камерой появляется рулонный модуль вместо стопки стеклянных пластин.</t>
        </is>
      </c>
      <c r="V61" s="8" t="inlineStr">
        <is>
          <t>#PL007 #EastmanWalker #roll-holder #Rochester</t>
        </is>
      </c>
      <c r="W61" s="8" t="n"/>
      <c r="X61" s="8" t="inlineStr">
        <is>
          <t>43.1566, -77.6088</t>
        </is>
      </c>
      <c r="Y61" s="8" t="inlineStr">
        <is>
          <t>Рулонная плёнка / держатель</t>
        </is>
      </c>
      <c r="Z61" s="8" t="inlineStr">
        <is>
          <t>Инструмент / устройство</t>
        </is>
      </c>
      <c r="AA61" s="8" t="n"/>
    </row>
    <row r="62" ht="17" customHeight="1" s="59">
      <c r="A62" s="8" t="inlineStr">
        <is>
          <t>PL-HIST-0061</t>
        </is>
      </c>
      <c r="B62" s="8" t="inlineStr">
        <is>
          <t>1885</t>
        </is>
      </c>
      <c r="C62" s="8" t="inlineStr">
        <is>
          <t>год</t>
        </is>
      </c>
      <c r="D62" s="8" t="inlineStr">
        <is>
          <t>США</t>
        </is>
      </c>
      <c r="E62" s="8" t="inlineStr">
        <is>
          <t>Рочестер, Нью-Йорк</t>
        </is>
      </c>
      <c r="F62" s="8" t="inlineStr">
        <is>
          <t>Джордж Истмен / Eastman Dry Plate and Film Company</t>
        </is>
      </c>
      <c r="G62" s="8" t="inlineStr">
        <is>
          <t>Eastman American Film с бумажной основой вводится вместе с Eastman-Walker roll holder и предлагается профессиональным фотографам.</t>
        </is>
      </c>
      <c r="H62" s="8" t="inlineStr">
        <is>
          <t>Негатив-позитив</t>
        </is>
      </c>
      <c r="I62" s="8" t="inlineStr">
        <is>
          <t>American Film / paper-based roll film</t>
        </is>
      </c>
      <c r="J62" s="8" t="inlineStr">
        <is>
          <t>Рулонный носитель становится реальным коммерческим продуктом, но бумажная основа ещё даёт ограничения по качеству.</t>
        </is>
      </c>
      <c r="K62" s="8" t="inlineStr">
        <is>
          <t>Eastman-Walker roll holder</t>
        </is>
      </c>
      <c r="L62" s="8" t="inlineStr">
        <is>
          <t>Kodak camera 1888 и прозрачная рулонная плёнка 1889</t>
        </is>
      </c>
      <c r="M62" s="8" t="inlineStr">
        <is>
          <t>Переходная технология</t>
        </is>
      </c>
      <c r="N62" s="8" t="n">
        <v>4</v>
      </c>
      <c r="O62" s="8" t="inlineStr">
        <is>
          <t>PL-007</t>
        </is>
      </c>
      <c r="P62" s="8" t="inlineStr">
        <is>
          <t>SRC-036</t>
        </is>
      </c>
      <c r="Q62" s="8" t="inlineStr">
        <is>
          <t>George Eastman Museum — Two rare rolls of early Kodak film</t>
        </is>
      </c>
      <c r="R62" s="8" t="inlineStr">
        <is>
          <t>https://www.eastman.org/two-rare-rolls-early-kodak-film-acquired-george-eastman-museum</t>
        </is>
      </c>
      <c r="S62" s="8" t="n">
        <v>5</v>
      </c>
      <c r="T62" s="8" t="inlineStr">
        <is>
          <t>Важно показать честно: первая рулонная плёнка была удобнее стекла, но ещё не идеальна по изображению.</t>
        </is>
      </c>
      <c r="U62" s="8" t="inlineStr">
        <is>
          <t>Пунктирная лента: рулон уже появился, но ещё требует улучшения.</t>
        </is>
      </c>
      <c r="V62" s="8" t="inlineStr">
        <is>
          <t>#PL007 #AmericanFilm #paper-roll-film #Eastman</t>
        </is>
      </c>
      <c r="W62" s="8" t="n"/>
      <c r="X62" s="8" t="inlineStr">
        <is>
          <t>43.1566, -77.6088</t>
        </is>
      </c>
      <c r="Y62" s="8" t="inlineStr">
        <is>
          <t>Рулонная плёнка / бумажная основа</t>
        </is>
      </c>
      <c r="Z62" s="8" t="inlineStr">
        <is>
          <t>Технология / процесс</t>
        </is>
      </c>
      <c r="AA62" s="8" t="n"/>
    </row>
    <row r="63" ht="17" customHeight="1" s="59">
      <c r="A63" s="8" t="inlineStr">
        <is>
          <t>PL-HIST-0062</t>
        </is>
      </c>
      <c r="B63" s="8" t="inlineStr">
        <is>
          <t>1887</t>
        </is>
      </c>
      <c r="C63" s="8" t="inlineStr">
        <is>
          <t>год</t>
        </is>
      </c>
      <c r="D63" s="8" t="inlineStr">
        <is>
          <t>США</t>
        </is>
      </c>
      <c r="E63" s="8" t="inlineStr">
        <is>
          <t>Ньюарк, Нью-Джерси</t>
        </is>
      </c>
      <c r="F63" s="8" t="inlineStr">
        <is>
          <t>Ганнибал Гудвин</t>
        </is>
      </c>
      <c r="G63" s="8" t="inlineStr">
        <is>
          <t>Гудвин подаёт патентную заявку на прозрачную гибкую фотографическую плёнку на нитроцеллюлозной основе.</t>
        </is>
      </c>
      <c r="H63" s="8" t="inlineStr">
        <is>
          <t>Негатив-позитив</t>
        </is>
      </c>
      <c r="I63" s="8" t="inlineStr">
        <is>
          <t>Flexible transparent nitrocellulose film</t>
        </is>
      </c>
      <c r="J63" s="8" t="inlineStr">
        <is>
          <t>Рулонная фотография получает направление к прозрачной гибкой основе, которая лучше подходит для качественного негатива и будущего кино.</t>
        </is>
      </c>
      <c r="K63" s="8" t="inlineStr">
        <is>
          <t>Ограничения бумажной рулонной плёнки</t>
        </is>
      </c>
      <c r="L63" s="8" t="inlineStr">
        <is>
          <t>Прозрачная плёнка Eastman/Reichenbach и патентные споры вокруг целлулоидной основы</t>
        </is>
      </c>
      <c r="M63" s="8" t="inlineStr">
        <is>
          <t>Исторически важная ограниченная ветка</t>
        </is>
      </c>
      <c r="N63" s="8" t="n">
        <v>4</v>
      </c>
      <c r="O63" s="8" t="inlineStr">
        <is>
          <t>PL-007</t>
        </is>
      </c>
      <c r="P63" s="8" t="inlineStr">
        <is>
          <t>SRC-037</t>
        </is>
      </c>
      <c r="Q63" s="8" t="inlineStr">
        <is>
          <t>National Inventors Hall of Fame — Hannibal Goodwin</t>
        </is>
      </c>
      <c r="R63" s="8" t="inlineStr">
        <is>
          <t>https://www.invent.org/inductees/hannibal-goodwin</t>
        </is>
      </c>
      <c r="S63" s="8" t="n">
        <v>4</v>
      </c>
      <c r="T63" s="8" t="inlineStr">
        <is>
          <t>Этот узел нужен как параллельная ветка: история плёнки — не только Истмен, но и спорная линия Гудвина.</t>
        </is>
      </c>
      <c r="U63" s="8" t="inlineStr">
        <is>
          <t>От основной линии Kodak отходит пунктирная ветка к Ньюарку: изобретатель вне большой фабрики.</t>
        </is>
      </c>
      <c r="V63" s="8" t="inlineStr">
        <is>
          <t>#PL007 #Goodwin #celluloid #transparent-film #patent</t>
        </is>
      </c>
      <c r="W63" s="8" t="inlineStr">
        <is>
          <t>Проверить формулировку: заявка 1887, патент выдан позже; не писать как мгновенно утверждённый патент.</t>
        </is>
      </c>
      <c r="X63" s="8" t="inlineStr">
        <is>
          <t>40.7357, -74.1724</t>
        </is>
      </c>
      <c r="Y63" s="8" t="inlineStr">
        <is>
          <t>Рулонная плёнка / целлулоидная основа</t>
        </is>
      </c>
      <c r="Z63" s="8" t="inlineStr">
        <is>
          <t>Технология / процесс</t>
        </is>
      </c>
      <c r="AA63" s="8" t="n"/>
    </row>
    <row r="64" ht="17" customHeight="1" s="59">
      <c r="A64" s="8" t="inlineStr">
        <is>
          <t>PL-HIST-0063</t>
        </is>
      </c>
      <c r="B64" s="8" t="inlineStr">
        <is>
          <t>1888</t>
        </is>
      </c>
      <c r="C64" s="8" t="inlineStr">
        <is>
          <t>год</t>
        </is>
      </c>
      <c r="D64" s="8" t="inlineStr">
        <is>
          <t>США</t>
        </is>
      </c>
      <c r="E64" s="8" t="inlineStr">
        <is>
          <t>Рочестер, Нью-Йорк</t>
        </is>
      </c>
      <c r="F64" s="8" t="inlineStr">
        <is>
          <t>Джордж Истмен / Kodak</t>
        </is>
      </c>
      <c r="G64" s="8" t="inlineStr">
        <is>
          <t>Появляется первая камера Kodak: простая box-camera, заранее заряженная рулоном на 100 снимков.</t>
        </is>
      </c>
      <c r="H64" s="8" t="inlineStr">
        <is>
          <t>Негатив-позитив</t>
        </is>
      </c>
      <c r="I64" s="8" t="inlineStr">
        <is>
          <t>Original Kodak camera / roll-film camera</t>
        </is>
      </c>
      <c r="J64" s="8" t="inlineStr">
        <is>
          <t>Фотография становится не только технологией профессионалов: пользователь нажимает кнопку, а сложную обработку берёт на себя компания.</t>
        </is>
      </c>
      <c r="K64" s="8" t="inlineStr">
        <is>
          <t>American Film и попытки заменить стеклянную пластину рулонным носителем</t>
        </is>
      </c>
      <c r="L64" s="8" t="inlineStr">
        <is>
          <t>Сервисная модель Kodak и массовая любительская фотография</t>
        </is>
      </c>
      <c r="M64" s="8" t="inlineStr">
        <is>
          <t>Главная линия</t>
        </is>
      </c>
      <c r="N64" s="8" t="n">
        <v>5</v>
      </c>
      <c r="O64" s="8" t="inlineStr">
        <is>
          <t>PL-007</t>
        </is>
      </c>
      <c r="P64" s="8" t="inlineStr">
        <is>
          <t>SRC-038</t>
        </is>
      </c>
      <c r="Q64" s="8" t="inlineStr">
        <is>
          <t>Smithsonian NMAH — Original Kodak Camera, Serial No. 540</t>
        </is>
      </c>
      <c r="R64" s="8" t="inlineStr">
        <is>
          <t>https://americanhistory.si.edu/collections/object/nmah_760118</t>
        </is>
      </c>
      <c r="S64" s="8" t="n">
        <v>5</v>
      </c>
      <c r="T64" s="8" t="inlineStr">
        <is>
          <t>Это флагман PL-007: камера Kodak изменила не только материал, но и саму роль фотографа.</t>
        </is>
      </c>
      <c r="U64" s="8" t="inlineStr">
        <is>
          <t>Главный узел: маленькая box-camera с рулоном внутри, от неё расходится линия к массовой фотографии.</t>
        </is>
      </c>
      <c r="V64" s="8" t="inlineStr">
        <is>
          <t>#PL007 #Kodak #roll-film-camera #Eastman #Rochester</t>
        </is>
      </c>
      <c r="W64" s="8" t="n"/>
      <c r="X64" s="8" t="inlineStr">
        <is>
          <t>43.1566, -77.6088</t>
        </is>
      </c>
      <c r="Y64" s="8" t="inlineStr">
        <is>
          <t>Рулонная плёнка / Kodak camera</t>
        </is>
      </c>
      <c r="Z64" s="8" t="inlineStr">
        <is>
          <t>Ключевой исторический узел</t>
        </is>
      </c>
      <c r="AA64" s="8" t="inlineStr">
        <is>
          <t>да</t>
        </is>
      </c>
    </row>
    <row r="65" ht="17" customHeight="1" s="59">
      <c r="A65" s="8" t="inlineStr">
        <is>
          <t>PL-HIST-0064</t>
        </is>
      </c>
      <c r="B65" s="8" t="inlineStr">
        <is>
          <t>1888</t>
        </is>
      </c>
      <c r="C65" s="8" t="inlineStr">
        <is>
          <t>год</t>
        </is>
      </c>
      <c r="D65" s="8" t="inlineStr">
        <is>
          <t>США</t>
        </is>
      </c>
      <c r="E65" s="8" t="inlineStr">
        <is>
          <t>Рочестер, Нью-Йорк</t>
        </is>
      </c>
      <c r="F65" s="8" t="inlineStr">
        <is>
          <t>Джордж Истмен / Kodak</t>
        </is>
      </c>
      <c r="G65" s="8" t="inlineStr">
        <is>
          <t>Kodak продаёт камеру уже заряженной плёнкой; после съёмки всю камеру отправляют в Рочестер для проявки, печати и перезарядки.</t>
        </is>
      </c>
      <c r="H65" s="8" t="inlineStr">
        <is>
          <t>Негатив-позитив</t>
        </is>
      </c>
      <c r="I65" s="8" t="inlineStr">
        <is>
          <t>Kodak processing service model</t>
        </is>
      </c>
      <c r="J65" s="8" t="inlineStr">
        <is>
          <t>Фотограф больше не обязан быть химиком и печатником: процесс съёмки отделяется от лабораторной обработки.</t>
        </is>
      </c>
      <c r="K65" s="8" t="inlineStr">
        <is>
          <t>Original Kodak camera 1888</t>
        </is>
      </c>
      <c r="L65" s="8" t="inlineStr">
        <is>
          <t>Слоган «You press the button, we do the rest» и рост любительской фотографии</t>
        </is>
      </c>
      <c r="M65" s="8" t="inlineStr">
        <is>
          <t>Распространение / коммерциализация</t>
        </is>
      </c>
      <c r="N65" s="8" t="n">
        <v>5</v>
      </c>
      <c r="O65" s="8" t="inlineStr">
        <is>
          <t>PL-007</t>
        </is>
      </c>
      <c r="P65" s="8" t="inlineStr">
        <is>
          <t>SRC-039</t>
        </is>
      </c>
      <c r="Q65" s="8" t="inlineStr">
        <is>
          <t>The Met — Kodak and the Rise of Amateur Photography</t>
        </is>
      </c>
      <c r="R65" s="8" t="inlineStr">
        <is>
          <t>https://www.metmuseum.org/essays/kodak-and-the-rise-of-amateur-photography</t>
        </is>
      </c>
      <c r="S65" s="8" t="n">
        <v>5</v>
      </c>
      <c r="T65" s="8" t="inlineStr">
        <is>
          <t>Главная мысль для лекции: Kodak продавал не просто камеру, а целую систему — камера + плёнка + обработка.</t>
        </is>
      </c>
      <c r="U65" s="8" t="inlineStr">
        <is>
          <t>Маршрут: камера у пользователя → фабрика в Рочестере → готовые отпечатки возвращаются обратно.</t>
        </is>
      </c>
      <c r="V65" s="8" t="inlineStr">
        <is>
          <t>#PL007 #Kodak #service-model #amateur-photography</t>
        </is>
      </c>
      <c r="W65" s="8" t="n"/>
      <c r="X65" s="8" t="inlineStr">
        <is>
          <t>43.1566, -77.6088</t>
        </is>
      </c>
      <c r="Y65" s="8" t="inlineStr">
        <is>
          <t>Рулонная плёнка / сервисная модель</t>
        </is>
      </c>
      <c r="Z65" s="8" t="inlineStr">
        <is>
          <t>Распространение / коммерциализация</t>
        </is>
      </c>
      <c r="AA65" s="8" t="n"/>
    </row>
    <row r="66" ht="17" customHeight="1" s="59">
      <c r="A66" s="8" t="inlineStr">
        <is>
          <t>PL-HIST-0065</t>
        </is>
      </c>
      <c r="B66" s="8" t="inlineStr">
        <is>
          <t>4 сентября 1888</t>
        </is>
      </c>
      <c r="C66" s="8" t="inlineStr">
        <is>
          <t>точная дата</t>
        </is>
      </c>
      <c r="D66" s="8" t="inlineStr">
        <is>
          <t>США</t>
        </is>
      </c>
      <c r="E66" s="8" t="inlineStr">
        <is>
          <t>Рочестер, Нью-Йорк</t>
        </is>
      </c>
      <c r="F66" s="8" t="inlineStr">
        <is>
          <t>Джордж Истмен / Kodak</t>
        </is>
      </c>
      <c r="G66" s="8" t="inlineStr">
        <is>
          <t>Истмен получает патент на камеру Kodak и регистрирует товарный знак Kodak.</t>
        </is>
      </c>
      <c r="H66" s="8" t="inlineStr">
        <is>
          <t>Негатив-позитив</t>
        </is>
      </c>
      <c r="I66" s="8" t="inlineStr">
        <is>
          <t>Kodak patent and trademark</t>
        </is>
      </c>
      <c r="J66" s="8" t="inlineStr">
        <is>
          <t>Рулонная камера становится не только техническим устройством, но и брендом, который легко запомнить и продвигать.</t>
        </is>
      </c>
      <c r="K66" s="8" t="inlineStr">
        <is>
          <t>Original Kodak camera 1888</t>
        </is>
      </c>
      <c r="L66" s="8" t="inlineStr">
        <is>
          <t>Переименование компании и формирование Kodak как массового фотобренда</t>
        </is>
      </c>
      <c r="M66" s="8" t="inlineStr">
        <is>
          <t>Распространение / коммерциализация</t>
        </is>
      </c>
      <c r="N66" s="8" t="n">
        <v>4</v>
      </c>
      <c r="O66" s="8" t="inlineStr">
        <is>
          <t>PL-007</t>
        </is>
      </c>
      <c r="P66" s="8" t="inlineStr">
        <is>
          <t>SRC-040</t>
        </is>
      </c>
      <c r="Q66" s="8" t="inlineStr">
        <is>
          <t>George Eastman Museum — From the Camera Obscura to the Revolutionary Kodak</t>
        </is>
      </c>
      <c r="R66" s="8" t="inlineStr">
        <is>
          <t>https://www.eastman.org/camera-obscura-revolutionary-kodak</t>
        </is>
      </c>
      <c r="S66" s="8" t="n">
        <v>5</v>
      </c>
      <c r="T66" s="8" t="inlineStr">
        <is>
          <t>Этот узел можно использовать коротко: фотография входит в эпоху бренда, рекламы и простого обещания пользователю.</t>
        </is>
      </c>
      <c r="U66" s="8" t="inlineStr">
        <is>
          <t>На карте: рядом с Рочестером появляется знак KODAK как брендовый маяк.</t>
        </is>
      </c>
      <c r="V66" s="8" t="inlineStr">
        <is>
          <t>#PL007 #Kodak #patent #trademark #brand</t>
        </is>
      </c>
      <c r="W66" s="8" t="n"/>
      <c r="X66" s="8" t="inlineStr">
        <is>
          <t>43.1566, -77.6088</t>
        </is>
      </c>
      <c r="Y66" s="8" t="inlineStr">
        <is>
          <t>Рулонная плёнка / патент и бренд</t>
        </is>
      </c>
      <c r="Z66" s="8" t="inlineStr">
        <is>
          <t>Публикация / объявление</t>
        </is>
      </c>
      <c r="AA66" s="8" t="n"/>
    </row>
    <row r="67" ht="17" customHeight="1" s="59">
      <c r="A67" s="8" t="inlineStr">
        <is>
          <t>PL-HIST-0066</t>
        </is>
      </c>
      <c r="B67" s="8" t="inlineStr">
        <is>
          <t>1889</t>
        </is>
      </c>
      <c r="C67" s="8" t="inlineStr">
        <is>
          <t>год</t>
        </is>
      </c>
      <c r="D67" s="8" t="inlineStr">
        <is>
          <t>США</t>
        </is>
      </c>
      <c r="E67" s="8" t="inlineStr">
        <is>
          <t>Рочестер, Нью-Йорк</t>
        </is>
      </c>
      <c r="F67" s="8" t="inlineStr">
        <is>
          <t>Джордж Истмен / Генри Райхенбах</t>
        </is>
      </c>
      <c r="G67" s="8" t="inlineStr">
        <is>
          <t>На рынок выходит первая коммерческая прозрачная рулонная плёнка, усовершенствованная Истменом и его химиком.</t>
        </is>
      </c>
      <c r="H67" s="8" t="inlineStr">
        <is>
          <t>Негатив-позитив</t>
        </is>
      </c>
      <c r="I67" s="8" t="inlineStr">
        <is>
          <t>Commercial transparent roll film</t>
        </is>
      </c>
      <c r="J67" s="8" t="inlineStr">
        <is>
          <t>Плёнка становится более удобной для качественного негатива и открывает путь не только фотографии, но и движущемуся изображению.</t>
        </is>
      </c>
      <c r="K67" s="8" t="inlineStr">
        <is>
          <t>Бумажная American Film и поиски прозрачной гибкой основы</t>
        </is>
      </c>
      <c r="L67" s="8" t="inlineStr">
        <is>
          <t>Развитие кинематографа и дальнейшая массовая плёночная фотография</t>
        </is>
      </c>
      <c r="M67" s="8" t="inlineStr">
        <is>
          <t>Главная линия</t>
        </is>
      </c>
      <c r="N67" s="8" t="n">
        <v>5</v>
      </c>
      <c r="O67" s="8" t="inlineStr">
        <is>
          <t>PL-007</t>
        </is>
      </c>
      <c r="P67" s="8" t="inlineStr">
        <is>
          <t>SRC-041</t>
        </is>
      </c>
      <c r="Q67" s="8" t="inlineStr">
        <is>
          <t>Kodak — Chronology of Film</t>
        </is>
      </c>
      <c r="R67" s="8" t="inlineStr">
        <is>
          <t>https://www.kodak.com/en/motion/page/chronology-of-film/</t>
        </is>
      </c>
      <c r="S67" s="8" t="n">
        <v>5</v>
      </c>
      <c r="T67" s="8" t="inlineStr">
        <is>
          <t>В уроке важно отличить: Kodak 1888 уже был рулонной камерой, но прозрачная рулонная плёнка как коммерческий материал — отдельный шаг 1889 года.</t>
        </is>
      </c>
      <c r="U67" s="8" t="inlineStr">
        <is>
          <t>Рулон из полупрозрачной ленты, уходящий от фотографии к кино.</t>
        </is>
      </c>
      <c r="V67" s="8" t="inlineStr">
        <is>
          <t>#PL007 #transparent-roll-film #Reichenbach #Eastman #motion-picture</t>
        </is>
      </c>
      <c r="W67" s="8" t="n"/>
      <c r="X67" s="8" t="inlineStr">
        <is>
          <t>43.1566, -77.6088</t>
        </is>
      </c>
      <c r="Y67" s="8" t="inlineStr">
        <is>
          <t>Рулонная плёнка / прозрачная плёнка</t>
        </is>
      </c>
      <c r="Z67" s="8" t="inlineStr">
        <is>
          <t>Технология / процесс</t>
        </is>
      </c>
      <c r="AA67" s="8" t="n"/>
    </row>
    <row r="68" ht="17" customHeight="1" s="59">
      <c r="A68" s="8" t="inlineStr">
        <is>
          <t>PL-HIST-0067</t>
        </is>
      </c>
      <c r="B68" s="8" t="inlineStr">
        <is>
          <t>1891</t>
        </is>
      </c>
      <c r="C68" s="8" t="inlineStr">
        <is>
          <t>год</t>
        </is>
      </c>
      <c r="D68" s="8" t="inlineStr">
        <is>
          <t>США</t>
        </is>
      </c>
      <c r="E68" s="8" t="inlineStr">
        <is>
          <t>Рочестер, Нью-Йорк</t>
        </is>
      </c>
      <c r="F68" s="8" t="inlineStr">
        <is>
          <t>Kodak / Eastman Company</t>
        </is>
      </c>
      <c r="G68" s="8" t="inlineStr">
        <is>
          <t>Kodak выводит первую daylight-loading camera: фотограф может перезаряжать плёнку без тёмной комнаты.</t>
        </is>
      </c>
      <c r="H68" s="8" t="inlineStr">
        <is>
          <t>Негатив-позитив</t>
        </is>
      </c>
      <c r="I68" s="8" t="inlineStr">
        <is>
          <t>Daylight-loading roll-film camera</t>
        </is>
      </c>
      <c r="J68" s="8" t="inlineStr">
        <is>
          <t>Рулонная фотография становится ещё удобнее: перезарядка перестаёт требовать полной темноты.</t>
        </is>
      </c>
      <c r="K68" s="8" t="inlineStr">
        <is>
          <t>Kodak camera 1888 and factory service model</t>
        </is>
      </c>
      <c r="L68" s="8" t="inlineStr">
        <is>
          <t>Pocket Kodak, Folding Pocket Kodak, Brownie and standard roll-film formats</t>
        </is>
      </c>
      <c r="M68" s="8" t="inlineStr">
        <is>
          <t>Главная линия</t>
        </is>
      </c>
      <c r="N68" s="8" t="n">
        <v>4</v>
      </c>
      <c r="O68" s="8" t="inlineStr">
        <is>
          <t>PL-007</t>
        </is>
      </c>
      <c r="P68" s="8" t="inlineStr">
        <is>
          <t>SRC-042</t>
        </is>
      </c>
      <c r="Q68" s="8" t="inlineStr">
        <is>
          <t>Kodak — Milestones</t>
        </is>
      </c>
      <c r="R68" s="8" t="inlineStr">
        <is>
          <t>https://www.kodak.com/en/company/page/milestones/</t>
        </is>
      </c>
      <c r="S68" s="8" t="n">
        <v>5</v>
      </c>
      <c r="T68" s="8" t="inlineStr">
        <is>
          <t>Это не главный герой урока, но важный шаг удобства: фотограф получает больше самостоятельности.</t>
        </is>
      </c>
      <c r="U68" s="8" t="inlineStr">
        <is>
          <t>На карте: маленькая камера открывается на свету без тёмной комнаты.</t>
        </is>
      </c>
      <c r="V68" s="8" t="inlineStr">
        <is>
          <t>#PL007 #daylight-loading #roll-film #Kodak</t>
        </is>
      </c>
      <c r="W68" s="8" t="n"/>
      <c r="X68" s="8" t="inlineStr">
        <is>
          <t>43.1566, -77.6088</t>
        </is>
      </c>
      <c r="Y68" s="8" t="inlineStr">
        <is>
          <t>Рулонная плёнка / дневная перезарядка</t>
        </is>
      </c>
      <c r="Z68" s="8" t="inlineStr">
        <is>
          <t>Технология / процесс</t>
        </is>
      </c>
      <c r="AA68" s="8" t="n"/>
    </row>
    <row r="69" ht="17" customHeight="1" s="59">
      <c r="A69" s="8" t="inlineStr">
        <is>
          <t>PL-HIST-0068</t>
        </is>
      </c>
      <c r="B69" s="8" t="inlineStr">
        <is>
          <t>1900</t>
        </is>
      </c>
      <c r="C69" s="8" t="inlineStr">
        <is>
          <t>год</t>
        </is>
      </c>
      <c r="D69" s="8" t="inlineStr">
        <is>
          <t>США</t>
        </is>
      </c>
      <c r="E69" s="8" t="inlineStr">
        <is>
          <t>Рочестер, Нью-Йорк</t>
        </is>
      </c>
      <c r="F69" s="8" t="inlineStr">
        <is>
          <t>Eastman Kodak / Brownie</t>
        </is>
      </c>
      <c r="G69" s="8" t="inlineStr">
        <is>
          <t>Камера Brownie делает рулонную фотографию ещё более дешёвой и доступной для массового пользователя.</t>
        </is>
      </c>
      <c r="H69" s="8" t="inlineStr">
        <is>
          <t>Негатив-позитив</t>
        </is>
      </c>
      <c r="I69" s="8" t="inlineStr">
        <is>
          <t>Kodak Brownie / mass snapshot photography</t>
        </is>
      </c>
      <c r="J69" s="8" t="inlineStr">
        <is>
          <t>Идея Kodak доводится до массового уровня: фотография становится повседневным занятием и семейной практикой.</t>
        </is>
      </c>
      <c r="K69" s="8" t="inlineStr">
        <is>
          <t>Kodak camera 1888 and roll-film service model</t>
        </is>
      </c>
      <c r="L69" s="8" t="inlineStr">
        <is>
          <t>PL-008: массовая любительская фотография, snapshot-культура и Brownie как социальный перелом</t>
        </is>
      </c>
      <c r="M69" s="8" t="inlineStr">
        <is>
          <t>Связь / переход</t>
        </is>
      </c>
      <c r="N69" s="8" t="n">
        <v>4</v>
      </c>
      <c r="O69" s="8" t="inlineStr">
        <is>
          <t>PL-007</t>
        </is>
      </c>
      <c r="P69" s="8" t="inlineStr">
        <is>
          <t>SRC-043</t>
        </is>
      </c>
      <c r="Q69" s="8" t="inlineStr">
        <is>
          <t>National Science and Media Museum — Kodak Gallery</t>
        </is>
      </c>
      <c r="R69" s="8" t="inlineStr">
        <is>
          <t>https://www.scienceandmediamuseum.org.uk/whats-on/kodak-gallery</t>
        </is>
      </c>
      <c r="S69" s="8" t="n">
        <v>5</v>
      </c>
      <c r="T69" s="8" t="inlineStr">
        <is>
          <t>Это мост к следующему уроку: Kodak сделал фотографию проще, Brownie сделает её по-настоящему массовой.</t>
        </is>
      </c>
      <c r="U69" s="8" t="inlineStr">
        <is>
          <t>От Kodak 1888 линия идёт к дешёвой коробочной камере Brownie и семейным снимкам.</t>
        </is>
      </c>
      <c r="V69" s="8" t="inlineStr">
        <is>
          <t>#PL007 #Brownie #snapshot #mass-photography #future-PL</t>
        </is>
      </c>
      <c r="W69" s="8" t="n"/>
      <c r="X69" s="8" t="inlineStr">
        <is>
          <t>43.1566, -77.6088</t>
        </is>
      </c>
      <c r="Y69" s="8" t="inlineStr">
        <is>
          <t>Рулонная плёнка / массовая фотография</t>
        </is>
      </c>
      <c r="Z69" s="8" t="inlineStr">
        <is>
          <t>Связь / переход</t>
        </is>
      </c>
      <c r="AA69" s="8" t="n"/>
    </row>
    <row r="70" ht="17" customHeight="1" s="59">
      <c r="A70" s="8" t="inlineStr">
        <is>
          <t>PL-HIST-0069</t>
        </is>
      </c>
      <c r="B70" s="8" t="inlineStr">
        <is>
          <t>1900</t>
        </is>
      </c>
      <c r="C70" s="8" t="inlineStr">
        <is>
          <t>год</t>
        </is>
      </c>
      <c r="D70" s="8" t="inlineStr">
        <is>
          <t>США</t>
        </is>
      </c>
      <c r="E70" s="8" t="inlineStr">
        <is>
          <t>Рочестер, Нью-Йорк</t>
        </is>
      </c>
      <c r="F70" s="8" t="inlineStr">
        <is>
          <t>Eastman Kodak / Brownie</t>
        </is>
      </c>
      <c r="G70" s="8" t="inlineStr">
        <is>
          <t>Появляется первая камера Kodak Brownie — простая и недорогая коробочная roll-film камера для массового пользователя.</t>
        </is>
      </c>
      <c r="H70" s="8" t="inlineStr">
        <is>
          <t>Негатив-позитив</t>
        </is>
      </c>
      <c r="I70" s="8" t="inlineStr">
        <is>
          <t>Kodak Brownie / box roll-film camera</t>
        </is>
      </c>
      <c r="J70" s="8" t="inlineStr">
        <is>
          <t>Фотография становится дешёвой и доступной: теперь камера перестаёт быть только инструментом обеспеченных любителей и профессионалов.</t>
        </is>
      </c>
      <c r="K70" s="8" t="inlineStr">
        <is>
          <t>Kodak camera 1888 и сервисная модель обработки плёнки</t>
        </is>
      </c>
      <c r="L70" s="8" t="inlineStr">
        <is>
          <t>Snapshot-культура, семейные альбомы и массовая любительская фотография</t>
        </is>
      </c>
      <c r="M70" s="8" t="inlineStr">
        <is>
          <t>Главная линия</t>
        </is>
      </c>
      <c r="N70" s="8" t="n">
        <v>5</v>
      </c>
      <c r="O70" s="8" t="inlineStr">
        <is>
          <t>PL-008</t>
        </is>
      </c>
      <c r="P70" s="8" t="inlineStr">
        <is>
          <t>SRC-044</t>
        </is>
      </c>
      <c r="Q70" s="8" t="inlineStr">
        <is>
          <t>Science Museum Group — No. 1 Brownie Box Camera</t>
        </is>
      </c>
      <c r="R70" s="8" t="inlineStr">
        <is>
          <t>https://collection.sciencemuseumgroup.org.uk/objects/co8406729/no-1-brownie-box-camera</t>
        </is>
      </c>
      <c r="S70" s="8" t="n">
        <v>5</v>
      </c>
      <c r="T70" s="8" t="inlineStr">
        <is>
          <t>Флагман PL-008: Brownie — момент, когда фотография становится по-настоящему массовой бытовой практикой.</t>
        </is>
      </c>
      <c r="U70" s="8" t="inlineStr">
        <is>
          <t>На карте: из Рочестера расходятся линии к домам, семьям и любительским снимкам.</t>
        </is>
      </c>
      <c r="V70" s="8" t="inlineStr">
        <is>
          <t>#PL008 #Brownie #Kodak #snapshot #mass-photography</t>
        </is>
      </c>
      <c r="W70" s="8" t="n"/>
      <c r="X70" s="8" t="inlineStr">
        <is>
          <t>43.1566, -77.6088</t>
        </is>
      </c>
      <c r="Y70" s="8" t="inlineStr">
        <is>
          <t>Brownie / доступная камера</t>
        </is>
      </c>
      <c r="Z70" s="8" t="inlineStr">
        <is>
          <t>Ключевой исторический узел</t>
        </is>
      </c>
      <c r="AA70" s="8" t="inlineStr">
        <is>
          <t>да</t>
        </is>
      </c>
    </row>
    <row r="71" ht="17" customHeight="1" s="59">
      <c r="A71" s="8" t="inlineStr">
        <is>
          <t>PL-HIST-0070</t>
        </is>
      </c>
      <c r="B71" s="8" t="inlineStr">
        <is>
          <t>1900</t>
        </is>
      </c>
      <c r="C71" s="8" t="inlineStr">
        <is>
          <t>год</t>
        </is>
      </c>
      <c r="D71" s="8" t="inlineStr">
        <is>
          <t>США</t>
        </is>
      </c>
      <c r="E71" s="8" t="inlineStr">
        <is>
          <t>Рочестер, Нью-Йорк</t>
        </is>
      </c>
      <c r="F71" s="8" t="inlineStr">
        <is>
          <t>Eastman Kodak</t>
        </is>
      </c>
      <c r="G71" s="8" t="inlineStr">
        <is>
          <t>Brownie продаётся по низкой цене и продвигается как камера, которой может пользоваться человек без фотографического опыта.</t>
        </is>
      </c>
      <c r="H71" s="8" t="inlineStr">
        <is>
          <t>Негатив-позитив</t>
        </is>
      </c>
      <c r="I71" s="8" t="inlineStr">
        <is>
          <t>Low-cost consumer camera</t>
        </is>
      </c>
      <c r="J71" s="8" t="inlineStr">
        <is>
          <t>Порог входа резко падает: фотография становится не только техникой, но и доступным хобби.</t>
        </is>
      </c>
      <c r="K71" s="8" t="inlineStr">
        <is>
          <t>Kodak 1888 упростил процесс, но оставался сравнительно дорогим</t>
        </is>
      </c>
      <c r="L71" s="8" t="inlineStr">
        <is>
          <t>Brownie расширяет аудиторию до детей, семей и среднего класса</t>
        </is>
      </c>
      <c r="M71" s="8" t="inlineStr">
        <is>
          <t>Распространение / коммерциализация</t>
        </is>
      </c>
      <c r="N71" s="8" t="n">
        <v>5</v>
      </c>
      <c r="O71" s="8" t="inlineStr">
        <is>
          <t>PL-008</t>
        </is>
      </c>
      <c r="P71" s="8" t="inlineStr">
        <is>
          <t>SRC-046</t>
        </is>
      </c>
      <c r="Q71" s="8" t="inlineStr">
        <is>
          <t>ACS — George Eastman, Kodak, and the Birth of Consumer Photography</t>
        </is>
      </c>
      <c r="R71" s="8" t="inlineStr">
        <is>
          <t>https://www.acs.org/education/whatischemistry/landmarks/eastman-kodak.html</t>
        </is>
      </c>
      <c r="S71" s="8" t="n">
        <v>5</v>
      </c>
      <c r="T71" s="8" t="inlineStr">
        <is>
          <t>Объяснить просто: Kodak сделал фотографию удобной, а Brownie сделал её дешёвой.</t>
        </is>
      </c>
      <c r="U71" s="8" t="inlineStr">
        <is>
          <t>Ценник рядом с маленькой коробочной камерой: фотография становится покупкой для обычной семьи.</t>
        </is>
      </c>
      <c r="V71" s="8" t="inlineStr">
        <is>
          <t>#PL008 #Brownie #affordable-camera #consumer-photography</t>
        </is>
      </c>
      <c r="W71" s="8" t="n"/>
      <c r="X71" s="8" t="inlineStr">
        <is>
          <t>43.1566, -77.6088</t>
        </is>
      </c>
      <c r="Y71" s="8" t="inlineStr">
        <is>
          <t>Brownie / цена и массовый рынок</t>
        </is>
      </c>
      <c r="Z71" s="8" t="inlineStr">
        <is>
          <t>Распространение / коммерциализация</t>
        </is>
      </c>
      <c r="AA71" s="8" t="n"/>
    </row>
    <row r="72" ht="17" customHeight="1" s="59">
      <c r="A72" s="8" t="inlineStr">
        <is>
          <t>PL-HIST-0071</t>
        </is>
      </c>
      <c r="B72" s="8" t="inlineStr">
        <is>
          <t>1900–1901</t>
        </is>
      </c>
      <c r="C72" s="8" t="inlineStr">
        <is>
          <t>диапазон</t>
        </is>
      </c>
      <c r="D72" s="8" t="inlineStr">
        <is>
          <t>США / Великобритания</t>
        </is>
      </c>
      <c r="E72" s="8" t="inlineStr">
        <is>
          <t>Рочестер / массовая пресса</t>
        </is>
      </c>
      <c r="F72" s="8" t="inlineStr">
        <is>
          <t>Eastman Kodak / рекламные кампании Brownie</t>
        </is>
      </c>
      <c r="G72" s="8" t="inlineStr">
        <is>
          <t>Brownie продвигается через популярную прессу и визуальный образ персонажей Brownie, обращаясь к новой молодой и семейной аудитории.</t>
        </is>
      </c>
      <c r="H72" s="8" t="inlineStr">
        <is>
          <t>Негатив-позитив</t>
        </is>
      </c>
      <c r="I72" s="8" t="inlineStr">
        <is>
          <t>Brownie marketing / popular press</t>
        </is>
      </c>
      <c r="J72" s="8" t="inlineStr">
        <is>
          <t>Фотокамера становится не только устройством, но и массовым культурным продуктом с понятным образом и обещанием простоты.</t>
        </is>
      </c>
      <c r="K72" s="8" t="inlineStr">
        <is>
          <t>Kodak как бренд и сервис съёмки</t>
        </is>
      </c>
      <c r="L72" s="8" t="inlineStr">
        <is>
          <t>Brownie становится узнаваемой народной камерой</t>
        </is>
      </c>
      <c r="M72" s="8" t="inlineStr">
        <is>
          <t>Распространение / коммерциализация</t>
        </is>
      </c>
      <c r="N72" s="8" t="n">
        <v>4</v>
      </c>
      <c r="O72" s="8" t="inlineStr">
        <is>
          <t>PL-008</t>
        </is>
      </c>
      <c r="P72" s="8" t="inlineStr">
        <is>
          <t>SRC-047</t>
        </is>
      </c>
      <c r="Q72" s="8" t="inlineStr">
        <is>
          <t>National Science and Media Museum — B is for Brownie</t>
        </is>
      </c>
      <c r="R72" s="8" t="inlineStr">
        <is>
          <t>https://blog.scienceandmediamuseum.org.uk/a-z-photography-collection-b-is-for-brownie/</t>
        </is>
      </c>
      <c r="S72" s="8" t="n">
        <v>5</v>
      </c>
      <c r="T72" s="8" t="inlineStr">
        <is>
          <t>Хороший сюжет для урока: массовая фотография победила не только химией и камерой, но и рекламой.</t>
        </is>
      </c>
      <c r="U72" s="8" t="inlineStr">
        <is>
          <t>Визуально: рекламный плакат Brownie, персонажи и маленькая камера как игрушка для всех.</t>
        </is>
      </c>
      <c r="V72" s="8" t="inlineStr">
        <is>
          <t>#PL008 #Brownie #advertising #popular-press #children</t>
        </is>
      </c>
      <c r="W72" s="8" t="n"/>
      <c r="X72" s="8" t="inlineStr">
        <is>
          <t>43.1566, -77.6088</t>
        </is>
      </c>
      <c r="Y72" s="8" t="inlineStr">
        <is>
          <t>Brownie / детская аудитория и реклама</t>
        </is>
      </c>
      <c r="Z72" s="8" t="inlineStr">
        <is>
          <t>Распространение / коммерциализация</t>
        </is>
      </c>
      <c r="AA72" s="8" t="n"/>
    </row>
    <row r="73" ht="17" customHeight="1" s="59">
      <c r="A73" s="8" t="inlineStr">
        <is>
          <t>PL-HIST-0072</t>
        </is>
      </c>
      <c r="B73" s="8" t="inlineStr">
        <is>
          <t>1901</t>
        </is>
      </c>
      <c r="C73" s="8" t="inlineStr">
        <is>
          <t>год</t>
        </is>
      </c>
      <c r="D73" s="8" t="inlineStr">
        <is>
          <t>Великобритания</t>
        </is>
      </c>
      <c r="E73" s="8" t="inlineStr">
        <is>
          <t>Лондон</t>
        </is>
      </c>
      <c r="F73" s="8" t="inlineStr">
        <is>
          <t>Kodak Limited / No. 2 Brownie</t>
        </is>
      </c>
      <c r="G73" s="8" t="inlineStr">
        <is>
          <t>No. 2 Brownie использует 120 roll film — формат, который позже станет важным стандартом среднего формата.</t>
        </is>
      </c>
      <c r="H73" s="8" t="inlineStr">
        <is>
          <t>Негатив-позитив</t>
        </is>
      </c>
      <c r="I73" s="8" t="inlineStr">
        <is>
          <t>No. 2 Brownie / 120 roll film</t>
        </is>
      </c>
      <c r="J73" s="8" t="inlineStr">
        <is>
          <t>Массовая простая камера оказывается связана с форматом плёнки, который переживёт саму эпоху Brownie и останется важным для фотографии.</t>
        </is>
      </c>
      <c r="K73" s="8" t="inlineStr">
        <is>
          <t>Brownie No. 1 и массовая roll-film камера</t>
        </is>
      </c>
      <c r="L73" s="8" t="inlineStr">
        <is>
          <t>120 film и среднеформатная фотография XX века</t>
        </is>
      </c>
      <c r="M73" s="8" t="inlineStr">
        <is>
          <t>Главная линия</t>
        </is>
      </c>
      <c r="N73" s="8" t="n">
        <v>4</v>
      </c>
      <c r="O73" s="8" t="inlineStr">
        <is>
          <t>PL-008</t>
        </is>
      </c>
      <c r="P73" s="8" t="inlineStr">
        <is>
          <t>SRC-050</t>
        </is>
      </c>
      <c r="Q73" s="8" t="inlineStr">
        <is>
          <t>Science Museum Group — No 2 Brownie Camera</t>
        </is>
      </c>
      <c r="R73" s="8" t="inlineStr">
        <is>
          <t>https://collection.sciencemuseumgroup.org.uk/objects/co8207799/no-2-brownie-camera</t>
        </is>
      </c>
      <c r="S73" s="8" t="n">
        <v>4</v>
      </c>
      <c r="T73" s="8" t="inlineStr">
        <is>
          <t>Не перегружать технически: важно показать, что массовая камера дала жизнь формату, который потом станет серьёзным фотографическим стандартом.</t>
        </is>
      </c>
      <c r="U73" s="8" t="inlineStr">
        <is>
          <t>Рядом с камерой — катушка 120 film, мост к среднему формату.</t>
        </is>
      </c>
      <c r="V73" s="8" t="inlineStr">
        <is>
          <t>#PL008 #No2Brownie #120film #medium-format</t>
        </is>
      </c>
      <c r="W73" s="8" t="inlineStr">
        <is>
          <t>Проверить отдельно формулировку «первый / introduced 120» по более сильному источнику; в текущем виде писать осторожно: «использует 120 roll film».</t>
        </is>
      </c>
      <c r="X73" s="8" t="inlineStr">
        <is>
          <t>51.5074, -0.1278</t>
        </is>
      </c>
      <c r="Y73" s="8" t="inlineStr">
        <is>
          <t>Brownie / 120 roll film</t>
        </is>
      </c>
      <c r="Z73" s="8" t="inlineStr">
        <is>
          <t>Технология / процесс</t>
        </is>
      </c>
      <c r="AA73" s="8" t="n"/>
    </row>
    <row r="74" ht="17" customHeight="1" s="59">
      <c r="A74" s="8" t="inlineStr">
        <is>
          <t>PL-HIST-0073</t>
        </is>
      </c>
      <c r="B74" s="8" t="inlineStr">
        <is>
          <t>1900-е</t>
        </is>
      </c>
      <c r="C74" s="8" t="inlineStr">
        <is>
          <t>диапазон</t>
        </is>
      </c>
      <c r="D74" s="8" t="inlineStr">
        <is>
          <t>США / Великобритания</t>
        </is>
      </c>
      <c r="E74" s="8" t="inlineStr">
        <is>
          <t>распределённый процесс</t>
        </is>
      </c>
      <c r="F74" s="8" t="inlineStr">
        <is>
          <t>Любители фотографии / семьи</t>
        </is>
      </c>
      <c r="G74" s="8" t="inlineStr">
        <is>
          <t>Snapshot становится повседневной практикой: люди снимают прогулки, детей, поездки, праздники и частную жизнь.</t>
        </is>
      </c>
      <c r="H74" s="8" t="inlineStr">
        <is>
          <t>Печать / тиражирование</t>
        </is>
      </c>
      <c r="I74" s="8" t="inlineStr">
        <is>
          <t>Snapshot culture / family photography</t>
        </is>
      </c>
      <c r="J74" s="8" t="inlineStr">
        <is>
          <t>Фотография меняет социальную роль: она перестаёт быть только портретом или документом и становится способом сохранять личную память.</t>
        </is>
      </c>
      <c r="K74" s="8" t="inlineStr">
        <is>
          <t>Brownie делает камеру доступной широкому кругу людей</t>
        </is>
      </c>
      <c r="L74" s="8" t="inlineStr">
        <is>
          <t>Семейные альбомы и бытовая визуальная культура XX века</t>
        </is>
      </c>
      <c r="M74" s="8" t="inlineStr">
        <is>
          <t>Главная линия</t>
        </is>
      </c>
      <c r="N74" s="8" t="n">
        <v>5</v>
      </c>
      <c r="O74" s="8" t="inlineStr">
        <is>
          <t>PL-008</t>
        </is>
      </c>
      <c r="P74" s="8" t="inlineStr">
        <is>
          <t>SRC-049</t>
        </is>
      </c>
      <c r="Q74" s="8" t="inlineStr">
        <is>
          <t>National Gallery of Art — The Art of the American Snapshot, 1888–1978</t>
        </is>
      </c>
      <c r="R74" s="8" t="inlineStr">
        <is>
          <t>https://www.nga.gov/exhibitions/art-american-snapshot-1888-1978-collection-robert-e-jackson</t>
        </is>
      </c>
      <c r="S74" s="8" t="n">
        <v>5</v>
      </c>
      <c r="T74" s="8" t="inlineStr">
        <is>
          <t>Ключевой смысл: фотография входит в дом и начинает фиксировать обычную жизнь, а не только важные события.</t>
        </is>
      </c>
      <c r="U74" s="8" t="inlineStr">
        <is>
          <t>На карте: от камеры появляются маленькие карточки-снимки семьи, поездки, дома.</t>
        </is>
      </c>
      <c r="V74" s="8" t="inlineStr">
        <is>
          <t>#PL008 #snapshot #family-album #vernacular-photography</t>
        </is>
      </c>
      <c r="W74" s="8" t="n"/>
      <c r="X74" s="8" t="n"/>
      <c r="Y74" s="8" t="inlineStr">
        <is>
          <t>Snapshot-культура / семейный альбом</t>
        </is>
      </c>
      <c r="Z74" s="8" t="inlineStr">
        <is>
          <t>Применение / жанр</t>
        </is>
      </c>
      <c r="AA74" s="8" t="n"/>
    </row>
    <row r="75" ht="17" customHeight="1" s="59">
      <c r="A75" s="8" t="inlineStr">
        <is>
          <t>PL-HIST-0074</t>
        </is>
      </c>
      <c r="B75" s="8" t="inlineStr">
        <is>
          <t>1900-е</t>
        </is>
      </c>
      <c r="C75" s="8" t="inlineStr">
        <is>
          <t>диапазон</t>
        </is>
      </c>
      <c r="D75" s="8" t="inlineStr">
        <is>
          <t>США</t>
        </is>
      </c>
      <c r="E75" s="8" t="inlineStr">
        <is>
          <t>распределённый процесс</t>
        </is>
      </c>
      <c r="F75" s="8" t="inlineStr">
        <is>
          <t>Массовые любители фотографии</t>
        </is>
      </c>
      <c r="G75" s="8" t="inlineStr">
        <is>
          <t>Фотография становится занятием людей без профессиональной подготовки: важнее не техническое мастерство, а возможность сохранить момент.</t>
        </is>
      </c>
      <c r="H75" s="8" t="inlineStr">
        <is>
          <t>Печать / тиражирование</t>
        </is>
      </c>
      <c r="I75" s="8" t="inlineStr">
        <is>
          <t>Amateur snapshot photography</t>
        </is>
      </c>
      <c r="J75" s="8" t="inlineStr">
        <is>
          <t>В центр выходит не фотограф-профессионал, а обычный человек с камерой; рождается культура бытового снимка.</t>
        </is>
      </c>
      <c r="K75" s="8" t="inlineStr">
        <is>
          <t>Kodak/Brownie снижает технический барьер</t>
        </is>
      </c>
      <c r="L75" s="8" t="inlineStr">
        <is>
          <t>Фотография как личный дневник, семейная память и визуальный архив</t>
        </is>
      </c>
      <c r="M75" s="8" t="inlineStr">
        <is>
          <t>Главная линия</t>
        </is>
      </c>
      <c r="N75" s="8" t="n">
        <v>5</v>
      </c>
      <c r="O75" s="8" t="inlineStr">
        <is>
          <t>PL-008</t>
        </is>
      </c>
      <c r="P75" s="8" t="inlineStr">
        <is>
          <t>SRC-039</t>
        </is>
      </c>
      <c r="Q75" s="8" t="inlineStr">
        <is>
          <t>The Met — Kodak and the Rise of Amateur Photography</t>
        </is>
      </c>
      <c r="R75" s="8" t="inlineStr">
        <is>
          <t>https://www.metmuseum.org/essays/kodak-and-the-rise-of-amateur-photography</t>
        </is>
      </c>
      <c r="S75" s="8" t="n">
        <v>5</v>
      </c>
      <c r="T75" s="8" t="inlineStr">
        <is>
          <t>Объяснить просто: раньше фотография была делом специалиста; теперь обычный человек получает право нажать кнопку и сохранить свою жизнь.</t>
        </is>
      </c>
      <c r="U75" s="8" t="inlineStr">
        <is>
          <t>Иконка: человек без студии и лаборатории снимает повседневный момент.</t>
        </is>
      </c>
      <c r="V75" s="8" t="inlineStr">
        <is>
          <t>#PL008 #amateur-photography #snapshot #everyday-life</t>
        </is>
      </c>
      <c r="W75" s="8" t="n"/>
      <c r="X75" s="8" t="n"/>
      <c r="Y75" s="8" t="inlineStr">
        <is>
          <t>Snapshot-культура / любительская практика</t>
        </is>
      </c>
      <c r="Z75" s="8" t="inlineStr">
        <is>
          <t>Применение / жанр</t>
        </is>
      </c>
      <c r="AA75" s="8" t="n"/>
    </row>
    <row r="76" ht="17" customHeight="1" s="59">
      <c r="A76" s="8" t="inlineStr">
        <is>
          <t>PL-HIST-0075</t>
        </is>
      </c>
      <c r="B76" s="8" t="inlineStr">
        <is>
          <t>1900-е</t>
        </is>
      </c>
      <c r="C76" s="8" t="inlineStr">
        <is>
          <t>диапазон</t>
        </is>
      </c>
      <c r="D76" s="8" t="inlineStr">
        <is>
          <t>США</t>
        </is>
      </c>
      <c r="E76" s="8" t="inlineStr">
        <is>
          <t>Рочестер, Нью-Йорк / потребительский рынок</t>
        </is>
      </c>
      <c r="F76" s="8" t="inlineStr">
        <is>
          <t>Eastman Kodak / фотолаборатории</t>
        </is>
      </c>
      <c r="G76" s="8" t="inlineStr">
        <is>
          <t>Сервисная модель Kodak продолжает освобождать пользователя от проявки и печати: съёмка становится проще, а обработка уходит в лабораторию.</t>
        </is>
      </c>
      <c r="H76" s="8" t="inlineStr">
        <is>
          <t>Печать / тиражирование</t>
        </is>
      </c>
      <c r="I76" s="8" t="inlineStr">
        <is>
          <t>Consumer processing service</t>
        </is>
      </c>
      <c r="J76" s="8" t="inlineStr">
        <is>
          <t>Массовая фотография требует не только камеры, но и инфраструктуры: плёнка, проявка, печать и возврат снимков становятся частью единой системы.</t>
        </is>
      </c>
      <c r="K76" s="8" t="inlineStr">
        <is>
          <t>Kodak service model 1888</t>
        </is>
      </c>
      <c r="L76" s="8" t="inlineStr">
        <is>
          <t>Фотолаборатории, минилабы и массовая печать XX века</t>
        </is>
      </c>
      <c r="M76" s="8" t="inlineStr">
        <is>
          <t>Распространение / коммерциализация</t>
        </is>
      </c>
      <c r="N76" s="8" t="n">
        <v>4</v>
      </c>
      <c r="O76" s="8" t="inlineStr">
        <is>
          <t>PL-008</t>
        </is>
      </c>
      <c r="P76" s="8" t="inlineStr">
        <is>
          <t>SRC-039</t>
        </is>
      </c>
      <c r="Q76" s="8" t="inlineStr">
        <is>
          <t>The Met — Kodak and the Rise of Amateur Photography</t>
        </is>
      </c>
      <c r="R76" s="8" t="inlineStr">
        <is>
          <t>https://www.metmuseum.org/essays/kodak-and-the-rise-of-amateur-photography</t>
        </is>
      </c>
      <c r="S76" s="8" t="n">
        <v>5</v>
      </c>
      <c r="T76" s="8" t="inlineStr">
        <is>
          <t>Для PHOTO LAB это важный мост: массовая фотография сразу связана с лабораторией и печатью.</t>
        </is>
      </c>
      <c r="U76" s="8" t="inlineStr">
        <is>
          <t>Маршрут: пользователь снимает → лаборатория проявляет → отпечатки возвращаются.</t>
        </is>
      </c>
      <c r="V76" s="8" t="inlineStr">
        <is>
          <t>#PL008 #processing #photo-lab #Kodak-service #prints</t>
        </is>
      </c>
      <c r="W76" s="8" t="n"/>
      <c r="X76" s="8" t="inlineStr">
        <is>
          <t>43.1566, -77.6088</t>
        </is>
      </c>
      <c r="Y76" s="8" t="inlineStr">
        <is>
          <t>Snapshot-культура / сервисная обработка</t>
        </is>
      </c>
      <c r="Z76" s="8" t="inlineStr">
        <is>
          <t>Распространение / коммерциализация</t>
        </is>
      </c>
      <c r="AA76" s="8" t="n"/>
    </row>
    <row r="77" ht="17" customHeight="1" s="59">
      <c r="A77" s="8" t="inlineStr">
        <is>
          <t>PL-HIST-0076</t>
        </is>
      </c>
      <c r="B77" s="8" t="inlineStr">
        <is>
          <t>1900–1980-е</t>
        </is>
      </c>
      <c r="C77" s="8" t="inlineStr">
        <is>
          <t>диапазон</t>
        </is>
      </c>
      <c r="D77" s="8" t="inlineStr">
        <is>
          <t>США / Великобритания / глобально</t>
        </is>
      </c>
      <c r="E77" s="8" t="inlineStr">
        <is>
          <t>распределённый процесс</t>
        </is>
      </c>
      <c r="F77" s="8" t="inlineStr">
        <is>
          <t>Eastman Kodak / пользователи Brownie</t>
        </is>
      </c>
      <c r="G77" s="8" t="inlineStr">
        <is>
          <t>Линейка Brownie живёт десятилетиями и закрепляет образ простой камеры для всех.</t>
        </is>
      </c>
      <c r="H77" s="8" t="inlineStr">
        <is>
          <t>Негатив-позитив</t>
        </is>
      </c>
      <c r="I77" s="8" t="inlineStr">
        <is>
          <t>Brownie camera line</t>
        </is>
      </c>
      <c r="J77" s="8" t="inlineStr">
        <is>
          <t>Brownie становится не одиночной моделью, а длительной культурной идеей: простая камера, доступная широкой аудитории.</t>
        </is>
      </c>
      <c r="K77" s="8" t="inlineStr">
        <is>
          <t>Brownie No. 1 и ранняя массовая фотография</t>
        </is>
      </c>
      <c r="L77" s="8" t="inlineStr">
        <is>
          <t>Долгая традиция простых потребительских камер XX века</t>
        </is>
      </c>
      <c r="M77" s="8" t="inlineStr">
        <is>
          <t>Временная доминирующая линия</t>
        </is>
      </c>
      <c r="N77" s="8" t="n">
        <v>4</v>
      </c>
      <c r="O77" s="8" t="inlineStr">
        <is>
          <t>PL-008</t>
        </is>
      </c>
      <c r="P77" s="8" t="inlineStr">
        <is>
          <t>SRC-047</t>
        </is>
      </c>
      <c r="Q77" s="8" t="inlineStr">
        <is>
          <t>National Science and Media Museum — B is for Brownie</t>
        </is>
      </c>
      <c r="R77" s="8" t="inlineStr">
        <is>
          <t>https://blog.scienceandmediamuseum.org.uk/a-z-photography-collection-b-is-for-brownie/</t>
        </is>
      </c>
      <c r="S77" s="8" t="n">
        <v>4</v>
      </c>
      <c r="T77" s="8" t="inlineStr">
        <is>
          <t>Важно: Brownie — это не только камера 1900 года, а символ народной фотографии на десятилетия.</t>
        </is>
      </c>
      <c r="U77" s="8" t="inlineStr">
        <is>
          <t>Таймлайн с разными поколениями Brownie как одной длинной народной линии.</t>
        </is>
      </c>
      <c r="V77" s="8" t="inlineStr">
        <is>
          <t>#PL008 #Brownie #camera-line #consumer-cameras</t>
        </is>
      </c>
      <c r="W77" s="8" t="inlineStr">
        <is>
          <t>Уточнить конкретные годы производства отдельных моделей Brownie при расширении темы.</t>
        </is>
      </c>
      <c r="X77" s="8" t="n"/>
      <c r="Y77" s="8" t="inlineStr">
        <is>
          <t>Brownie / долгий жизненный цикл</t>
        </is>
      </c>
      <c r="Z77" s="8" t="inlineStr">
        <is>
          <t>Распространение / коммерциализация</t>
        </is>
      </c>
      <c r="AA77" s="8" t="n"/>
    </row>
    <row r="78" ht="17" customHeight="1" s="59">
      <c r="A78" s="8" t="inlineStr">
        <is>
          <t>PL-HIST-0077</t>
        </is>
      </c>
      <c r="B78" s="8" t="inlineStr">
        <is>
          <t>1888–1978</t>
        </is>
      </c>
      <c r="C78" s="8" t="inlineStr">
        <is>
          <t>диапазон</t>
        </is>
      </c>
      <c r="D78" s="8" t="inlineStr">
        <is>
          <t>США</t>
        </is>
      </c>
      <c r="E78" s="8" t="inlineStr">
        <is>
          <t>США / музейные коллекции</t>
        </is>
      </c>
      <c r="F78" s="8" t="inlineStr">
        <is>
          <t>Неизвестные фотографы / snapshot-архивы</t>
        </is>
      </c>
      <c r="G78" s="8" t="inlineStr">
        <is>
          <t>Массовые любительские снимки позже становятся историческим и культурным архивом повседневной жизни.</t>
        </is>
      </c>
      <c r="H78" s="8" t="inlineStr">
        <is>
          <t>Печать / тиражирование</t>
        </is>
      </c>
      <c r="I78" s="8" t="inlineStr">
        <is>
          <t>Vernacular photography / snapshot archive</t>
        </is>
      </c>
      <c r="J78" s="8" t="inlineStr">
        <is>
          <t>То, что начиналось как личные карточки «для себя», становится материалом для изучения общества, семьи, досуга и визуальной культуры.</t>
        </is>
      </c>
      <c r="K78" s="8" t="inlineStr">
        <is>
          <t>Kodak roll film и Brownie расширяют количество любительских снимков</t>
        </is>
      </c>
      <c r="L78" s="8" t="inlineStr">
        <is>
          <t>История vernacular photography и коллекционирование бытовых снимков</t>
        </is>
      </c>
      <c r="M78" s="8" t="inlineStr">
        <is>
          <t>Переходная технология</t>
        </is>
      </c>
      <c r="N78" s="8" t="n">
        <v>3</v>
      </c>
      <c r="O78" s="8" t="inlineStr">
        <is>
          <t>PL-008</t>
        </is>
      </c>
      <c r="P78" s="8" t="inlineStr">
        <is>
          <t>SRC-049</t>
        </is>
      </c>
      <c r="Q78" s="8" t="inlineStr">
        <is>
          <t>National Gallery of Art — The Art of the American Snapshot, 1888–1978</t>
        </is>
      </c>
      <c r="R78" s="8" t="inlineStr">
        <is>
          <t>https://www.nga.gov/exhibitions/art-american-snapshot-1888-1978-collection-robert-e-jackson</t>
        </is>
      </c>
      <c r="S78" s="8" t="n">
        <v>5</v>
      </c>
      <c r="T78" s="8" t="inlineStr">
        <is>
          <t>Смысл для начинающего: даже обычный семейный снимок со временем может стать историческим документом.</t>
        </is>
      </c>
      <c r="U78" s="8" t="inlineStr">
        <is>
          <t>Коробка старых снимков превращается в музейный архив.</t>
        </is>
      </c>
      <c r="V78" s="8" t="inlineStr">
        <is>
          <t>#PL008 #vernacular #snapshot-archive #museum #everyday-history</t>
        </is>
      </c>
      <c r="W78" s="8" t="n"/>
      <c r="X78" s="8" t="n"/>
      <c r="Y78" s="8" t="inlineStr">
        <is>
          <t>Snapshot-культура / культурный архив</t>
        </is>
      </c>
      <c r="Z78" s="8" t="inlineStr">
        <is>
          <t>Применение / жанр</t>
        </is>
      </c>
      <c r="AA78" s="8" t="n"/>
    </row>
    <row r="79" ht="17" customHeight="1" s="59">
      <c r="A79" s="8" t="inlineStr">
        <is>
          <t>PL-HIST-0078</t>
        </is>
      </c>
      <c r="B79" s="8" t="inlineStr">
        <is>
          <t>1913 / 1925</t>
        </is>
      </c>
      <c r="C79" s="8" t="inlineStr">
        <is>
          <t>диапазон</t>
        </is>
      </c>
      <c r="D79" s="8" t="inlineStr">
        <is>
          <t>Германия</t>
        </is>
      </c>
      <c r="E79" s="8" t="inlineStr">
        <is>
          <t>Вецлар / Лейпциг</t>
        </is>
      </c>
      <c r="F79" s="8" t="inlineStr">
        <is>
          <t>Оскар Барнак / Leica</t>
        </is>
      </c>
      <c r="G79" s="8" t="inlineStr">
        <is>
          <t>После массовых box-камер следующий большой вопрос — как сделать камеру компактной, быстрой и качественной; к этому ведёт линия 35 мм и Leica.</t>
        </is>
      </c>
      <c r="H79" s="8" t="inlineStr">
        <is>
          <t>Негатив-позитив</t>
        </is>
      </c>
      <c r="I79" s="8" t="inlineStr">
        <is>
          <t>Bridge to 35mm miniature photography</t>
        </is>
      </c>
      <c r="J79" s="8" t="inlineStr">
        <is>
          <t>Фотография уже стала массовой, но следующий этап — сделать маленькую камеру серьёзным инструментом для живой съёмки.</t>
        </is>
      </c>
      <c r="K79" s="8" t="inlineStr">
        <is>
          <t>Brownie и snapshot-культура показывают силу простой камеры</t>
        </is>
      </c>
      <c r="L79" s="8" t="inlineStr">
        <is>
          <t>PL-009: 35 мм, Leica и новая мобильность фотографа</t>
        </is>
      </c>
      <c r="M79" s="8" t="inlineStr">
        <is>
          <t>Связь / переход</t>
        </is>
      </c>
      <c r="N79" s="8" t="n">
        <v>5</v>
      </c>
      <c r="O79" s="8" t="inlineStr">
        <is>
          <t>PL-008</t>
        </is>
      </c>
      <c r="P79" s="8" t="inlineStr">
        <is>
          <t>SRC-051</t>
        </is>
      </c>
      <c r="Q79" s="8" t="inlineStr">
        <is>
          <t>Smithsonian NMAH — Leica 35 mm 1(A) Camera</t>
        </is>
      </c>
      <c r="R79" s="8" t="inlineStr">
        <is>
          <t>https://americanhistory.si.edu/collections/object/nmah_834692</t>
        </is>
      </c>
      <c r="S79" s="8" t="n">
        <v>5</v>
      </c>
      <c r="T79" s="8" t="inlineStr">
        <is>
          <t>Это мост к PL-009: после «камеры для всех» появится идея компактной камеры для быстрой и качественной фотографии.</t>
        </is>
      </c>
      <c r="U79" s="8" t="inlineStr">
        <is>
          <t>Линия от коробочной Brownie к маленькой 35-мм камере Leica.</t>
        </is>
      </c>
      <c r="V79" s="8" t="inlineStr">
        <is>
          <t>#PL008 #bridge #Leica #35mm #future-PL</t>
        </is>
      </c>
      <c r="W79" s="8" t="inlineStr">
        <is>
          <t>При заполнении PL-009 уточнить отдельно Ur-Leica 1913, Leica I 1925 и роль 35-мм кино-плёнки.</t>
        </is>
      </c>
      <c r="X79" s="8" t="inlineStr">
        <is>
          <t>50.5619, 8.5044</t>
        </is>
      </c>
      <c r="Y79" s="8" t="inlineStr">
        <is>
          <t>Brownie / мост к 35 мм</t>
        </is>
      </c>
      <c r="Z79" s="8" t="inlineStr">
        <is>
          <t>Связь / переход</t>
        </is>
      </c>
      <c r="AA79" s="8" t="n"/>
    </row>
    <row r="80" ht="17" customHeight="1" s="59">
      <c r="A80" s="62" t="inlineStr">
        <is>
          <t>PL-HIST-0079</t>
        </is>
      </c>
      <c r="B80" s="62" t="inlineStr">
        <is>
          <t>1889</t>
        </is>
      </c>
      <c r="C80" s="62" t="inlineStr">
        <is>
          <t>год</t>
        </is>
      </c>
      <c r="D80" s="62" t="inlineStr">
        <is>
          <t>США</t>
        </is>
      </c>
      <c r="E80" s="62" t="inlineStr">
        <is>
          <t>Рочестер, Нью-Йорк</t>
        </is>
      </c>
      <c r="F80" s="62" t="inlineStr">
        <is>
          <t>Джордж Истмен / Eastman Kodak</t>
        </is>
      </c>
      <c r="G80" s="62" t="inlineStr">
        <is>
          <t>Промышленная прозрачная рулонная плёнка Eastman создаёт гибкий носитель, из которого вскоре вырастет киноформат 35 мм.</t>
        </is>
      </c>
      <c r="H80" s="62" t="inlineStr">
        <is>
          <t>Негатив-позитив</t>
        </is>
      </c>
      <c r="I80" s="62" t="inlineStr">
        <is>
          <t>Transparent roll film</t>
        </is>
      </c>
      <c r="J80" s="62" t="inlineStr">
        <is>
          <t>Плёнка становится не только альтернативой стеклянной пластине, но и материалом для длинной последовательности кадров.</t>
        </is>
      </c>
      <c r="K80" s="62" t="inlineStr">
        <is>
          <t>Рулонная плёнка Kodak 1888–1889</t>
        </is>
      </c>
      <c r="L80" s="62" t="inlineStr">
        <is>
          <t>Edison/Dickson use flexible film for motion-picture camera</t>
        </is>
      </c>
      <c r="M80" s="62" t="inlineStr">
        <is>
          <t>Связь / переход</t>
        </is>
      </c>
      <c r="N80" s="62" t="n">
        <v>5</v>
      </c>
      <c r="O80" s="62" t="inlineStr">
        <is>
          <t>PL-009</t>
        </is>
      </c>
      <c r="P80" s="62" t="inlineStr">
        <is>
          <t>SRC-052</t>
        </is>
      </c>
      <c r="Q80" s="62" t="inlineStr">
        <is>
          <t>Kodak — Motion Picture History</t>
        </is>
      </c>
      <c r="R80" s="62" t="inlineStr">
        <is>
          <t>https://www.kodak.com/en/company/page/motion-picture-history/</t>
        </is>
      </c>
      <c r="S80" s="62" t="n">
        <v>5</v>
      </c>
      <c r="T80" s="62" t="inlineStr">
        <is>
          <t>Для PL-009 важно показать: 35 мм родился не сразу как фотоплёнка для фотоаппарата, а через кинематографический носитель.</t>
        </is>
      </c>
      <c r="U80" s="62" t="inlineStr">
        <is>
          <t>Рулон прозрачной плёнки превращается в длинную дорожку кадров.</t>
        </is>
      </c>
      <c r="V80" s="62" t="inlineStr">
        <is>
          <t>#PL009 #35mm #transparent-film #Eastman #cinema-roots</t>
        </is>
      </c>
      <c r="W80" s="62" t="n"/>
      <c r="X80" s="62" t="inlineStr">
        <is>
          <t>43.1566, -77.6088</t>
        </is>
      </c>
      <c r="Y80" s="62" t="inlineStr">
        <is>
          <t>35 мм / прозрачная рулонная плёнка</t>
        </is>
      </c>
      <c r="Z80" s="62" t="inlineStr">
        <is>
          <t>Связь / переход</t>
        </is>
      </c>
      <c r="AA80" s="62" t="n"/>
    </row>
    <row r="81" ht="17" customHeight="1" s="59">
      <c r="A81" s="62" t="inlineStr">
        <is>
          <t>PL-HIST-0080</t>
        </is>
      </c>
      <c r="B81" s="62" t="inlineStr">
        <is>
          <t>1891</t>
        </is>
      </c>
      <c r="C81" s="62" t="inlineStr">
        <is>
          <t>год</t>
        </is>
      </c>
      <c r="D81" s="62" t="inlineStr">
        <is>
          <t>США</t>
        </is>
      </c>
      <c r="E81" s="62" t="inlineStr">
        <is>
          <t>Вест-Ориндж, Нью-Джерси</t>
        </is>
      </c>
      <c r="F81" s="62" t="inlineStr">
        <is>
          <t>Томас Эдисон / Уильям К. Л. Диксон</t>
        </is>
      </c>
      <c r="G81" s="62" t="inlineStr">
        <is>
          <t>В лаборатории Эдисона разрабатываются Kinetograph и Kinetoscope; в патентной логике ширина плёнки фиксируется как 35 мм.</t>
        </is>
      </c>
      <c r="H81" s="62" t="inlineStr">
        <is>
          <t>Проекция / распространение</t>
        </is>
      </c>
      <c r="I81" s="62" t="inlineStr">
        <is>
          <t>Kinetograph / Kinetoscope 35 mm film</t>
        </is>
      </c>
      <c r="J81" s="62" t="inlineStr">
        <is>
          <t>35 мм начинает работать как практический формат для записи и показа движущегося изображения.</t>
        </is>
      </c>
      <c r="K81" s="62" t="inlineStr">
        <is>
          <t>Прозрачная рулонная плёнка Eastman</t>
        </is>
      </c>
      <c r="L81" s="62" t="inlineStr">
        <is>
          <t>35 мм закрепляется в кино как рабочий стандарт</t>
        </is>
      </c>
      <c r="M81" s="62" t="inlineStr">
        <is>
          <t>Главная линия</t>
        </is>
      </c>
      <c r="N81" s="62" t="n">
        <v>5</v>
      </c>
      <c r="O81" s="62" t="inlineStr">
        <is>
          <t>PL-009</t>
        </is>
      </c>
      <c r="P81" s="62" t="inlineStr">
        <is>
          <t>SRC-053</t>
        </is>
      </c>
      <c r="Q81" s="62" t="inlineStr">
        <is>
          <t>Library of Congress — Origins of Motion Pictures</t>
        </is>
      </c>
      <c r="R81" s="62" t="inlineStr">
        <is>
          <t>https://www.loc.gov/collections/edison-company-motion-pictures-and-sound-recordings/articles-and-essays/history-of-edison-motion-pictures/origins-of-motion-pictures/</t>
        </is>
      </c>
      <c r="S81" s="62" t="n">
        <v>5</v>
      </c>
      <c r="T81" s="62" t="inlineStr">
        <is>
          <t>Объяснить аккуратно: это ещё не фотоаппарат Leica, а кинематографический стандарт, который позже будет переосмыслен фотографией.</t>
        </is>
      </c>
      <c r="U81" s="62" t="inlineStr">
        <is>
          <t>Лаборатория Эдисона: лента плёнки проходит через механизм с перфорацией.</t>
        </is>
      </c>
      <c r="V81" s="62" t="inlineStr">
        <is>
          <t>#PL009 #Edison #Dickson #Kinetograph #35mm</t>
        </is>
      </c>
      <c r="W81" s="62" t="n"/>
      <c r="X81" s="62" t="inlineStr">
        <is>
          <t>40.7987, -74.2390</t>
        </is>
      </c>
      <c r="Y81" s="62" t="inlineStr">
        <is>
          <t>35 мм / киноистоки</t>
        </is>
      </c>
      <c r="Z81" s="62" t="inlineStr">
        <is>
          <t>Технология / процесс</t>
        </is>
      </c>
      <c r="AA81" s="62" t="n"/>
    </row>
    <row r="82" ht="17" customHeight="1" s="59">
      <c r="A82" s="62" t="inlineStr">
        <is>
          <t>PL-HIST-0081</t>
        </is>
      </c>
      <c r="B82" s="62" t="inlineStr">
        <is>
          <t>1890-е</t>
        </is>
      </c>
      <c r="C82" s="62" t="inlineStr">
        <is>
          <t>диапазон</t>
        </is>
      </c>
      <c r="D82" s="62" t="inlineStr">
        <is>
          <t>США</t>
        </is>
      </c>
      <c r="E82" s="62" t="inlineStr">
        <is>
          <t>Вест-Ориндж, Нью-Джерси</t>
        </is>
      </c>
      <c r="F82" s="62" t="inlineStr">
        <is>
          <t>Уильям К. Л. Диксон / Kodak</t>
        </is>
      </c>
      <c r="G82" s="62" t="inlineStr">
        <is>
          <t>Диксон использует прозрачную плёнку Kodak шириной 70 мм, разрезает её пополам до 35 мм и перфорирует для Edison Kinetoscope.</t>
        </is>
      </c>
      <c r="H82" s="62" t="inlineStr">
        <is>
          <t>Проекция / распространение</t>
        </is>
      </c>
      <c r="I82" s="62" t="inlineStr">
        <is>
          <t>35 mm perforated motion-picture film</t>
        </is>
      </c>
      <c r="J82" s="62" t="inlineStr">
        <is>
          <t>Появляется физическая логика формата: узкая гибкая лента, перфорация, кадры, механическая протяжка.</t>
        </is>
      </c>
      <c r="K82" s="62" t="inlineStr">
        <is>
          <t>Transparent Kodak film</t>
        </is>
      </c>
      <c r="L82" s="62" t="inlineStr">
        <is>
          <t>International 35 mm motion-picture practice</t>
        </is>
      </c>
      <c r="M82" s="62" t="inlineStr">
        <is>
          <t>Главная линия</t>
        </is>
      </c>
      <c r="N82" s="62" t="n">
        <v>5</v>
      </c>
      <c r="O82" s="62" t="inlineStr">
        <is>
          <t>PL-009</t>
        </is>
      </c>
      <c r="P82" s="62" t="inlineStr">
        <is>
          <t>SRC-054</t>
        </is>
      </c>
      <c r="Q82" s="62" t="inlineStr">
        <is>
          <t>George Eastman Museum — Early Kodak transparent film</t>
        </is>
      </c>
      <c r="R82" s="62" t="inlineStr">
        <is>
          <t>https://www.eastman.org/two-rare-rolls-early-kodak-film-acquired-george-eastman-museum</t>
        </is>
      </c>
      <c r="S82" s="62" t="n">
        <v>5</v>
      </c>
      <c r="T82" s="62" t="inlineStr">
        <is>
          <t>Это красивый узел для карты: 70 мм делится пополам — и рождается 35-мм дорожка.</t>
        </is>
      </c>
      <c r="U82" s="62" t="inlineStr">
        <is>
          <t>70-мм рулон плёнки разрезан на две 35-мм ленты с перфорацией.</t>
        </is>
      </c>
      <c r="V82" s="62" t="inlineStr">
        <is>
          <t>#PL009 #Dickson #Kodak #perforation #35mm-film</t>
        </is>
      </c>
      <c r="W82" s="62" t="inlineStr">
        <is>
          <t>Проверить формулировку периода: точный год разрезания 70 мм на 35 мм в разных источниках может отличаться.</t>
        </is>
      </c>
      <c r="X82" s="62" t="inlineStr">
        <is>
          <t>40.7987, -74.2390</t>
        </is>
      </c>
      <c r="Y82" s="62" t="inlineStr">
        <is>
          <t>35 мм / ширина и перфорация</t>
        </is>
      </c>
      <c r="Z82" s="62" t="inlineStr">
        <is>
          <t>Ключевой исторический узел</t>
        </is>
      </c>
      <c r="AA82" s="62" t="n"/>
    </row>
    <row r="83" ht="17" customHeight="1" s="59">
      <c r="A83" s="62" t="inlineStr">
        <is>
          <t>PL-HIST-0082</t>
        </is>
      </c>
      <c r="B83" s="62" t="inlineStr">
        <is>
          <t>1893–1894</t>
        </is>
      </c>
      <c r="C83" s="62" t="inlineStr">
        <is>
          <t>диапазон</t>
        </is>
      </c>
      <c r="D83" s="62" t="inlineStr">
        <is>
          <t>США</t>
        </is>
      </c>
      <c r="E83" s="62" t="inlineStr">
        <is>
          <t>Вест-Ориндж / Нью-Йорк</t>
        </is>
      </c>
      <c r="F83" s="62" t="inlineStr">
        <is>
          <t>Edison Manufacturing Company / зрители Kinetoscope</t>
        </is>
      </c>
      <c r="G83" s="62" t="inlineStr">
        <is>
          <t>Kinetoscope показывает движущиеся изображения на 35-мм перфорированной плёнке и превращает формат в публичный медианоситель.</t>
        </is>
      </c>
      <c r="H83" s="62" t="inlineStr">
        <is>
          <t>Проекция / распространение</t>
        </is>
      </c>
      <c r="I83" s="62" t="inlineStr">
        <is>
          <t>35 mm Kinetoscope viewing</t>
        </is>
      </c>
      <c r="J83" s="62" t="inlineStr">
        <is>
          <t>35 мм становится не лабораторной пробой, а частью публичной визуальной культуры.</t>
        </is>
      </c>
      <c r="K83" s="62" t="inlineStr">
        <is>
          <t>Kinetograph and perforated 35 mm film</t>
        </is>
      </c>
      <c r="L83" s="62" t="inlineStr">
        <is>
          <t>Dominance of 35 mm motion-picture projection and production</t>
        </is>
      </c>
      <c r="M83" s="62" t="inlineStr">
        <is>
          <t>Главная линия / временная доминирующая линия</t>
        </is>
      </c>
      <c r="N83" s="62" t="n">
        <v>4</v>
      </c>
      <c r="O83" s="62" t="inlineStr">
        <is>
          <t>PL-009</t>
        </is>
      </c>
      <c r="P83" s="62" t="inlineStr">
        <is>
          <t>SRC-055</t>
        </is>
      </c>
      <c r="Q83" s="62" t="inlineStr">
        <is>
          <t>George Eastman Museum — Kinetoscope</t>
        </is>
      </c>
      <c r="R83" s="62" t="inlineStr">
        <is>
          <t>https://collections.eastman.org/objects/78087/kinetoscope</t>
        </is>
      </c>
      <c r="S83" s="62" t="n">
        <v>5</v>
      </c>
      <c r="T83" s="62" t="inlineStr">
        <is>
          <t>Новичку важно: до Leica 35 мм уже был массовым форматом движения и развлечения.</t>
        </is>
      </c>
      <c r="U83" s="62" t="inlineStr">
        <is>
          <t>Аппарат Kinetoscope с лентой 35 мм внутри и зрителем у окуляра.</t>
        </is>
      </c>
      <c r="V83" s="62" t="inlineStr">
        <is>
          <t>#PL009 #Kinetoscope #cinema #35mm #public-viewing</t>
        </is>
      </c>
      <c r="W83" s="62" t="n"/>
      <c r="X83" s="62" t="inlineStr">
        <is>
          <t>40.7128, -74.0060</t>
        </is>
      </c>
      <c r="Y83" s="62" t="inlineStr">
        <is>
          <t>35 мм / Kinetoscope</t>
        </is>
      </c>
      <c r="Z83" s="62" t="inlineStr">
        <is>
          <t>Распространение / коммерциализация</t>
        </is>
      </c>
      <c r="AA83" s="62" t="n"/>
    </row>
    <row r="84" ht="17" customHeight="1" s="59">
      <c r="A84" s="62" t="inlineStr">
        <is>
          <t>PL-HIST-0083</t>
        </is>
      </c>
      <c r="B84" s="62" t="inlineStr">
        <is>
          <t>1908–1909</t>
        </is>
      </c>
      <c r="C84" s="62" t="inlineStr">
        <is>
          <t>диапазон</t>
        </is>
      </c>
      <c r="D84" s="62" t="inlineStr">
        <is>
          <t>международный процесс</t>
        </is>
      </c>
      <c r="E84" s="62" t="inlineStr">
        <is>
          <t>США / Европа</t>
        </is>
      </c>
      <c r="F84" s="62" t="inlineStr">
        <is>
          <t>Киноиндустрия / MPPC / производители оборудования</t>
        </is>
      </c>
      <c r="G84" s="62" t="inlineStr">
        <is>
          <t>35-мм киноплёнка с четырьмя перфорациями на кадр фактически закрепляется как международный производственный и прокатный стандарт.</t>
        </is>
      </c>
      <c r="H84" s="62" t="inlineStr">
        <is>
          <t>Проекция / распространение</t>
        </is>
      </c>
      <c r="I84" s="62" t="inlineStr">
        <is>
          <t>35 mm motion-picture standard</t>
        </is>
      </c>
      <c r="J84" s="62" t="inlineStr">
        <is>
          <t>Стандартизация делает формат удобным для индустрии: камеры, проекторы, лаборатории и прокат начинают говорить на одном техническом языке.</t>
        </is>
      </c>
      <c r="K84" s="62" t="inlineStr">
        <is>
          <t>Edison/Dickson 35 mm practice</t>
        </is>
      </c>
      <c r="L84" s="62" t="inlineStr">
        <is>
          <t>35 mm cine film becomes available for still-camera reinterpretation</t>
        </is>
      </c>
      <c r="M84" s="62" t="inlineStr">
        <is>
          <t>Главная линия / временная доминирующая линия</t>
        </is>
      </c>
      <c r="N84" s="62" t="n">
        <v>4</v>
      </c>
      <c r="O84" s="62" t="inlineStr">
        <is>
          <t>PL-009</t>
        </is>
      </c>
      <c r="P84" s="62" t="inlineStr">
        <is>
          <t>SRC-056</t>
        </is>
      </c>
      <c r="Q84" s="62" t="inlineStr">
        <is>
          <t>SMPTE Journal — The Origins of 35mm Film as a Standard</t>
        </is>
      </c>
      <c r="R84" s="62" t="inlineStr">
        <is>
          <t>https://journal.smpte.org/periodicals/SMPTE%20Journal/99/8/22/</t>
        </is>
      </c>
      <c r="S84" s="62" t="n">
        <v>4</v>
      </c>
      <c r="T84" s="62" t="inlineStr">
        <is>
          <t>Это узел про стандарт: когда формат становится общим языком, его легче взять и переосмыслить в фотографии.</t>
        </is>
      </c>
      <c r="U84" s="62" t="inlineStr">
        <is>
          <t>Схема: камера → плёнка 35 мм → проектор → общий стандарт.</t>
        </is>
      </c>
      <c r="V84" s="62" t="inlineStr">
        <is>
          <t>#PL009 #35mm-standard #cinema #SMPTE #MPPC</t>
        </is>
      </c>
      <c r="W84" s="62" t="inlineStr">
        <is>
          <t>Проверить детали 1908–1909 и роль MPPC при финальной редакции лекции.</t>
        </is>
      </c>
      <c r="X84" s="62" t="n"/>
      <c r="Y84" s="62" t="inlineStr">
        <is>
          <t>35 мм / международный стандарт</t>
        </is>
      </c>
      <c r="Z84" s="62" t="inlineStr">
        <is>
          <t>Ключевой исторический узел</t>
        </is>
      </c>
      <c r="AA84" s="62" t="n"/>
    </row>
    <row r="85" ht="17" customHeight="1" s="59">
      <c r="A85" s="62" t="inlineStr">
        <is>
          <t>PL-HIST-0084</t>
        </is>
      </c>
      <c r="B85" s="62" t="inlineStr">
        <is>
          <t>1913–1914</t>
        </is>
      </c>
      <c r="C85" s="62" t="inlineStr">
        <is>
          <t>диапазон</t>
        </is>
      </c>
      <c r="D85" s="62" t="inlineStr">
        <is>
          <t>Германия</t>
        </is>
      </c>
      <c r="E85" s="62" t="inlineStr">
        <is>
          <t>Вецлар</t>
        </is>
      </c>
      <c r="F85" s="62" t="inlineStr">
        <is>
          <t>Оскар Барнак / Ernst Leitz</t>
        </is>
      </c>
      <c r="G85" s="62" t="inlineStr">
        <is>
          <t>Оскар Барнак создаёт прототип Ur-Leica: поворачивает 35-мм киноплёнку в горизонтальную ориентацию и получает кадр 24×36 мм.</t>
        </is>
      </c>
      <c r="H85" s="62" t="inlineStr">
        <is>
          <t>Негатив-позитив</t>
        </is>
      </c>
      <c r="I85" s="62" t="inlineStr">
        <is>
          <t>24×36 mm still frame on 35 mm film</t>
        </is>
      </c>
      <c r="J85" s="62" t="inlineStr">
        <is>
          <t>Киноноситель становится фотографическим форматом: маленький негатив можно увеличить до полноценного отпечатка.</t>
        </is>
      </c>
      <c r="K85" s="62" t="inlineStr">
        <is>
          <t>35 mm motion-picture standard</t>
        </is>
      </c>
      <c r="L85" s="62" t="inlineStr">
        <is>
          <t>Leica I and small-format photography</t>
        </is>
      </c>
      <c r="M85" s="62" t="inlineStr">
        <is>
          <t>Главная линия</t>
        </is>
      </c>
      <c r="N85" s="62" t="n">
        <v>5</v>
      </c>
      <c r="O85" s="62" t="inlineStr">
        <is>
          <t>PL-009</t>
        </is>
      </c>
      <c r="P85" s="62" t="inlineStr">
        <is>
          <t>SRC-057</t>
        </is>
      </c>
      <c r="Q85" s="62" t="inlineStr">
        <is>
          <t>Leica Timeline — 1914</t>
        </is>
      </c>
      <c r="R85" s="62" t="inlineStr">
        <is>
          <t>https://timeline.leica-camera.com/en-US/years/1914</t>
        </is>
      </c>
      <c r="S85" s="62" t="n">
        <v>5</v>
      </c>
      <c r="T85" s="62" t="inlineStr">
        <is>
          <t>Главная идея PL-009: не просто плёнка 35 мм, а поворот мышления — киноформат превращают в компактную фотографическую систему.</t>
        </is>
      </c>
      <c r="U85" s="62" t="inlineStr">
        <is>
          <t>35-мм кинолента поворачивается горизонтально; появляется прямоугольник 24×36.</t>
        </is>
      </c>
      <c r="V85" s="62" t="inlineStr">
        <is>
          <t>#PL009 #Ur-Leica #Oskar-Barnack #24x36 #35mm</t>
        </is>
      </c>
      <c r="W85" s="62" t="n"/>
      <c r="X85" s="62" t="inlineStr">
        <is>
          <t>50.5619, 8.5044</t>
        </is>
      </c>
      <c r="Y85" s="62" t="inlineStr">
        <is>
          <t>35 мм / 24×36</t>
        </is>
      </c>
      <c r="Z85" s="62" t="inlineStr">
        <is>
          <t>Ключевой исторический узел</t>
        </is>
      </c>
      <c r="AA85" s="62" t="inlineStr">
        <is>
          <t>да</t>
        </is>
      </c>
    </row>
    <row r="86" ht="17" customHeight="1" s="59">
      <c r="A86" s="62" t="inlineStr">
        <is>
          <t>PL-HIST-0085</t>
        </is>
      </c>
      <c r="B86" s="62" t="inlineStr">
        <is>
          <t>1920</t>
        </is>
      </c>
      <c r="C86" s="62" t="inlineStr">
        <is>
          <t>год</t>
        </is>
      </c>
      <c r="D86" s="62" t="inlineStr">
        <is>
          <t>Германия</t>
        </is>
      </c>
      <c r="E86" s="62" t="inlineStr">
        <is>
          <t>Вецлар</t>
        </is>
      </c>
      <c r="F86" s="62" t="inlineStr">
        <is>
          <t>Оскар Барнак</t>
        </is>
      </c>
      <c r="G86" s="62" t="inlineStr">
        <is>
          <t>Барнак снимает на прототип Leica наводнение в Вецларе; серия часто рассматривается как ранний пример 35-мм репортажной фотографии.</t>
        </is>
      </c>
      <c r="H86" s="62" t="inlineStr">
        <is>
          <t>Негатив-позитив</t>
        </is>
      </c>
      <c r="I86" s="62" t="inlineStr">
        <is>
          <t>35 mm reportage series</t>
        </is>
      </c>
      <c r="J86" s="62" t="inlineStr">
        <is>
          <t>Компактная камера показывает свою силу: фотограф может быть ближе к событию и двигаться быстрее.</t>
        </is>
      </c>
      <c r="K86" s="62" t="inlineStr">
        <is>
          <t>Ur-Leica prototype and 24×36 format</t>
        </is>
      </c>
      <c r="L86" s="62" t="inlineStr">
        <is>
          <t>Small camera becomes tool for reportage and street photography</t>
        </is>
      </c>
      <c r="M86" s="62" t="inlineStr">
        <is>
          <t>Переходная технология</t>
        </is>
      </c>
      <c r="N86" s="62" t="n">
        <v>4</v>
      </c>
      <c r="O86" s="62" t="inlineStr">
        <is>
          <t>PL-009</t>
        </is>
      </c>
      <c r="P86" s="62" t="inlineStr">
        <is>
          <t>SRC-058</t>
        </is>
      </c>
      <c r="Q86" s="62" t="inlineStr">
        <is>
          <t>Leica Oskar Barnack Award — Oskar Barnack</t>
        </is>
      </c>
      <c r="R86" s="62" t="inlineStr">
        <is>
          <t>https://www.leica-oskar-barnack-award.com/en/information/oskar-barnack.html</t>
        </is>
      </c>
      <c r="S86" s="62" t="n">
        <v>5</v>
      </c>
      <c r="T86" s="62" t="inlineStr">
        <is>
          <t>Важно для storytelling: 35 мм меняет не только технику, но и поведение фотографа — он становится мобильным наблюдателем.</t>
        </is>
      </c>
      <c r="U86" s="62" t="inlineStr">
        <is>
          <t>Фотограф с маленькой камерой среди реального события, не в студии.</t>
        </is>
      </c>
      <c r="V86" s="62" t="inlineStr">
        <is>
          <t>#PL009 #reportage #Barnack #Wetzlar #35mm</t>
        </is>
      </c>
      <c r="W86" s="62" t="n"/>
      <c r="X86" s="62" t="inlineStr">
        <is>
          <t>50.5619, 8.5044</t>
        </is>
      </c>
      <c r="Y86" s="62" t="inlineStr">
        <is>
          <t>35 мм / репортажность</t>
        </is>
      </c>
      <c r="Z86" s="62" t="inlineStr">
        <is>
          <t>Применение / жанр</t>
        </is>
      </c>
      <c r="AA86" s="62" t="n"/>
    </row>
    <row r="87" ht="17" customHeight="1" s="59">
      <c r="A87" s="62" t="inlineStr">
        <is>
          <t>PL-HIST-0086</t>
        </is>
      </c>
      <c r="B87" s="62" t="inlineStr">
        <is>
          <t>1924 / 1925</t>
        </is>
      </c>
      <c r="C87" s="62" t="inlineStr">
        <is>
          <t>диапазон</t>
        </is>
      </c>
      <c r="D87" s="62" t="inlineStr">
        <is>
          <t>Германия</t>
        </is>
      </c>
      <c r="E87" s="62" t="inlineStr">
        <is>
          <t>Вецлар / Лейпциг</t>
        </is>
      </c>
      <c r="F87" s="62" t="inlineStr">
        <is>
          <t>Oskar Barnack / Ernst Leitz</t>
        </is>
      </c>
      <c r="G87" s="62" t="inlineStr">
        <is>
          <t>Leica 1(A), разработанная Барнаком, объявлена в 1924 году и продаётся с 1925 года; она популяризирует 35-мм фотографию.</t>
        </is>
      </c>
      <c r="H87" s="62" t="inlineStr">
        <is>
          <t>Оптические инструменты</t>
        </is>
      </c>
      <c r="I87" s="62" t="inlineStr">
        <is>
          <t>Leica 1(A) 35 mm camera</t>
        </is>
      </c>
      <c r="J87" s="62" t="inlineStr">
        <is>
          <t>35 мм выходит из экспериментального прототипа в коммерческую фотографическую практику.</t>
        </is>
      </c>
      <c r="K87" s="62" t="inlineStr">
        <is>
          <t>Ur-Leica and 24×36 format</t>
        </is>
      </c>
      <c r="L87" s="62" t="inlineStr">
        <is>
          <t>Leica I as the next dedicated lesson PL-010</t>
        </is>
      </c>
      <c r="M87" s="62" t="inlineStr">
        <is>
          <t>Главная линия</t>
        </is>
      </c>
      <c r="N87" s="62" t="n">
        <v>5</v>
      </c>
      <c r="O87" s="62" t="inlineStr">
        <is>
          <t>PL-009</t>
        </is>
      </c>
      <c r="P87" s="62" t="inlineStr">
        <is>
          <t>SRC-059</t>
        </is>
      </c>
      <c r="Q87" s="62" t="inlineStr">
        <is>
          <t>Smithsonian NMAH — Leica 35 mm 1(A) Camera</t>
        </is>
      </c>
      <c r="R87" s="62" t="inlineStr">
        <is>
          <t>https://americanhistory.si.edu/collections/object/nmah_834692</t>
        </is>
      </c>
      <c r="S87" s="62" t="n">
        <v>5</v>
      </c>
      <c r="T87" s="62" t="inlineStr">
        <is>
          <t>Этот узел — мост к PL-010: в PL-009 объясняем формат, в PL-010 подробно разбираем Leica I.</t>
        </is>
      </c>
      <c r="U87" s="62" t="inlineStr">
        <is>
          <t>Маленькая Leica рядом с тяжёлой старой камерой: формат меняет масштаб фотографии.</t>
        </is>
      </c>
      <c r="V87" s="62" t="inlineStr">
        <is>
          <t>#PL009 #Leica #Leica1A #35mm #Barnack</t>
        </is>
      </c>
      <c r="W87" s="62" t="n"/>
      <c r="X87" s="62" t="inlineStr">
        <is>
          <t>51.3397, 12.3731</t>
        </is>
      </c>
      <c r="Y87" s="62" t="inlineStr">
        <is>
          <t>35 мм / коммерциализация Leica</t>
        </is>
      </c>
      <c r="Z87" s="62" t="inlineStr">
        <is>
          <t>Инструмент / устройство</t>
        </is>
      </c>
      <c r="AA87" s="62" t="n"/>
    </row>
    <row r="88" ht="17" customHeight="1" s="59">
      <c r="A88" s="62" t="inlineStr">
        <is>
          <t>PL-HIST-0087</t>
        </is>
      </c>
      <c r="B88" s="62" t="inlineStr">
        <is>
          <t>1925</t>
        </is>
      </c>
      <c r="C88" s="62" t="inlineStr">
        <is>
          <t>год</t>
        </is>
      </c>
      <c r="D88" s="62" t="inlineStr">
        <is>
          <t>Германия</t>
        </is>
      </c>
      <c r="E88" s="62" t="inlineStr">
        <is>
          <t>Лейпциг</t>
        </is>
      </c>
      <c r="F88" s="62" t="inlineStr">
        <is>
          <t>Ernst Leitz / Leica</t>
        </is>
      </c>
      <c r="G88" s="62" t="inlineStr">
        <is>
          <t>Leica I дебютирует на Лейпцигской весенней ярмарке как первая серийная 35-мм камера Leitz.</t>
        </is>
      </c>
      <c r="H88" s="62" t="inlineStr">
        <is>
          <t>Оптические инструменты</t>
        </is>
      </c>
      <c r="I88" s="62" t="inlineStr">
        <is>
          <t>Leica I serial production</t>
        </is>
      </c>
      <c r="J88" s="62" t="inlineStr">
        <is>
          <t>Компактная камера становится серьёзным фотографическим инструментом, а не игрушкой или лабораторной пробой.</t>
        </is>
      </c>
      <c r="K88" s="62" t="inlineStr">
        <is>
          <t>Commercial Leica 1(A) launch</t>
        </is>
      </c>
      <c r="L88" s="62" t="inlineStr">
        <is>
          <t>PL-010: Leica I and the new language of photography</t>
        </is>
      </c>
      <c r="M88" s="62" t="inlineStr">
        <is>
          <t>Переходная технология</t>
        </is>
      </c>
      <c r="N88" s="62" t="n">
        <v>5</v>
      </c>
      <c r="O88" s="62" t="inlineStr">
        <is>
          <t>PL-009</t>
        </is>
      </c>
      <c r="P88" s="62" t="inlineStr">
        <is>
          <t>SRC-060</t>
        </is>
      </c>
      <c r="Q88" s="62" t="inlineStr">
        <is>
          <t>Leica Timeline — 1925</t>
        </is>
      </c>
      <c r="R88" s="62" t="inlineStr">
        <is>
          <t>https://timeline.leica-camera.com/en/years/1925</t>
        </is>
      </c>
      <c r="S88" s="62" t="n">
        <v>5</v>
      </c>
      <c r="T88" s="62" t="inlineStr">
        <is>
          <t>Оставить как переход: это событие нужно не раскрывать полностью, а открыть дверь в PL-010.</t>
        </is>
      </c>
      <c r="U88" s="62" t="inlineStr">
        <is>
          <t>Ярмарочная витрина Leica I как вход в следующий урок.</t>
        </is>
      </c>
      <c r="V88" s="62" t="inlineStr">
        <is>
          <t>#PL009 #LeicaI #Leipzig #small-format #future-PL010</t>
        </is>
      </c>
      <c r="W88" s="62" t="inlineStr">
        <is>
          <t>Не дублировать слишком подробно с PL-010: здесь только мост к следующему уроку.</t>
        </is>
      </c>
      <c r="X88" s="62" t="inlineStr">
        <is>
          <t>51.3397, 12.3731</t>
        </is>
      </c>
      <c r="Y88" s="62" t="inlineStr">
        <is>
          <t>35 мм / мост к Leica I</t>
        </is>
      </c>
      <c r="Z88" s="62" t="inlineStr">
        <is>
          <t>Связь / переход</t>
        </is>
      </c>
      <c r="AA88" s="62" t="n"/>
    </row>
    <row r="89" ht="17" customHeight="1" s="59">
      <c r="A89" s="62" t="inlineStr">
        <is>
          <t>PL-HIST-0088</t>
        </is>
      </c>
      <c r="B89" s="62" t="inlineStr">
        <is>
          <t>1934</t>
        </is>
      </c>
      <c r="C89" s="62" t="inlineStr">
        <is>
          <t>год</t>
        </is>
      </c>
      <c r="D89" s="62" t="inlineStr">
        <is>
          <t>Германия</t>
        </is>
      </c>
      <c r="E89" s="62" t="inlineStr">
        <is>
          <t>Штутгарт</t>
        </is>
      </c>
      <c r="F89" s="62" t="inlineStr">
        <is>
          <t>Kodak AG / Kodak Retina</t>
        </is>
      </c>
      <c r="G89" s="62" t="inlineStr">
        <is>
          <t>Kodak Retina Type 117 становится первой камерой для дневной загрузки 135-картриджей, которые сделают 35 мм удобнее для широкой фотографии.</t>
        </is>
      </c>
      <c r="H89" s="62" t="inlineStr">
        <is>
          <t>Негатив-позитив</t>
        </is>
      </c>
      <c r="I89" s="62" t="inlineStr">
        <is>
          <t>135 daylight-loading cartridge</t>
        </is>
      </c>
      <c r="J89" s="62" t="inlineStr">
        <is>
          <t>35 мм получает бытовую форму: плёнку становится легче покупать, вставлять в камеру и использовать без тёмной комнаты.</t>
        </is>
      </c>
      <c r="K89" s="62" t="inlineStr">
        <is>
          <t>Leica and manually loaded 35 mm film</t>
        </is>
      </c>
      <c r="L89" s="62" t="inlineStr">
        <is>
          <t>135 cartridge becomes dominant consumer still-film format</t>
        </is>
      </c>
      <c r="M89" s="62" t="inlineStr">
        <is>
          <t>Переходная технология</t>
        </is>
      </c>
      <c r="N89" s="62" t="n">
        <v>4</v>
      </c>
      <c r="O89" s="62" t="inlineStr">
        <is>
          <t>PL-009</t>
        </is>
      </c>
      <c r="P89" s="62" t="inlineStr">
        <is>
          <t>SRC-061</t>
        </is>
      </c>
      <c r="Q89" s="62" t="inlineStr">
        <is>
          <t>Science Museum Group — Kodak Retina Type 117</t>
        </is>
      </c>
      <c r="R89" s="62" t="inlineStr">
        <is>
          <t>https://collection.sciencemuseumgroup.org.uk/objects/co8205056/kodak-retina-type-117-35mm-camera</t>
        </is>
      </c>
      <c r="S89" s="62" t="n">
        <v>5</v>
      </c>
      <c r="T89" s="62" t="inlineStr">
        <is>
          <t>Финальный смысл PL-009: формат победил не только из-за качества, но и из-за удобства системы.</t>
        </is>
      </c>
      <c r="U89" s="62" t="inlineStr">
        <is>
          <t>Открытый 135-картридж рядом с Kodak Retina и полоской 35-мм плёнки.</t>
        </is>
      </c>
      <c r="V89" s="62" t="inlineStr">
        <is>
          <t>#PL009 #135-film #Kodak-Retina #35mm #cartridge</t>
        </is>
      </c>
      <c r="W89" s="62" t="n"/>
      <c r="X89" s="62" t="inlineStr">
        <is>
          <t>48.7758, 9.1829</t>
        </is>
      </c>
      <c r="Y89" s="62" t="inlineStr">
        <is>
          <t>35 мм / 135 cartridge</t>
        </is>
      </c>
      <c r="Z89" s="62" t="inlineStr">
        <is>
          <t>Распространение / коммерциализация</t>
        </is>
      </c>
      <c r="AA89" s="62" t="n"/>
    </row>
    <row r="90" ht="17" customHeight="1" s="59">
      <c r="A90" s="62" t="inlineStr">
        <is>
          <t>PL-HIST-0089</t>
        </is>
      </c>
      <c r="B90" s="62" t="inlineStr">
        <is>
          <t>1913–1914</t>
        </is>
      </c>
      <c r="C90" s="62" t="inlineStr">
        <is>
          <t>диапазон</t>
        </is>
      </c>
      <c r="D90" s="62" t="inlineStr">
        <is>
          <t>Германия</t>
        </is>
      </c>
      <c r="E90" s="62" t="inlineStr">
        <is>
          <t>Вецлар</t>
        </is>
      </c>
      <c r="F90" s="62" t="inlineStr">
        <is>
          <t>Оскар Барнак / Ernst Leitz</t>
        </is>
      </c>
      <c r="G90" s="62" t="inlineStr">
        <is>
          <t>Оскар Барнак создаёт прототип Ur-Leica: компактную камеру под 35-мм киноплёнку, которая станет основой будущей Leica I.</t>
        </is>
      </c>
      <c r="H90" s="62" t="inlineStr">
        <is>
          <t>Оптические инструменты</t>
        </is>
      </c>
      <c r="I90" s="62" t="inlineStr">
        <is>
          <t>Ur-Leica prototype</t>
        </is>
      </c>
      <c r="J90" s="62" t="inlineStr">
        <is>
          <t>Идея 35 мм перестаёт быть только кинематографической: появляется замысел маленькой фотокамеры для серьёзной съёмки.</t>
        </is>
      </c>
      <c r="K90" s="62" t="inlineStr">
        <is>
          <t>35-мм киноплёнка и кадр 24×36</t>
        </is>
      </c>
      <c r="L90" s="62" t="inlineStr">
        <is>
          <t>Leica 0-Series and Leica I</t>
        </is>
      </c>
      <c r="M90" s="62" t="inlineStr">
        <is>
          <t>Переходная технология</t>
        </is>
      </c>
      <c r="N90" s="62" t="n">
        <v>5</v>
      </c>
      <c r="O90" s="62" t="inlineStr">
        <is>
          <t>PL-010</t>
        </is>
      </c>
      <c r="P90" s="62" t="inlineStr">
        <is>
          <t>SRC-062</t>
        </is>
      </c>
      <c r="Q90" s="62" t="inlineStr">
        <is>
          <t>Leica Camera — The History of the Leica I</t>
        </is>
      </c>
      <c r="R90" s="62" t="inlineStr">
        <is>
          <t>https://leica-camera.com/en-int/photography/100-years/the-history-of-the-leica-I</t>
        </is>
      </c>
      <c r="S90" s="62" t="n">
        <v>5</v>
      </c>
      <c r="T90" s="62" t="inlineStr">
        <is>
          <t>Для урока важно показать: Leica I родилась не из желания сделать игрушку, а из идеи мобильной серьёзной камеры.</t>
        </is>
      </c>
      <c r="U90" s="62" t="inlineStr">
        <is>
          <t>Маленький прототип на рабочем столе Барнака рядом с полоской 35-мм киноплёнки.</t>
        </is>
      </c>
      <c r="V90" s="62" t="inlineStr">
        <is>
          <t>#PL010 #Ur-Leica #Barnack #Wetzlar #35mm</t>
        </is>
      </c>
      <c r="W90" s="62" t="n"/>
      <c r="X90" s="62" t="inlineStr">
        <is>
          <t>50.5619, 8.5044</t>
        </is>
      </c>
      <c r="Y90" s="62" t="inlineStr">
        <is>
          <t>Leica I / прототип</t>
        </is>
      </c>
      <c r="Z90" s="62" t="inlineStr">
        <is>
          <t>Инструмент / устройство</t>
        </is>
      </c>
      <c r="AA90" s="62" t="n"/>
    </row>
    <row r="91" ht="17" customHeight="1" s="59">
      <c r="A91" s="62" t="inlineStr">
        <is>
          <t>PL-HIST-0090</t>
        </is>
      </c>
      <c r="B91" s="62" t="inlineStr">
        <is>
          <t>1923</t>
        </is>
      </c>
      <c r="C91" s="62" t="inlineStr">
        <is>
          <t>год</t>
        </is>
      </c>
      <c r="D91" s="62" t="inlineStr">
        <is>
          <t>Германия</t>
        </is>
      </c>
      <c r="E91" s="62" t="inlineStr">
        <is>
          <t>Вецлар</t>
        </is>
      </c>
      <c r="F91" s="62" t="inlineStr">
        <is>
          <t>Оскар Барнак / Ernst Leitz</t>
        </is>
      </c>
      <c r="G91" s="62" t="inlineStr">
        <is>
          <t>После прототипов появляется проверочная серия Leica 0-Series: небольшая партия камер для испытаний перед коммерческим запуском.</t>
        </is>
      </c>
      <c r="H91" s="62" t="inlineStr">
        <is>
          <t>Оптические инструменты</t>
        </is>
      </c>
      <c r="I91" s="62" t="inlineStr">
        <is>
          <t>Leica 0-Series</t>
        </is>
      </c>
      <c r="J91" s="62" t="inlineStr">
        <is>
          <t>Идея маленькой 35-мм камеры проходит практическую проверку: её нужно не просто изобрести, а сделать пригодной для реальных фотографов.</t>
        </is>
      </c>
      <c r="K91" s="62" t="inlineStr">
        <is>
          <t>Ur-Leica prototype</t>
        </is>
      </c>
      <c r="L91" s="62" t="inlineStr">
        <is>
          <t>Decision to enter serial production</t>
        </is>
      </c>
      <c r="M91" s="62" t="inlineStr">
        <is>
          <t>Переходная технология</t>
        </is>
      </c>
      <c r="N91" s="62" t="n">
        <v>4</v>
      </c>
      <c r="O91" s="62" t="inlineStr">
        <is>
          <t>PL-010</t>
        </is>
      </c>
      <c r="P91" s="62" t="inlineStr">
        <is>
          <t>SRC-062</t>
        </is>
      </c>
      <c r="Q91" s="62" t="inlineStr">
        <is>
          <t>Leica Camera — The History of the Leica I</t>
        </is>
      </c>
      <c r="R91" s="62" t="inlineStr">
        <is>
          <t>https://leica-camera.com/en-int/photography/100-years/the-history-of-the-leica-I</t>
        </is>
      </c>
      <c r="S91" s="62" t="n">
        <v>5</v>
      </c>
      <c r="T91" s="62" t="inlineStr">
        <is>
          <t>Хороший storytelling-узел: между прототипом и рынком всегда есть испытание, сомнение и проверка.</t>
        </is>
      </c>
      <c r="U91" s="62" t="inlineStr">
        <is>
          <t>Небольшая партия камер Leica 0-Series на столе в мастерской Leitz.</t>
        </is>
      </c>
      <c r="V91" s="62" t="inlineStr">
        <is>
          <t>#PL010 #Leica0 #preproduction #Leitz #Barnack</t>
        </is>
      </c>
      <c r="W91" s="62" t="inlineStr">
        <is>
          <t>Проверить точное количество камер 0-Series в финальной лекции: источники обычно указывают малую проверочную серию, но формулировки различаются.</t>
        </is>
      </c>
      <c r="X91" s="62" t="inlineStr">
        <is>
          <t>50.5619, 8.5044</t>
        </is>
      </c>
      <c r="Y91" s="62" t="inlineStr">
        <is>
          <t>Leica I / проверочная серия</t>
        </is>
      </c>
      <c r="Z91" s="62" t="inlineStr">
        <is>
          <t>Связь / переход</t>
        </is>
      </c>
      <c r="AA91" s="62" t="n"/>
    </row>
    <row r="92" ht="17" customHeight="1" s="59">
      <c r="A92" s="62" t="inlineStr">
        <is>
          <t>PL-HIST-0091</t>
        </is>
      </c>
      <c r="B92" s="62" t="inlineStr">
        <is>
          <t>конец 1924</t>
        </is>
      </c>
      <c r="C92" s="62" t="inlineStr">
        <is>
          <t>точная дата</t>
        </is>
      </c>
      <c r="D92" s="62" t="inlineStr">
        <is>
          <t>Германия</t>
        </is>
      </c>
      <c r="E92" s="62" t="inlineStr">
        <is>
          <t>Вецлар</t>
        </is>
      </c>
      <c r="F92" s="62" t="inlineStr">
        <is>
          <t>Ernst Leitz II / Ernst Leitz Werke</t>
        </is>
      </c>
      <c r="G92" s="62" t="inlineStr">
        <is>
          <t>Первая серийная версия Leica I официально входит в производство в конце 1924 года, опираясь на опыт Leica 0-Series.</t>
        </is>
      </c>
      <c r="H92" s="62" t="inlineStr">
        <is>
          <t>Оптические инструменты</t>
        </is>
      </c>
      <c r="I92" s="62" t="inlineStr">
        <is>
          <t>Leica I serial production begins</t>
        </is>
      </c>
      <c r="J92" s="62" t="inlineStr">
        <is>
          <t>Leica перестаёт быть лабораторным экспериментом и становится промышленным изделием.</t>
        </is>
      </c>
      <c r="K92" s="62" t="inlineStr">
        <is>
          <t>Leica 0-Series tests</t>
        </is>
      </c>
      <c r="L92" s="62" t="inlineStr">
        <is>
          <t>Public presentation at Leipzig Spring Fair 1925</t>
        </is>
      </c>
      <c r="M92" s="62" t="inlineStr">
        <is>
          <t>Главная линия</t>
        </is>
      </c>
      <c r="N92" s="62" t="n">
        <v>5</v>
      </c>
      <c r="O92" s="62" t="inlineStr">
        <is>
          <t>PL-010</t>
        </is>
      </c>
      <c r="P92" s="62" t="inlineStr">
        <is>
          <t>SRC-062</t>
        </is>
      </c>
      <c r="Q92" s="62" t="inlineStr">
        <is>
          <t>Leica Camera — The History of the Leica I</t>
        </is>
      </c>
      <c r="R92" s="62" t="inlineStr">
        <is>
          <t>https://leica-camera.com/en-int/photography/100-years/the-history-of-the-leica-I</t>
        </is>
      </c>
      <c r="S92" s="62" t="n">
        <v>5</v>
      </c>
      <c r="T92" s="62" t="inlineStr">
        <is>
          <t>Объяснить просто: революция начинается не в момент идеи, а когда идею удалось произвести серийно.</t>
        </is>
      </c>
      <c r="U92" s="62" t="inlineStr">
        <is>
          <t>Фабричная сборка маленьких Leica I в Вецларе, рядом детали корпуса и объектив.</t>
        </is>
      </c>
      <c r="V92" s="62" t="inlineStr">
        <is>
          <t>#PL010 #LeicaI #serial-production #Leitz</t>
        </is>
      </c>
      <c r="W92" s="62" t="n"/>
      <c r="X92" s="62" t="inlineStr">
        <is>
          <t>50.5619, 8.5044</t>
        </is>
      </c>
      <c r="Y92" s="62" t="inlineStr">
        <is>
          <t>Leica I / начало производства</t>
        </is>
      </c>
      <c r="Z92" s="62" t="inlineStr">
        <is>
          <t>Распространение / коммерциализация</t>
        </is>
      </c>
      <c r="AA92" s="62" t="n"/>
    </row>
    <row r="93" ht="17" customHeight="1" s="59">
      <c r="A93" s="62" t="inlineStr">
        <is>
          <t>PL-HIST-0092</t>
        </is>
      </c>
      <c r="B93" s="62" t="inlineStr">
        <is>
          <t>1925</t>
        </is>
      </c>
      <c r="C93" s="62" t="inlineStr">
        <is>
          <t>год</t>
        </is>
      </c>
      <c r="D93" s="62" t="inlineStr">
        <is>
          <t>Германия</t>
        </is>
      </c>
      <c r="E93" s="62" t="inlineStr">
        <is>
          <t>Лейпциг</t>
        </is>
      </c>
      <c r="F93" s="62" t="inlineStr">
        <is>
          <t>Ernst Leitz / Leica</t>
        </is>
      </c>
      <c r="G93" s="62" t="inlineStr">
        <is>
          <t>Leica I представлена публике на Лейпцигской весенней ярмарке как первая серийная 35-мм камера Leitz.</t>
        </is>
      </c>
      <c r="H93" s="62" t="inlineStr">
        <is>
          <t>Оптические инструменты</t>
        </is>
      </c>
      <c r="I93" s="62" t="inlineStr">
        <is>
          <t>Leica I at Leipzig Spring Fair</t>
        </is>
      </c>
      <c r="J93" s="62" t="inlineStr">
        <is>
          <t>35 мм получает публичный коммерческий вход в фотографию: маленькая камера становится реальным продуктом.</t>
        </is>
      </c>
      <c r="K93" s="62" t="inlineStr">
        <is>
          <t>Serial production begins at Leitz</t>
        </is>
      </c>
      <c r="L93" s="62" t="inlineStr">
        <is>
          <t>Compact 35 mm photography spreads</t>
        </is>
      </c>
      <c r="M93" s="62" t="inlineStr">
        <is>
          <t>Главная линия</t>
        </is>
      </c>
      <c r="N93" s="62" t="n">
        <v>5</v>
      </c>
      <c r="O93" s="62" t="inlineStr">
        <is>
          <t>PL-010</t>
        </is>
      </c>
      <c r="P93" s="62" t="inlineStr">
        <is>
          <t>SRC-063</t>
        </is>
      </c>
      <c r="Q93" s="62" t="inlineStr">
        <is>
          <t>Leica Camera — 100 Years of Leica: Witness to a Century</t>
        </is>
      </c>
      <c r="R93" s="62" t="inlineStr">
        <is>
          <t>https://leica-camera.com/en-GB/press/100-years-leica-witness-century-1925-2025-1</t>
        </is>
      </c>
      <c r="S93" s="62" t="n">
        <v>5</v>
      </c>
      <c r="T93" s="62" t="inlineStr">
        <is>
          <t>Это главный исторический момент урока: Leica I выходит к публике и меняет представление о серьёзной камере.</t>
        </is>
      </c>
      <c r="U93" s="62" t="inlineStr">
        <is>
          <t>Витрина Leica I на ярмарке в Лейпциге; маленькая камера среди больших фотоаппаратов эпохи.</t>
        </is>
      </c>
      <c r="V93" s="62" t="inlineStr">
        <is>
          <t>#PL010 #LeicaI #Leipzig #1925 #35mm-camera</t>
        </is>
      </c>
      <c r="W93" s="62" t="n"/>
      <c r="X93" s="62" t="inlineStr">
        <is>
          <t>51.3397, 12.3731</t>
        </is>
      </c>
      <c r="Y93" s="62" t="inlineStr">
        <is>
          <t>Leica I / публичный дебют</t>
        </is>
      </c>
      <c r="Z93" s="62" t="inlineStr">
        <is>
          <t>Ключевой исторический узел</t>
        </is>
      </c>
      <c r="AA93" s="62" t="inlineStr">
        <is>
          <t>да</t>
        </is>
      </c>
    </row>
    <row r="94" ht="17" customHeight="1" s="59">
      <c r="A94" s="62" t="inlineStr">
        <is>
          <t>PL-HIST-0093</t>
        </is>
      </c>
      <c r="B94" s="62" t="inlineStr">
        <is>
          <t>1925</t>
        </is>
      </c>
      <c r="C94" s="62" t="inlineStr">
        <is>
          <t>год</t>
        </is>
      </c>
      <c r="D94" s="62" t="inlineStr">
        <is>
          <t>Германия</t>
        </is>
      </c>
      <c r="E94" s="62" t="inlineStr">
        <is>
          <t>Вецлар</t>
        </is>
      </c>
      <c r="F94" s="62" t="inlineStr">
        <is>
          <t>Oskar Barnack / Ernst Leitz</t>
        </is>
      </c>
      <c r="G94" s="62" t="inlineStr">
        <is>
          <t>Leica 1(A), разработанная Барнаком, становится первой коммерчески доступной Leica 35-мм камерой и быстро популяризирует 35-мм фотографию.</t>
        </is>
      </c>
      <c r="H94" s="62" t="inlineStr">
        <is>
          <t>Оптические инструменты</t>
        </is>
      </c>
      <c r="I94" s="62" t="inlineStr">
        <is>
          <t>Leica 1(A) 35 mm camera</t>
        </is>
      </c>
      <c r="J94" s="62" t="inlineStr">
        <is>
          <t>Компактность становится серьёзным фотографическим преимуществом: камера теперь может быть постоянно с фотографом.</t>
        </is>
      </c>
      <c r="K94" s="62" t="inlineStr">
        <is>
          <t>Leica I public launch</t>
        </is>
      </c>
      <c r="L94" s="62" t="inlineStr">
        <is>
          <t>New mobile visual practice</t>
        </is>
      </c>
      <c r="M94" s="62" t="inlineStr">
        <is>
          <t>Главная линия</t>
        </is>
      </c>
      <c r="N94" s="62" t="n">
        <v>5</v>
      </c>
      <c r="O94" s="62" t="inlineStr">
        <is>
          <t>PL-010</t>
        </is>
      </c>
      <c r="P94" s="62" t="inlineStr">
        <is>
          <t>SRC-064</t>
        </is>
      </c>
      <c r="Q94" s="62" t="inlineStr">
        <is>
          <t>Smithsonian NMAH — Leica 35 mm 1(A) Camera</t>
        </is>
      </c>
      <c r="R94" s="62" t="inlineStr">
        <is>
          <t>https://americanhistory.si.edu/collections/object/nmah_834692</t>
        </is>
      </c>
      <c r="S94" s="62" t="n">
        <v>5</v>
      </c>
      <c r="T94" s="62" t="inlineStr">
        <is>
          <t>Новичку важно понять: Leica I — это не просто новая модель, а изменение поведения фотографа.</t>
        </is>
      </c>
      <c r="U94" s="62" t="inlineStr">
        <is>
          <t>Маленькая Leica I в руке фотографа рядом с большой складной камерой как контраст старого и нового.</t>
        </is>
      </c>
      <c r="V94" s="62" t="inlineStr">
        <is>
          <t>#PL010 #Leica1A #compact-camera #35mm #Barnack</t>
        </is>
      </c>
      <c r="W94" s="62" t="n"/>
      <c r="X94" s="62" t="inlineStr">
        <is>
          <t>50.5619, 8.5044</t>
        </is>
      </c>
      <c r="Y94" s="62" t="inlineStr">
        <is>
          <t>Leica I / компактная камера</t>
        </is>
      </c>
      <c r="Z94" s="62" t="inlineStr">
        <is>
          <t>Инструмент / устройство</t>
        </is>
      </c>
      <c r="AA94" s="62" t="n"/>
    </row>
    <row r="95" ht="17" customHeight="1" s="59">
      <c r="A95" s="62" t="inlineStr">
        <is>
          <t>PL-HIST-0094</t>
        </is>
      </c>
      <c r="B95" s="62" t="inlineStr">
        <is>
          <t>1925</t>
        </is>
      </c>
      <c r="C95" s="62" t="inlineStr">
        <is>
          <t>год</t>
        </is>
      </c>
      <c r="D95" s="62" t="inlineStr">
        <is>
          <t>Германия</t>
        </is>
      </c>
      <c r="E95" s="62" t="inlineStr">
        <is>
          <t>Вецлар</t>
        </is>
      </c>
      <c r="F95" s="62" t="inlineStr">
        <is>
          <t>Макс Берек / Leitz</t>
        </is>
      </c>
      <c r="G95" s="62" t="inlineStr">
        <is>
          <t>Первые объективы Leica разрабатывает Макс Берек: 50 мм f/3.5 Anastigmat / Elmax, затем Elmar, чтобы маленький негатив можно было качественно увеличивать.</t>
        </is>
      </c>
      <c r="H95" s="62" t="inlineStr">
        <is>
          <t>Оптические инструменты</t>
        </is>
      </c>
      <c r="I95" s="62" t="inlineStr">
        <is>
          <t>Leica Anastigmat / Elmax / Elmar 50 mm f/3.5</t>
        </is>
      </c>
      <c r="J95" s="62" t="inlineStr">
        <is>
          <t>Малый формат требует сильной оптики: качество объектива становится условием идеи «маленький негатив — большой отпечаток».</t>
        </is>
      </c>
      <c r="K95" s="62" t="inlineStr">
        <is>
          <t>24×36 mm small negative</t>
        </is>
      </c>
      <c r="L95" s="62" t="inlineStr">
        <is>
          <t>Leica becomes practical system for enlargement and printing</t>
        </is>
      </c>
      <c r="M95" s="62" t="inlineStr">
        <is>
          <t>Главная линия</t>
        </is>
      </c>
      <c r="N95" s="62" t="n">
        <v>5</v>
      </c>
      <c r="O95" s="62" t="inlineStr">
        <is>
          <t>PL-010</t>
        </is>
      </c>
      <c r="P95" s="62" t="inlineStr">
        <is>
          <t>SRC-065</t>
        </is>
      </c>
      <c r="Q95" s="62" t="inlineStr">
        <is>
          <t>Leica Camera — Understanding Leica Lenses</t>
        </is>
      </c>
      <c r="R95" s="62" t="inlineStr">
        <is>
          <t>https://leica-camera.com/en-int/photography/understanding-leica-lenses</t>
        </is>
      </c>
      <c r="S95" s="62" t="n">
        <v>5</v>
      </c>
      <c r="T95" s="62" t="inlineStr">
        <is>
          <t>Это мост к будущим урокам про объективы: формат победил не один, ему понадобилась точная оптика.</t>
        </is>
      </c>
      <c r="U95" s="62" t="inlineStr">
        <is>
          <t>Схема: маленький негатив 24×36 → объектив Elmar → увеличенный отпечаток.</t>
        </is>
      </c>
      <c r="V95" s="62" t="inlineStr">
        <is>
          <t>#PL010 #MaxBerek #Elmar #Leica-lens #small-negative</t>
        </is>
      </c>
      <c r="W95" s="62" t="inlineStr">
        <is>
          <t>Уточнить в финальном тексте различие Anastigmat / Elmax / Elmar, чтобы не смешать ранние версии объектива.</t>
        </is>
      </c>
      <c r="X95" s="62" t="inlineStr">
        <is>
          <t>50.5619, 8.5044</t>
        </is>
      </c>
      <c r="Y95" s="62" t="inlineStr">
        <is>
          <t>Leica I / оптика и Elmar</t>
        </is>
      </c>
      <c r="Z95" s="62" t="inlineStr">
        <is>
          <t>Технология / процесс</t>
        </is>
      </c>
      <c r="AA95" s="62" t="n"/>
    </row>
    <row r="96" ht="17" customHeight="1" s="59">
      <c r="A96" s="62" t="inlineStr">
        <is>
          <t>PL-HIST-0095</t>
        </is>
      </c>
      <c r="B96" s="62" t="inlineStr">
        <is>
          <t>1925–1930</t>
        </is>
      </c>
      <c r="C96" s="62" t="inlineStr">
        <is>
          <t>диапазон</t>
        </is>
      </c>
      <c r="D96" s="62" t="inlineStr">
        <is>
          <t>Германия</t>
        </is>
      </c>
      <c r="E96" s="62" t="inlineStr">
        <is>
          <t>Вецлар</t>
        </is>
      </c>
      <c r="F96" s="62" t="inlineStr">
        <is>
          <t>Ernst Leitz Werke / пользователи Leica</t>
        </is>
      </c>
      <c r="G96" s="62" t="inlineStr">
        <is>
          <t>За 1925–1930 годы Leica I выпускается десятками тысяч экземпляров в разных вариантах и закрепляет 35-мм компактную камеру как рабочий фотографический инструмент.</t>
        </is>
      </c>
      <c r="H96" s="62" t="inlineStr">
        <is>
          <t>Негатив-позитив</t>
        </is>
      </c>
      <c r="I96" s="62" t="inlineStr">
        <is>
          <t>Leica I mass adoption</t>
        </is>
      </c>
      <c r="J96" s="62" t="inlineStr">
        <is>
          <t>35 мм перестаёт быть нишевым экспериментом и становится устойчивой практикой съёмки.</t>
        </is>
      </c>
      <c r="K96" s="62" t="inlineStr">
        <is>
          <t>Leica I launch</t>
        </is>
      </c>
      <c r="L96" s="62" t="inlineStr">
        <is>
          <t>Global 35 mm compact camera standard</t>
        </is>
      </c>
      <c r="M96" s="62" t="inlineStr">
        <is>
          <t>Распространение / коммерциализация</t>
        </is>
      </c>
      <c r="N96" s="62" t="n">
        <v>5</v>
      </c>
      <c r="O96" s="62" t="inlineStr">
        <is>
          <t>PL-010</t>
        </is>
      </c>
      <c r="P96" s="62" t="inlineStr">
        <is>
          <t>SRC-062</t>
        </is>
      </c>
      <c r="Q96" s="62" t="inlineStr">
        <is>
          <t>Leica Camera — The History of the Leica I</t>
        </is>
      </c>
      <c r="R96" s="62" t="inlineStr">
        <is>
          <t>https://leica-camera.com/en-int/photography/100-years/the-history-of-the-leica-I</t>
        </is>
      </c>
      <c r="S96" s="62" t="n">
        <v>5</v>
      </c>
      <c r="T96" s="62" t="inlineStr">
        <is>
          <t>Не перегружать цифрами, но показать масштаб: камера стала не редкостью, а узнаваемым инструментом.</t>
        </is>
      </c>
      <c r="U96" s="62" t="inlineStr">
        <is>
          <t>Ряд Leica I на производственной полке, рядом отметка 1925–1930.</t>
        </is>
      </c>
      <c r="V96" s="62" t="inlineStr">
        <is>
          <t>#PL010 #LeicaI #mass-production #35mm-standard</t>
        </is>
      </c>
      <c r="W96" s="62" t="n"/>
      <c r="X96" s="62" t="inlineStr">
        <is>
          <t>50.5619, 8.5044</t>
        </is>
      </c>
      <c r="Y96" s="62" t="inlineStr">
        <is>
          <t>Leica I / массовое принятие</t>
        </is>
      </c>
      <c r="Z96" s="62" t="inlineStr">
        <is>
          <t>Распространение / коммерциализация</t>
        </is>
      </c>
      <c r="AA96" s="62" t="n"/>
    </row>
    <row r="97" ht="17" customHeight="1" s="59">
      <c r="A97" s="62" t="inlineStr">
        <is>
          <t>PL-HIST-0096</t>
        </is>
      </c>
      <c r="B97" s="62" t="inlineStr">
        <is>
          <t>1920-е–1930-е</t>
        </is>
      </c>
      <c r="C97" s="62" t="inlineStr">
        <is>
          <t>диапазон</t>
        </is>
      </c>
      <c r="D97" s="62" t="inlineStr">
        <is>
          <t>Европа / США</t>
        </is>
      </c>
      <c r="E97" s="62" t="inlineStr">
        <is>
          <t>распределённый процесс</t>
        </is>
      </c>
      <c r="F97" s="62" t="inlineStr">
        <is>
          <t>Фотографы нового поколения</t>
        </is>
      </c>
      <c r="G97" s="62" t="inlineStr">
        <is>
          <t>Компактная, быстрая и мобильная Leica I помогает сформировать более интимный, спонтанный визуальный язык — основу репортажа и уличной фотографии.</t>
        </is>
      </c>
      <c r="H97" s="62" t="inlineStr">
        <is>
          <t>Оптические инструменты</t>
        </is>
      </c>
      <c r="I97" s="62" t="inlineStr">
        <is>
          <t>Mobile 35 mm visual language</t>
        </is>
      </c>
      <c r="J97" s="62" t="inlineStr">
        <is>
          <t>Фотограф становится менее заметным и быстрее реагирует на жизнь: камера начинает следовать за событием, а не заставлять событие приходить в студию.</t>
        </is>
      </c>
      <c r="K97" s="62" t="inlineStr">
        <is>
          <t>Leica I mass adoption</t>
        </is>
      </c>
      <c r="L97" s="62" t="inlineStr">
        <is>
          <t>Rangefinder and reportage traditions</t>
        </is>
      </c>
      <c r="M97" s="62" t="inlineStr">
        <is>
          <t>Главная линия</t>
        </is>
      </c>
      <c r="N97" s="62" t="n">
        <v>5</v>
      </c>
      <c r="O97" s="62" t="inlineStr">
        <is>
          <t>PL-010</t>
        </is>
      </c>
      <c r="P97" s="62" t="inlineStr">
        <is>
          <t>SRC-062</t>
        </is>
      </c>
      <c r="Q97" s="62" t="inlineStr">
        <is>
          <t>Leica Camera — The History of the Leica I</t>
        </is>
      </c>
      <c r="R97" s="62" t="inlineStr">
        <is>
          <t>https://leica-camera.com/en-int/photography/100-years/the-history-of-the-leica-I</t>
        </is>
      </c>
      <c r="S97" s="62" t="n">
        <v>5</v>
      </c>
      <c r="T97" s="62" t="inlineStr">
        <is>
          <t>Смысл PL-010: Leica изменила не только размер камеры, но и способ видеть — ближе, быстрее, тише.</t>
        </is>
      </c>
      <c r="U97" s="62" t="inlineStr">
        <is>
          <t>Фотограф с маленькой камерой среди городской жизни; люди не позируют, момент происходит сам.</t>
        </is>
      </c>
      <c r="V97" s="62" t="inlineStr">
        <is>
          <t>#PL010 #reportage #street-photography #mobile-camera #visual-language</t>
        </is>
      </c>
      <c r="W97" s="62" t="n"/>
      <c r="X97" s="62" t="n"/>
      <c r="Y97" s="62" t="inlineStr">
        <is>
          <t>Leica I / новая визуальная практика</t>
        </is>
      </c>
      <c r="Z97" s="62" t="inlineStr">
        <is>
          <t>Применение / жанр</t>
        </is>
      </c>
      <c r="AA97" s="62" t="n"/>
    </row>
    <row r="98" ht="17" customHeight="1" s="59">
      <c r="A98" s="62" t="inlineStr">
        <is>
          <t>PL-HIST-0097</t>
        </is>
      </c>
      <c r="B98" s="62" t="inlineStr">
        <is>
          <t>1930</t>
        </is>
      </c>
      <c r="C98" s="62" t="inlineStr">
        <is>
          <t>год</t>
        </is>
      </c>
      <c r="D98" s="62" t="inlineStr">
        <is>
          <t>Германия</t>
        </is>
      </c>
      <c r="E98" s="62" t="inlineStr">
        <is>
          <t>Вецлар</t>
        </is>
      </c>
      <c r="F98" s="62" t="inlineStr">
        <is>
          <t>Ernst Leitz Werke</t>
        </is>
      </c>
      <c r="G98" s="62" t="inlineStr">
        <is>
          <t>Leica I(C) вводит сменные объективы; к концу 1930 года появляется стандартизированный крепёж, позволяющий использовать объективы с разными камерами Leica 1(C).</t>
        </is>
      </c>
      <c r="H98" s="62" t="inlineStr">
        <is>
          <t>Оптические инструменты</t>
        </is>
      </c>
      <c r="I98" s="62" t="inlineStr">
        <is>
          <t>Leica I(C) interchangeable lenses</t>
        </is>
      </c>
      <c r="J98" s="62" t="inlineStr">
        <is>
          <t>Leica превращается из отдельной камеры в систему: корпус, объективы и аксессуары начинают развиваться вместе.</t>
        </is>
      </c>
      <c r="K98" s="62" t="inlineStr">
        <is>
          <t>Leica I fixed-lens camera</t>
        </is>
      </c>
      <c r="L98" s="62" t="inlineStr">
        <is>
          <t>Leica system and rangefinder cameras</t>
        </is>
      </c>
      <c r="M98" s="62" t="inlineStr">
        <is>
          <t>Связь / переход</t>
        </is>
      </c>
      <c r="N98" s="62" t="n">
        <v>4</v>
      </c>
      <c r="O98" s="62" t="inlineStr">
        <is>
          <t>PL-010</t>
        </is>
      </c>
      <c r="P98" s="62" t="inlineStr">
        <is>
          <t>SRC-067</t>
        </is>
      </c>
      <c r="Q98" s="62" t="inlineStr">
        <is>
          <t>Smithsonian NMAH — Leica 1(C)</t>
        </is>
      </c>
      <c r="R98" s="62" t="inlineStr">
        <is>
          <t>https://americanhistory.si.edu/collections/object/nmah_1145349</t>
        </is>
      </c>
      <c r="S98" s="62" t="n">
        <v>5</v>
      </c>
      <c r="T98" s="62" t="inlineStr">
        <is>
          <t>Это не центральный узел PL-010, а мост: после Leica I важной становится идея системы.</t>
        </is>
      </c>
      <c r="U98" s="62" t="inlineStr">
        <is>
          <t>Корпус Leica I(C) и три объектива рядом: 50 мм, широкоугольный и телеобъектив.</t>
        </is>
      </c>
      <c r="V98" s="62" t="inlineStr">
        <is>
          <t>#PL010 #LeicaIC #interchangeable-lenses #Leica-system</t>
        </is>
      </c>
      <c r="W98" s="62" t="inlineStr">
        <is>
          <t>Проверить терминологию крепления: в источниках встречаются screw mount / standardized mount; не называть это байонетом в финальном русском тексте.</t>
        </is>
      </c>
      <c r="X98" s="62" t="inlineStr">
        <is>
          <t>50.5619, 8.5044</t>
        </is>
      </c>
      <c r="Y98" s="62" t="inlineStr">
        <is>
          <t>Leica I / сменные объективы</t>
        </is>
      </c>
      <c r="Z98" s="62" t="inlineStr">
        <is>
          <t>Связь / переход</t>
        </is>
      </c>
      <c r="AA98" s="62" t="n"/>
    </row>
    <row r="99" ht="17" customHeight="1" s="59">
      <c r="A99" s="62" t="inlineStr">
        <is>
          <t>PL-HIST-0098</t>
        </is>
      </c>
      <c r="B99" s="62" t="inlineStr">
        <is>
          <t>1932</t>
        </is>
      </c>
      <c r="C99" s="62" t="inlineStr">
        <is>
          <t>год</t>
        </is>
      </c>
      <c r="D99" s="62" t="inlineStr">
        <is>
          <t>Германия</t>
        </is>
      </c>
      <c r="E99" s="62" t="inlineStr">
        <is>
          <t>Вецлар</t>
        </is>
      </c>
      <c r="F99" s="62" t="inlineStr">
        <is>
          <t>Ernst Leitz Werke</t>
        </is>
      </c>
      <c r="G99" s="62" t="inlineStr">
        <is>
          <t>Leica II становится первой Leica со встроенным дальномером, продолжая линию малой 35-мм камеры в сторону точной быстрой фокусировки.</t>
        </is>
      </c>
      <c r="H99" s="62" t="inlineStr">
        <is>
          <t>Оптические инструменты</t>
        </is>
      </c>
      <c r="I99" s="62" t="inlineStr">
        <is>
          <t>Leica II built-in rangefinder</t>
        </is>
      </c>
      <c r="J99" s="62" t="inlineStr">
        <is>
          <t>Следующий шаг после компактности — скорость и точность наведения: Leica формирует основу дальномерной культуры съёмки.</t>
        </is>
      </c>
      <c r="K99" s="62" t="inlineStr">
        <is>
          <t>Leica I and Leica system</t>
        </is>
      </c>
      <c r="L99" s="62" t="inlineStr">
        <is>
          <t>Future rangefinder photography and Leica M lineage</t>
        </is>
      </c>
      <c r="M99" s="62" t="inlineStr">
        <is>
          <t>Связь / переход</t>
        </is>
      </c>
      <c r="N99" s="62" t="n">
        <v>4</v>
      </c>
      <c r="O99" s="62" t="inlineStr">
        <is>
          <t>PL-010</t>
        </is>
      </c>
      <c r="P99" s="62" t="inlineStr">
        <is>
          <t>SRC-068</t>
        </is>
      </c>
      <c r="Q99" s="62" t="inlineStr">
        <is>
          <t>Leica Timeline — 1932</t>
        </is>
      </c>
      <c r="R99" s="62" t="inlineStr">
        <is>
          <t>https://timeline.leica-camera.com/en-US/years/1932</t>
        </is>
      </c>
      <c r="S99" s="62" t="n">
        <v>5</v>
      </c>
      <c r="T99" s="62" t="inlineStr">
        <is>
          <t>Финальный мост урока: PL-010 завершает Модуль 1, но открывает будущие темы про камеры, дальномер и объективы.</t>
        </is>
      </c>
      <c r="U99" s="62" t="inlineStr">
        <is>
          <t>Leica II рядом с Leica I: появляется дальномер как следующий слой управления камерой.</t>
        </is>
      </c>
      <c r="V99" s="62" t="inlineStr">
        <is>
          <t>#PL010 #LeicaII #rangefinder #future-lessons #Leica-system</t>
        </is>
      </c>
      <c r="W99" s="62" t="n"/>
      <c r="X99" s="62" t="inlineStr">
        <is>
          <t>50.5619, 8.5044</t>
        </is>
      </c>
      <c r="Y99" s="62" t="inlineStr">
        <is>
          <t>Leica I / мост к дальномерной системе</t>
        </is>
      </c>
      <c r="Z99" s="62" t="inlineStr">
        <is>
          <t>Связь / переход</t>
        </is>
      </c>
      <c r="AA99" s="62" t="n"/>
    </row>
    <row r="100" ht="17" customHeight="1" s="59">
      <c r="A100" s="62" t="inlineStr">
        <is>
          <t>PL-HIST-0099</t>
        </is>
      </c>
      <c r="B100" s="62" t="inlineStr">
        <is>
          <t>1889</t>
        </is>
      </c>
      <c r="C100" s="62" t="inlineStr">
        <is>
          <t>год</t>
        </is>
      </c>
      <c r="D100" s="62" t="inlineStr">
        <is>
          <t>США</t>
        </is>
      </c>
      <c r="E100" s="62" t="inlineStr">
        <is>
          <t>Рочестер, Нью-Йорк</t>
        </is>
      </c>
      <c r="F100" s="62" t="inlineStr">
        <is>
          <t>Eastman Dry Plate and Film Company / Kodak</t>
        </is>
      </c>
      <c r="G100" s="62" t="inlineStr">
        <is>
          <t>Kodak Transparent Film появляется как гибкий прозрачный фотоматериал для Kodak camera: светочувствительный слой теперь держится не на стекле, а на тонкой прозрачной основе.</t>
        </is>
      </c>
      <c r="H100" s="62" t="inlineStr">
        <is>
          <t>Негатив-позитив</t>
        </is>
      </c>
      <c r="I100" s="62" t="inlineStr">
        <is>
          <t>Transparent flexible photographic film</t>
        </is>
      </c>
      <c r="J100" s="62" t="inlineStr">
        <is>
          <t>Фотоплёнка становится самостоятельным материалом: гибкая основа + светочувствительная эмульсия заменяют тяжёлую стеклянную пластину.</t>
        </is>
      </c>
      <c r="K100" s="62" t="inlineStr">
        <is>
          <t>Рулонная бумажная плёнка Kodak и сухие пластины</t>
        </is>
      </c>
      <c r="L100" s="62" t="inlineStr">
        <is>
          <t>Понимание структуры плёнки: основа, эмульсия, защитные и служебные слои</t>
        </is>
      </c>
      <c r="M100" s="62" t="inlineStr">
        <is>
          <t>Главная линия</t>
        </is>
      </c>
      <c r="N100" s="62" t="n">
        <v>5</v>
      </c>
      <c r="O100" s="62" t="inlineStr">
        <is>
          <t>PL-011</t>
        </is>
      </c>
      <c r="P100" s="62" t="inlineStr">
        <is>
          <t>SRC-069</t>
        </is>
      </c>
      <c r="Q100" s="62" t="inlineStr">
        <is>
          <t>George Eastman Museum — Early Kodak Film 1888/1889</t>
        </is>
      </c>
      <c r="R100" s="62" t="inlineStr">
        <is>
          <t>https://www.eastman.org/two-rare-rolls-early-kodak-film-acquired-george-eastman-museum</t>
        </is>
      </c>
      <c r="S100" s="62" t="n">
        <v>5</v>
      </c>
      <c r="T100" s="62" t="inlineStr">
        <is>
          <t>Начать PL-011 можно с простой мысли: плёнка — это не «магическая лента», а светочувствительный материал на гибкой основе.</t>
        </is>
      </c>
      <c r="U100" s="62" t="inlineStr">
        <is>
          <t>Схема-слой: прозрачная лента, сверху тонкая эмульсия; рядом стеклянная пластина как прошлый этап.</t>
        </is>
      </c>
      <c r="V100" s="62" t="inlineStr">
        <is>
          <t>#PL011 #film-material #transparent-film #Kodak #Eastman</t>
        </is>
      </c>
      <c r="W100" s="62" t="n"/>
      <c r="X100" s="62" t="inlineStr">
        <is>
          <t>43.1566, -77.6088</t>
        </is>
      </c>
      <c r="Y100" s="62" t="inlineStr">
        <is>
          <t>Плёнка как материал / прозрачная основа</t>
        </is>
      </c>
      <c r="Z100" s="62" t="inlineStr">
        <is>
          <t>Ключевой исторический узел</t>
        </is>
      </c>
      <c r="AA100" s="62" t="inlineStr">
        <is>
          <t>да</t>
        </is>
      </c>
    </row>
    <row r="101" ht="17" customHeight="1" s="59">
      <c r="A101" s="62" t="inlineStr">
        <is>
          <t>PL-HIST-0100</t>
        </is>
      </c>
      <c r="B101" s="62" t="inlineStr">
        <is>
          <t>1890-е</t>
        </is>
      </c>
      <c r="C101" s="62" t="inlineStr">
        <is>
          <t>диапазон</t>
        </is>
      </c>
      <c r="D101" s="62" t="inlineStr">
        <is>
          <t>США / Европа</t>
        </is>
      </c>
      <c r="E101" s="62" t="inlineStr">
        <is>
          <t>распределённый процесс</t>
        </is>
      </c>
      <c r="F101" s="62" t="inlineStr">
        <is>
          <t>Производители фотоплёнки</t>
        </is>
      </c>
      <c r="G101" s="62" t="inlineStr">
        <is>
          <t>Целлюлозно-нитратная основа становится главным ранним гибким носителем для фотоплёнки: она прозрачная, лёгкая и прочная, но химически нестабильная и горючая.</t>
        </is>
      </c>
      <c r="H101" s="62" t="inlineStr">
        <is>
          <t>Негатив-позитив</t>
        </is>
      </c>
      <c r="I101" s="62" t="inlineStr">
        <is>
          <t>Cellulose nitrate film base</t>
        </is>
      </c>
      <c r="J101" s="62" t="inlineStr">
        <is>
          <t>У плёнки появляется практичный гибкий носитель, но вместе с ним — новая проблема хранения и безопасности.</t>
        </is>
      </c>
      <c r="K101" s="62" t="inlineStr">
        <is>
          <t>Kodak Transparent Film 1889</t>
        </is>
      </c>
      <c r="L101" s="62" t="inlineStr">
        <is>
          <t>Safety film and acetate base</t>
        </is>
      </c>
      <c r="M101" s="62" t="inlineStr">
        <is>
          <t>Главная линия / временная доминирующая линия</t>
        </is>
      </c>
      <c r="N101" s="62" t="n">
        <v>4</v>
      </c>
      <c r="O101" s="62" t="inlineStr">
        <is>
          <t>PL-011</t>
        </is>
      </c>
      <c r="P101" s="62" t="inlineStr">
        <is>
          <t>SRC-070</t>
        </is>
      </c>
      <c r="Q101" s="62" t="inlineStr">
        <is>
          <t>National Archives — Film-Based Negatives and Positives</t>
        </is>
      </c>
      <c r="R101" s="62" t="inlineStr">
        <is>
          <t>https://www.archives.gov/preservation/holdings-maintenance/film-based</t>
        </is>
      </c>
      <c r="S101" s="62" t="n">
        <v>5</v>
      </c>
      <c r="T101" s="62" t="inlineStr">
        <is>
          <t>Важно объяснить аккуратно: ранняя плёнка была революционно удобной, но не вечной и не безопасной как современная.</t>
        </is>
      </c>
      <c r="U101" s="62" t="inlineStr">
        <is>
          <t>Разрез плёнки с подписью «nitrate base»: красиво, но рядом знак осторожности / архивное хранение.</t>
        </is>
      </c>
      <c r="V101" s="62" t="inlineStr">
        <is>
          <t>#PL011 #nitrate-film #film-base #preservation</t>
        </is>
      </c>
      <c r="W101" s="62" t="inlineStr">
        <is>
          <t>Не использовать в уроке категоричную дату конца нитрата для всех стран; диапазоны различались по рынкам и типам материала.</t>
        </is>
      </c>
      <c r="X101" s="62" t="n"/>
      <c r="Y101" s="62" t="inlineStr">
        <is>
          <t>Плёнка как материал / нитратная основа</t>
        </is>
      </c>
      <c r="Z101" s="62" t="inlineStr">
        <is>
          <t>Технология / процесс</t>
        </is>
      </c>
      <c r="AA101" s="62" t="n"/>
    </row>
    <row r="102" ht="17" customHeight="1" s="59">
      <c r="A102" s="62" t="inlineStr">
        <is>
          <t>PL-HIST-0101</t>
        </is>
      </c>
      <c r="B102" s="62" t="inlineStr">
        <is>
          <t>1899</t>
        </is>
      </c>
      <c r="C102" s="62" t="inlineStr">
        <is>
          <t>год</t>
        </is>
      </c>
      <c r="D102" s="62" t="inlineStr">
        <is>
          <t>США</t>
        </is>
      </c>
      <c r="E102" s="62" t="inlineStr">
        <is>
          <t>Рочестер, Нью-Йорк</t>
        </is>
      </c>
      <c r="F102" s="62" t="inlineStr">
        <is>
          <t>Eastman Kodak Company</t>
        </is>
      </c>
      <c r="G102" s="62" t="inlineStr">
        <is>
          <t>Kodak развивает непрерывный процесс производства прозрачной плёночной основы: вместо покрытия длинных столов плёночная основа начинает производиться более индустриально.</t>
        </is>
      </c>
      <c r="H102" s="62" t="inlineStr">
        <is>
          <t>Негатив-позитив</t>
        </is>
      </c>
      <c r="I102" s="62" t="inlineStr">
        <is>
          <t>Continuous process for transparent film base</t>
        </is>
      </c>
      <c r="J102" s="62" t="inlineStr">
        <is>
          <t>Плёнка становится не только изобретением, но и промышленным материалом, который можно выпускать стабильно и массово.</t>
        </is>
      </c>
      <c r="K102" s="62" t="inlineStr">
        <is>
          <t>Transparent film and roll film production</t>
        </is>
      </c>
      <c r="L102" s="62" t="inlineStr">
        <is>
          <t>Non-curling film and safer film bases</t>
        </is>
      </c>
      <c r="M102" s="62" t="inlineStr">
        <is>
          <t>Распространение / коммерциализация</t>
        </is>
      </c>
      <c r="N102" s="62" t="n">
        <v>4</v>
      </c>
      <c r="O102" s="62" t="inlineStr">
        <is>
          <t>PL-011</t>
        </is>
      </c>
      <c r="P102" s="62" t="inlineStr">
        <is>
          <t>SRC-071</t>
        </is>
      </c>
      <c r="Q102" s="62" t="inlineStr">
        <is>
          <t>Kodak — Milestones</t>
        </is>
      </c>
      <c r="R102" s="62" t="inlineStr">
        <is>
          <t>https://www.kodak.com/en/company/page/milestones/</t>
        </is>
      </c>
      <c r="S102" s="62" t="n">
        <v>5</v>
      </c>
      <c r="T102" s="62" t="inlineStr">
        <is>
          <t>Для карты это узел производства: материал должен быть не просто чувствительным, а повторяемым, ровным и массовым.</t>
        </is>
      </c>
      <c r="U102" s="62" t="inlineStr">
        <is>
          <t>Фабричная лента прозрачной основы проходит через валки; рядом маленькие слои эмульсии.</t>
        </is>
      </c>
      <c r="V102" s="62" t="inlineStr">
        <is>
          <t>#PL011 #film-base #manufacturing #Kodak</t>
        </is>
      </c>
      <c r="W102" s="62" t="n"/>
      <c r="X102" s="62" t="inlineStr">
        <is>
          <t>43.1566, -77.6088</t>
        </is>
      </c>
      <c r="Y102" s="62" t="inlineStr">
        <is>
          <t>Плёнка как материал / промышленное производство основы</t>
        </is>
      </c>
      <c r="Z102" s="62" t="inlineStr">
        <is>
          <t>Распространение / коммерциализация</t>
        </is>
      </c>
      <c r="AA102" s="62" t="n"/>
    </row>
    <row r="103" ht="17" customHeight="1" s="59">
      <c r="A103" s="62" t="inlineStr">
        <is>
          <t>PL-HIST-0102</t>
        </is>
      </c>
      <c r="B103" s="62" t="inlineStr">
        <is>
          <t>1903</t>
        </is>
      </c>
      <c r="C103" s="62" t="inlineStr">
        <is>
          <t>год</t>
        </is>
      </c>
      <c r="D103" s="62" t="inlineStr">
        <is>
          <t>США</t>
        </is>
      </c>
      <c r="E103" s="62" t="inlineStr">
        <is>
          <t>Рочестер, Нью-Йорк</t>
        </is>
      </c>
      <c r="F103" s="62" t="inlineStr">
        <is>
          <t>Eastman Kodak Company</t>
        </is>
      </c>
      <c r="G103" s="62" t="inlineStr">
        <is>
          <t>Kodak Non-Curling Film вводится как более практичная любительская плёнка, рассчитанная на ровность и удобство использования.</t>
        </is>
      </c>
      <c r="H103" s="62" t="inlineStr">
        <is>
          <t>Негатив-позитив</t>
        </is>
      </c>
      <c r="I103" s="62" t="inlineStr">
        <is>
          <t>Kodak Non-Curling Film</t>
        </is>
      </c>
      <c r="J103" s="62" t="inlineStr">
        <is>
          <t>Плёнка должна не только реагировать на свет, но и физически вести себя предсказуемо: не скручиваться, не мешать съёмке и обработке.</t>
        </is>
      </c>
      <c r="K103" s="62" t="inlineStr">
        <is>
          <t>Ранние рулонные плёнки и прозрачная основа</t>
        </is>
      </c>
      <c r="L103" s="62" t="inlineStr">
        <is>
          <t>Более стабильные плёночные основы и массовая любительская фотография</t>
        </is>
      </c>
      <c r="M103" s="62" t="inlineStr">
        <is>
          <t>Распространение / коммерциализация</t>
        </is>
      </c>
      <c r="N103" s="62" t="n">
        <v>3</v>
      </c>
      <c r="O103" s="62" t="inlineStr">
        <is>
          <t>PL-011</t>
        </is>
      </c>
      <c r="P103" s="62" t="inlineStr">
        <is>
          <t>SRC-071</t>
        </is>
      </c>
      <c r="Q103" s="62" t="inlineStr">
        <is>
          <t>Kodak — Milestones</t>
        </is>
      </c>
      <c r="R103" s="62" t="inlineStr">
        <is>
          <t>https://www.kodak.com/en/company/page/milestones/</t>
        </is>
      </c>
      <c r="S103" s="62" t="n">
        <v>5</v>
      </c>
      <c r="T103" s="62" t="inlineStr">
        <is>
          <t>Хороший пример для новичка: свойства плёнки — это не только химия, но и механика материала.</t>
        </is>
      </c>
      <c r="U103" s="62" t="inlineStr">
        <is>
          <t>Рулон плёнки пытается свернуться; рядом более ровная лента с подписью «non-curling».</t>
        </is>
      </c>
      <c r="V103" s="62" t="inlineStr">
        <is>
          <t>#PL011 #non-curling-film #film-base #Kodak</t>
        </is>
      </c>
      <c r="W103" s="62" t="inlineStr">
        <is>
          <t>Проверить, насколько подробно раскрывать этот узел в полном уроке: можно оставить как дополнительный факт.</t>
        </is>
      </c>
      <c r="X103" s="62" t="inlineStr">
        <is>
          <t>43.1566, -77.6088</t>
        </is>
      </c>
      <c r="Y103" s="62" t="inlineStr">
        <is>
          <t>Плёнка как материал / механическая стабильность</t>
        </is>
      </c>
      <c r="Z103" s="62" t="inlineStr">
        <is>
          <t>Технология / процесс</t>
        </is>
      </c>
      <c r="AA103" s="62" t="n"/>
    </row>
    <row r="104" ht="17" customHeight="1" s="59">
      <c r="A104" s="62" t="inlineStr">
        <is>
          <t>PL-HIST-0103</t>
        </is>
      </c>
      <c r="B104" s="62" t="inlineStr">
        <is>
          <t>1908</t>
        </is>
      </c>
      <c r="C104" s="62" t="inlineStr">
        <is>
          <t>год</t>
        </is>
      </c>
      <c r="D104" s="62" t="inlineStr">
        <is>
          <t>США</t>
        </is>
      </c>
      <c r="E104" s="62" t="inlineStr">
        <is>
          <t>Рочестер, Нью-Йорк</t>
        </is>
      </c>
      <c r="F104" s="62" t="inlineStr">
        <is>
          <t>Eastman Kodak Company</t>
        </is>
      </c>
      <c r="G104" s="62" t="inlineStr">
        <is>
          <t>Kodak производит первую коммерчески практичную safety film на целлюлозно-ацетатной основе вместо легко воспламеняемого нитрата.</t>
        </is>
      </c>
      <c r="H104" s="62" t="inlineStr">
        <is>
          <t>Негатив-позитив</t>
        </is>
      </c>
      <c r="I104" s="62" t="inlineStr">
        <is>
          <t>Cellulose acetate safety film</t>
        </is>
      </c>
      <c r="J104" s="62" t="inlineStr">
        <is>
          <t>У материала появляется важное качество безопасности: плёнка должна хранить изображение, но не превращаться в опасный объект.</t>
        </is>
      </c>
      <c r="K104" s="62" t="inlineStr">
        <is>
          <t>Nitrate film base</t>
        </is>
      </c>
      <c r="L104" s="62" t="inlineStr">
        <is>
          <t>Acetate safety film gradually replaces nitrate</t>
        </is>
      </c>
      <c r="M104" s="62" t="inlineStr">
        <is>
          <t>Главная линия</t>
        </is>
      </c>
      <c r="N104" s="62" t="n">
        <v>5</v>
      </c>
      <c r="O104" s="62" t="inlineStr">
        <is>
          <t>PL-011</t>
        </is>
      </c>
      <c r="P104" s="62" t="inlineStr">
        <is>
          <t>SRC-071</t>
        </is>
      </c>
      <c r="Q104" s="62" t="inlineStr">
        <is>
          <t>Kodak — Milestones</t>
        </is>
      </c>
      <c r="R104" s="62" t="inlineStr">
        <is>
          <t>https://www.kodak.com/en/company/page/milestones/</t>
        </is>
      </c>
      <c r="S104" s="62" t="n">
        <v>5</v>
      </c>
      <c r="T104" s="62" t="inlineStr">
        <is>
          <t>Это один из самых понятных мостов к хранению плёнки: основа влияет не только на съёмку, но и на жизнь архива.</t>
        </is>
      </c>
      <c r="U104" s="62" t="inlineStr">
        <is>
          <t>Две ленты: nitrate с красным предупреждением и safety film с более спокойной маркировкой.</t>
        </is>
      </c>
      <c r="V104" s="62" t="inlineStr">
        <is>
          <t>#PL011 #safety-film #cellulose-acetate #Kodak #film-base</t>
        </is>
      </c>
      <c r="W104" s="62" t="n"/>
      <c r="X104" s="62" t="inlineStr">
        <is>
          <t>43.1566, -77.6088</t>
        </is>
      </c>
      <c r="Y104" s="62" t="inlineStr">
        <is>
          <t>Плёнка как материал / safety film</t>
        </is>
      </c>
      <c r="Z104" s="62" t="inlineStr">
        <is>
          <t>Технология / процесс</t>
        </is>
      </c>
      <c r="AA104" s="62" t="n"/>
    </row>
    <row r="105" ht="17" customHeight="1" s="59">
      <c r="A105" s="62" t="inlineStr">
        <is>
          <t>PL-HIST-0104</t>
        </is>
      </c>
      <c r="B105" s="62" t="inlineStr">
        <is>
          <t>1920-е</t>
        </is>
      </c>
      <c r="C105" s="62" t="inlineStr">
        <is>
          <t>диапазон</t>
        </is>
      </c>
      <c r="D105" s="62" t="inlineStr">
        <is>
          <t>США / Европа</t>
        </is>
      </c>
      <c r="E105" s="62" t="inlineStr">
        <is>
          <t>распределённый процесс</t>
        </is>
      </c>
      <c r="F105" s="62" t="inlineStr">
        <is>
          <t>Архивы и производители фотоматериалов</t>
        </is>
      </c>
      <c r="G105" s="62" t="inlineStr">
        <is>
          <t>Целлюлозно-ацетатная «safety» плёнка постепенно заменяет нитратную основу в фотонегативах и становится доминирующей до распространения polyester-base материалов.</t>
        </is>
      </c>
      <c r="H105" s="62" t="inlineStr">
        <is>
          <t>Негатив-позитив</t>
        </is>
      </c>
      <c r="I105" s="62" t="inlineStr">
        <is>
          <t>Cellulose acetate safety film</t>
        </is>
      </c>
      <c r="J105" s="62" t="inlineStr">
        <is>
          <t>История плёнки — это не только качество изображения, но и долговечность носителя: разные основы по-разному стареют и требуют разного хранения.</t>
        </is>
      </c>
      <c r="K105" s="62" t="inlineStr">
        <is>
          <t>Cellulose nitrate film base</t>
        </is>
      </c>
      <c r="L105" s="62" t="inlineStr">
        <is>
          <t>Polyester base and modern archival practice</t>
        </is>
      </c>
      <c r="M105" s="62" t="inlineStr">
        <is>
          <t>Главная линия / временная доминирующая линия</t>
        </is>
      </c>
      <c r="N105" s="62" t="n">
        <v>4</v>
      </c>
      <c r="O105" s="62" t="inlineStr">
        <is>
          <t>PL-011</t>
        </is>
      </c>
      <c r="P105" s="62" t="inlineStr">
        <is>
          <t>SRC-070</t>
        </is>
      </c>
      <c r="Q105" s="62" t="inlineStr">
        <is>
          <t>National Archives — Film-Based Negatives and Positives</t>
        </is>
      </c>
      <c r="R105" s="62" t="inlineStr">
        <is>
          <t>https://www.archives.gov/preservation/holdings-maintenance/film-based</t>
        </is>
      </c>
      <c r="S105" s="62" t="n">
        <v>5</v>
      </c>
      <c r="T105" s="62" t="inlineStr">
        <is>
          <t>В уроке можно показать три слова: nitrate, acetate, polyester. Это помогает понять, почему плёнку хранят по правилам.</t>
        </is>
      </c>
      <c r="U105" s="62" t="inlineStr">
        <is>
          <t>Три коротких образца плёночной основы: nitrate / acetate / polyester, как музейная таблица.</t>
        </is>
      </c>
      <c r="V105" s="62" t="inlineStr">
        <is>
          <t>#PL011 #acetate-film #safety-film #film-base #preservation</t>
        </is>
      </c>
      <c r="W105" s="62" t="inlineStr">
        <is>
          <t>Уточнить на карте: это распределённый процесс, точку не ставить.</t>
        </is>
      </c>
      <c r="X105" s="62" t="n"/>
      <c r="Y105" s="62" t="inlineStr">
        <is>
          <t>Плёнка как материал / ацетатная основа и хранение</t>
        </is>
      </c>
      <c r="Z105" s="62" t="inlineStr">
        <is>
          <t>Связь / переход</t>
        </is>
      </c>
      <c r="AA105" s="62" t="n"/>
    </row>
    <row r="106" ht="17" customHeight="1" s="59">
      <c r="A106" s="62" t="inlineStr">
        <is>
          <t>PL-HIST-0105</t>
        </is>
      </c>
      <c r="B106" s="62" t="inlineStr">
        <is>
          <t>базовое понятие</t>
        </is>
      </c>
      <c r="C106" s="62" t="inlineStr">
        <is>
          <t>примерно</t>
        </is>
      </c>
      <c r="D106" s="62" t="inlineStr">
        <is>
          <t>глобально</t>
        </is>
      </c>
      <c r="E106" s="62" t="inlineStr">
        <is>
          <t>без единой точки</t>
        </is>
      </c>
      <c r="F106" s="62" t="inlineStr">
        <is>
          <t>Производители фотоплёнки</t>
        </is>
      </c>
      <c r="G106" s="62" t="inlineStr">
        <is>
          <t>Фотоплёнка в базовом виде — это прозрачная основа, покрытая светочувствительным слоем: желатиновой эмульсией с кристаллами галогенидов серебра и дополнительными служебными слоями.</t>
        </is>
      </c>
      <c r="H106" s="62" t="inlineStr">
        <is>
          <t>Фотохимия</t>
        </is>
      </c>
      <c r="I106" s="62" t="inlineStr">
        <is>
          <t>Film base + silver-halide gelatin emulsion</t>
        </is>
      </c>
      <c r="J106" s="62" t="inlineStr">
        <is>
          <t>Плёнка перестаёт быть абстрактной «катушкой»: её можно понять как слоистую систему, где каждый слой выполняет свою задачу.</t>
        </is>
      </c>
      <c r="K106" s="62" t="inlineStr">
        <is>
          <t>Гибкая прозрачная основа и сухая желатиновая эмульсия</t>
        </is>
      </c>
      <c r="L106" s="62" t="inlineStr">
        <is>
          <t>PL-012: эмульсия как главный светочувствительный слой</t>
        </is>
      </c>
      <c r="M106" s="62" t="inlineStr">
        <is>
          <t>Главная линия</t>
        </is>
      </c>
      <c r="N106" s="62" t="n">
        <v>5</v>
      </c>
      <c r="O106" s="62" t="inlineStr">
        <is>
          <t>PL-011</t>
        </is>
      </c>
      <c r="P106" s="62" t="inlineStr">
        <is>
          <t>SRC-072</t>
        </is>
      </c>
      <c r="Q106" s="62" t="inlineStr">
        <is>
          <t>Kodak — Glossary of Motion Picture Terms</t>
        </is>
      </c>
      <c r="R106" s="62" t="inlineStr">
        <is>
          <t>https://www.kodak.com/en/motion/page/glossary-of-motion-picture-terms/</t>
        </is>
      </c>
      <c r="S106" s="62" t="n">
        <v>5</v>
      </c>
      <c r="T106" s="62" t="inlineStr">
        <is>
          <t>Это главный учебный узел PL-011: основа держит форму, эмульсия ловит свет, остальные слои помогают плёнке работать.</t>
        </is>
      </c>
      <c r="U106" s="62" t="inlineStr">
        <is>
          <t>Крупная чистая схема разреза плёнки: base / emulsion / backing / protective layer.</t>
        </is>
      </c>
      <c r="V106" s="62" t="inlineStr">
        <is>
          <t>#PL011 #film-structure #emulsion #silver-halide #gelatin</t>
        </is>
      </c>
      <c r="W106" s="62" t="n"/>
      <c r="X106" s="62" t="n"/>
      <c r="Y106" s="62" t="inlineStr">
        <is>
          <t>Плёнка как материал / структура слоя</t>
        </is>
      </c>
      <c r="Z106" s="62" t="inlineStr">
        <is>
          <t>Терминология / язык</t>
        </is>
      </c>
      <c r="AA106" s="62" t="n"/>
    </row>
    <row r="107" ht="17" customHeight="1" s="59">
      <c r="A107" s="62" t="inlineStr">
        <is>
          <t>PL-HIST-0106</t>
        </is>
      </c>
      <c r="B107" s="62" t="inlineStr">
        <is>
          <t>базовое понятие</t>
        </is>
      </c>
      <c r="C107" s="62" t="inlineStr">
        <is>
          <t>примерно</t>
        </is>
      </c>
      <c r="D107" s="62" t="inlineStr">
        <is>
          <t>глобально</t>
        </is>
      </c>
      <c r="E107" s="62" t="inlineStr">
        <is>
          <t>без единой точки</t>
        </is>
      </c>
      <c r="F107" s="62" t="inlineStr">
        <is>
          <t>Химики фотоматериалов</t>
        </is>
      </c>
      <c r="G107" s="62" t="inlineStr">
        <is>
          <t>Светочувствительность плёнки создают кристаллы галогенидов серебра, взвешенные в желатине: при экспонировании в них возникает скрытое изображение.</t>
        </is>
      </c>
      <c r="H107" s="62" t="inlineStr">
        <is>
          <t>Фотохимия</t>
        </is>
      </c>
      <c r="I107" s="62" t="inlineStr">
        <is>
          <t>Silver halide crystals in gelatin</t>
        </is>
      </c>
      <c r="J107" s="62" t="inlineStr">
        <is>
          <t>Фотография на плёнку начинается не с видимой картинки, а с микроскопического химического изменения, которое ещё нужно проявить.</t>
        </is>
      </c>
      <c r="K107" s="62" t="inlineStr">
        <is>
          <t>Gelatin dry plates and flexible film base</t>
        </is>
      </c>
      <c r="L107" s="62" t="inlineStr">
        <is>
          <t>Developer makes the latent image visible</t>
        </is>
      </c>
      <c r="M107" s="62" t="inlineStr">
        <is>
          <t>Главная линия</t>
        </is>
      </c>
      <c r="N107" s="62" t="n">
        <v>5</v>
      </c>
      <c r="O107" s="62" t="inlineStr">
        <is>
          <t>PL-011</t>
        </is>
      </c>
      <c r="P107" s="62" t="inlineStr">
        <is>
          <t>SRC-073</t>
        </is>
      </c>
      <c r="Q107" s="62" t="inlineStr">
        <is>
          <t>Kodak — Essential Reference Guide for Filmmakers</t>
        </is>
      </c>
      <c r="R107" s="62" t="inlineStr">
        <is>
          <t>https://www.kodak.com/content/products-brochures/Film/kodak-essential-reference-guide-for-filmmakers.pdf</t>
        </is>
      </c>
      <c r="S107" s="62" t="n">
        <v>5</v>
      </c>
      <c r="T107" s="62" t="inlineStr">
        <is>
          <t>Формула для объяснения: свет оставляет не готовую фотографию, а след в кристаллах серебра.</t>
        </is>
      </c>
      <c r="U107" s="62" t="inlineStr">
        <is>
          <t>Макро-схема: луч света попадает в кристалл серебряной соли внутри желатина.</t>
        </is>
      </c>
      <c r="V107" s="62" t="inlineStr">
        <is>
          <t>#PL011 #silver-halide #gelatin #latent-image #photochemistry</t>
        </is>
      </c>
      <c r="W107" s="62" t="n"/>
      <c r="X107" s="62" t="n"/>
      <c r="Y107" s="62" t="inlineStr">
        <is>
          <t>Плёнка как материал / серебряные соли и желатин</t>
        </is>
      </c>
      <c r="Z107" s="62" t="inlineStr">
        <is>
          <t>Фундаментальная предпосылка</t>
        </is>
      </c>
      <c r="AA107" s="62" t="n"/>
    </row>
    <row r="108" ht="17" customHeight="1" s="59">
      <c r="A108" s="62" t="inlineStr">
        <is>
          <t>PL-HIST-0107</t>
        </is>
      </c>
      <c r="B108" s="62" t="inlineStr">
        <is>
          <t>базовое понятие</t>
        </is>
      </c>
      <c r="C108" s="62" t="inlineStr">
        <is>
          <t>примерно</t>
        </is>
      </c>
      <c r="D108" s="62" t="inlineStr">
        <is>
          <t>глобально</t>
        </is>
      </c>
      <c r="E108" s="62" t="inlineStr">
        <is>
          <t>без единой точки</t>
        </is>
      </c>
      <c r="F108" s="62" t="inlineStr">
        <is>
          <t>Фотолаборатории</t>
        </is>
      </c>
      <c r="G108" s="62" t="inlineStr">
        <is>
          <t>После экспозиции изображение на плёнке скрытое: проявитель усиливает его до видимого серебряного изображения, а фиксаж удаляет оставшиеся неэкспонированные галогениды серебра.</t>
        </is>
      </c>
      <c r="H108" s="62" t="inlineStr">
        <is>
          <t>Фотохимия</t>
        </is>
      </c>
      <c r="I108" s="62" t="inlineStr">
        <is>
          <t>Latent image, developer and fixer</t>
        </is>
      </c>
      <c r="J108" s="62" t="inlineStr">
        <is>
          <t>Плёнка — это материал, который требует процесса: камера только записывает скрытый след, а фотография появляется в проявке.</t>
        </is>
      </c>
      <c r="K108" s="62" t="inlineStr">
        <is>
          <t>Latent image in silver halide grains</t>
        </is>
      </c>
      <c r="L108" s="62" t="inlineStr">
        <is>
          <t>PL-013 and PL-014: negative and positive</t>
        </is>
      </c>
      <c r="M108" s="62" t="inlineStr">
        <is>
          <t>Главная линия</t>
        </is>
      </c>
      <c r="N108" s="62" t="n">
        <v>5</v>
      </c>
      <c r="O108" s="62" t="inlineStr">
        <is>
          <t>PL-011</t>
        </is>
      </c>
      <c r="P108" s="62" t="inlineStr">
        <is>
          <t>SRC-073</t>
        </is>
      </c>
      <c r="Q108" s="62" t="inlineStr">
        <is>
          <t>Kodak — Essential Reference Guide for Filmmakers</t>
        </is>
      </c>
      <c r="R108" s="62" t="inlineStr">
        <is>
          <t>https://www.kodak.com/content/products-brochures/Film/kodak-essential-reference-guide-for-filmmakers.pdf</t>
        </is>
      </c>
      <c r="S108" s="62" t="n">
        <v>5</v>
      </c>
      <c r="T108" s="62" t="inlineStr">
        <is>
          <t>Здесь важно связать PL-011 с будущими уроками: без проявки плёнка ещё не стала изображением.</t>
        </is>
      </c>
      <c r="U108" s="62" t="inlineStr">
        <is>
          <t>Три состояния одной полоски: экспонирована / проявлена / зафиксирована.</t>
        </is>
      </c>
      <c r="V108" s="62" t="inlineStr">
        <is>
          <t>#PL011 #latent-image #developer #fixer #processing</t>
        </is>
      </c>
      <c r="W108" s="62" t="n"/>
      <c r="X108" s="62" t="n"/>
      <c r="Y108" s="62" t="inlineStr">
        <is>
          <t>Плёнка как материал / скрытое изображение и обработка</t>
        </is>
      </c>
      <c r="Z108" s="62" t="inlineStr">
        <is>
          <t>Связь / переход</t>
        </is>
      </c>
      <c r="AA108" s="62" t="n"/>
    </row>
    <row r="109" ht="17" customHeight="1" s="59">
      <c r="A109" s="62" t="inlineStr">
        <is>
          <t>PL-HIST-0108</t>
        </is>
      </c>
      <c r="B109" s="62" t="inlineStr">
        <is>
          <t>базовое понятие</t>
        </is>
      </c>
      <c r="C109" s="62" t="inlineStr">
        <is>
          <t>примерно</t>
        </is>
      </c>
      <c r="D109" s="62" t="inlineStr">
        <is>
          <t>глобально</t>
        </is>
      </c>
      <c r="E109" s="62" t="inlineStr">
        <is>
          <t>без единой точки</t>
        </is>
      </c>
      <c r="F109" s="62" t="inlineStr">
        <is>
          <t>Производители фотоплёнки</t>
        </is>
      </c>
      <c r="G109" s="62" t="inlineStr">
        <is>
          <t>Размер и распределение кристаллов в эмульсии связаны с чувствительностью, контрастом, разрешением и зерном плёнки.</t>
        </is>
      </c>
      <c r="H109" s="62" t="inlineStr">
        <is>
          <t>Фотохимия</t>
        </is>
      </c>
      <c r="I109" s="62" t="inlineStr">
        <is>
          <t>Film sensitivity, grain and resolution</t>
        </is>
      </c>
      <c r="J109" s="62" t="inlineStr">
        <is>
          <t>То, что фотограф называет ISO, зерном и характером плёнки, начинается внутри материала — в устройстве эмульсии.</t>
        </is>
      </c>
      <c r="K109" s="62" t="inlineStr">
        <is>
          <t>Silver halide crystals in gelatin</t>
        </is>
      </c>
      <c r="L109" s="62" t="inlineStr">
        <is>
          <t>PL-018: ISO плёнки; PL-019: зерно</t>
        </is>
      </c>
      <c r="M109" s="62" t="inlineStr">
        <is>
          <t>Главная линия</t>
        </is>
      </c>
      <c r="N109" s="62" t="n">
        <v>4</v>
      </c>
      <c r="O109" s="62" t="inlineStr">
        <is>
          <t>PL-011</t>
        </is>
      </c>
      <c r="P109" s="62" t="inlineStr">
        <is>
          <t>SRC-074</t>
        </is>
      </c>
      <c r="Q109" s="62" t="inlineStr">
        <is>
          <t>Kodak — Basic Sensitometry and Characteristics of Film</t>
        </is>
      </c>
      <c r="R109" s="62" t="inlineStr">
        <is>
          <t>https://www.kodak.com/uploadedfiles/motion/US_plugins_acrobat_en_motion_newsletters_filmEss_06_Characteristics_of_Film.pdf</t>
        </is>
      </c>
      <c r="S109" s="62" t="n">
        <v>5</v>
      </c>
      <c r="T109" s="62" t="inlineStr">
        <is>
          <t>Этот узел — мост к будущим темам: ISO и зерно не являются просто цифрой на коробке.</t>
        </is>
      </c>
      <c r="U109" s="62" t="inlineStr">
        <is>
          <t>Под микроскопом: разные размеры кристаллов → разные свойства плёнки.</t>
        </is>
      </c>
      <c r="V109" s="62" t="inlineStr">
        <is>
          <t>#PL011 #film-speed #grain #resolution #sensitometry</t>
        </is>
      </c>
      <c r="W109" s="62" t="n"/>
      <c r="X109" s="62" t="n"/>
      <c r="Y109" s="62" t="inlineStr">
        <is>
          <t>Плёнка как материал / чувствительность и зерно</t>
        </is>
      </c>
      <c r="Z109" s="62" t="inlineStr">
        <is>
          <t>Связь / переход</t>
        </is>
      </c>
      <c r="AA109" s="62" t="n"/>
    </row>
    <row r="110" ht="17" customHeight="1" s="59">
      <c r="A110" t="inlineStr">
        <is>
          <t>PL-HIST-0109</t>
        </is>
      </c>
      <c r="B110" t="inlineStr">
        <is>
          <t>базовое понятие</t>
        </is>
      </c>
      <c r="C110" t="inlineStr">
        <is>
          <t>примерно</t>
        </is>
      </c>
      <c r="D110" t="inlineStr">
        <is>
          <t>глобально</t>
        </is>
      </c>
      <c r="E110" t="inlineStr">
        <is>
          <t>без единой точки</t>
        </is>
      </c>
      <c r="F110" t="inlineStr">
        <is>
          <t>Производители фотоплёнки</t>
        </is>
      </c>
      <c r="G110" t="inlineStr">
        <is>
          <t>Служебные слои плёнки, например защитный supercoat и antihalation backing, защищают эмульсию и уменьшают паразитное отражение света внутри материала.</t>
        </is>
      </c>
      <c r="H110" t="inlineStr">
        <is>
          <t>Негатив-позитив</t>
        </is>
      </c>
      <c r="I110" t="inlineStr">
        <is>
          <t>Protective layer and antihalation backing</t>
        </is>
      </c>
      <c r="J110" t="inlineStr">
        <is>
          <t>Плёнка — это не один слой. Даже невидимые служебные покрытия влияют на резкость, световые ореолы, транспортировку и обработку.</t>
        </is>
      </c>
      <c r="K110" t="inlineStr">
        <is>
          <t>Base + emulsion concept</t>
        </is>
      </c>
      <c r="L110" t="inlineStr">
        <is>
          <t>Color film multilayer structure and modern film stocks</t>
        </is>
      </c>
      <c r="M110" t="inlineStr">
        <is>
          <t>Главная линия</t>
        </is>
      </c>
      <c r="N110" t="n">
        <v>4</v>
      </c>
      <c r="O110" t="inlineStr">
        <is>
          <t>PL-011</t>
        </is>
      </c>
      <c r="P110" t="inlineStr">
        <is>
          <t>SRC-075</t>
        </is>
      </c>
      <c r="Q110" t="inlineStr">
        <is>
          <t>Kodak — How Film Makes an Image / Film Structure</t>
        </is>
      </c>
      <c r="R110" t="inlineStr">
        <is>
          <t>https://125px.com/docs/motionpicture/kodak_guides/US_plugins_acrobat_en_motion_newsletters_filmEss_04_How-film-makes-image.pdf</t>
        </is>
      </c>
      <c r="S110" t="n">
        <v>4</v>
      </c>
      <c r="T110" t="inlineStr">
        <is>
          <t>Хороший визуальный финал PL-011: плёнка — это инженерная многослойная система, а не просто полоска пластика.</t>
        </is>
      </c>
      <c r="U110" t="inlineStr">
        <is>
          <t>Разрез плёнки с тонкими подписьми: supercoat, emulsion, base, antihalation layer.</t>
        </is>
      </c>
      <c r="V110" t="inlineStr">
        <is>
          <t>#PL011 #film-layers #antihalation #supercoat #film-structure</t>
        </is>
      </c>
      <c r="W110" t="inlineStr">
        <is>
          <t>Проверить оригинальный источник PDF: файл выглядит как копия Kodak guide на стороннем домене; по возможности заменить на официальный источник Kodak.</t>
        </is>
      </c>
      <c r="Y110" t="inlineStr">
        <is>
          <t>Плёнка как материал / защитные и служебные слои</t>
        </is>
      </c>
      <c r="Z110" t="inlineStr">
        <is>
          <t>Технология / процесс</t>
        </is>
      </c>
    </row>
    <row r="111" ht="17" customHeight="1" s="59">
      <c r="A111" s="62" t="inlineStr">
        <is>
          <t>PL-HIST-0110</t>
        </is>
      </c>
      <c r="B111" s="62" t="inlineStr">
        <is>
          <t>1871</t>
        </is>
      </c>
      <c r="C111" s="62" t="inlineStr">
        <is>
          <t>год</t>
        </is>
      </c>
      <c r="D111" s="62" t="inlineStr">
        <is>
          <t>Великобритания</t>
        </is>
      </c>
      <c r="E111" s="62" t="inlineStr">
        <is>
          <t>Лондон (публикация)</t>
        </is>
      </c>
      <c r="F111" s="62" t="inlineStr">
        <is>
          <t>Ричард Лич Мэддокс</t>
        </is>
      </c>
      <c r="G111" s="62" t="inlineStr">
        <is>
          <t>Публикует работу о желатино-бромидной эмульсии: светочувствительные серебряные соли удерживаются в желатине и могут быть нанесены на основу.</t>
        </is>
      </c>
      <c r="H111" s="62" t="inlineStr">
        <is>
          <t>Фотохимия</t>
        </is>
      </c>
      <c r="I111" s="62" t="inlineStr">
        <is>
          <t>Gelatino-bromide silver emulsion</t>
        </is>
      </c>
      <c r="J111" s="62" t="inlineStr">
        <is>
          <t>Эмульсия становится главным рабочим слоем фотографии: именно в ней свет оставляет скрытый след, который затем проявляется химически.</t>
        </is>
      </c>
      <c r="K111" s="62" t="inlineStr">
        <is>
          <t>Сухие пластины и плёнка как готовый светочувствительный материал</t>
        </is>
      </c>
      <c r="L111" s="62" t="inlineStr">
        <is>
          <t>Понимание кристаллов галогенидов серебра, скрытого изображения, проявления и фиксации</t>
        </is>
      </c>
      <c r="M111" s="62" t="inlineStr">
        <is>
          <t>Главная линия</t>
        </is>
      </c>
      <c r="N111" s="62" t="n">
        <v>5</v>
      </c>
      <c r="O111" s="62" t="inlineStr">
        <is>
          <t>PL-012</t>
        </is>
      </c>
      <c r="P111" s="62" t="inlineStr">
        <is>
          <t>SRC-083</t>
        </is>
      </c>
      <c r="Q111" s="62" t="inlineStr">
        <is>
          <t>Conservation Wiki — Gelatin Dry-plate Negative</t>
        </is>
      </c>
      <c r="R111" s="62" t="inlineStr">
        <is>
          <t>https://conservation-wiki.com/wiki/Gelatin_Dry-plate_Negative</t>
        </is>
      </c>
      <c r="S111" s="62" t="n">
        <v>4</v>
      </c>
      <c r="T111" s="62" t="inlineStr">
        <is>
          <t>Флагман PL-012: не плёнка как катушка, а эмульсия как место, где свет превращается в будущую фотографию.</t>
        </is>
      </c>
      <c r="U111" s="62" t="inlineStr">
        <is>
          <t>На карте: Лондон как точка перехода от сухой пластины к пониманию эмульсии; визуально — увеличенный слой с кристаллами серебра в желатине.</t>
        </is>
      </c>
      <c r="V111" s="62" t="inlineStr">
        <is>
          <t>#PL012 #emulsion #gelatin #silver-halide #Maddox</t>
        </is>
      </c>
      <c r="W111" s="62" t="inlineStr">
        <is>
          <t>Уточнить первичный источник статьи Мэддокса 1871 в British Journal of Photography.</t>
        </is>
      </c>
      <c r="X111" s="62" t="inlineStr">
        <is>
          <t>51.5074, -0.1278</t>
        </is>
      </c>
      <c r="Y111" s="62" t="inlineStr">
        <is>
          <t>Эмульсия / желатино-бромидный слой</t>
        </is>
      </c>
      <c r="Z111" s="62" t="inlineStr">
        <is>
          <t>Ключевой исторический узел</t>
        </is>
      </c>
      <c r="AA111" s="62" t="inlineStr">
        <is>
          <t>да</t>
        </is>
      </c>
    </row>
    <row r="112" ht="17" customHeight="1" s="59">
      <c r="A112" s="62" t="inlineStr">
        <is>
          <t>PL-HIST-0111</t>
        </is>
      </c>
      <c r="B112" s="62" t="inlineStr">
        <is>
          <t>XIX–XX век</t>
        </is>
      </c>
      <c r="C112" s="62" t="inlineStr">
        <is>
          <t>диапазон</t>
        </is>
      </c>
      <c r="D112" s="62" t="inlineStr">
        <is>
          <t>Глобально</t>
        </is>
      </c>
      <c r="E112" s="62" t="inlineStr">
        <is>
          <t>распределённый технический принцип</t>
        </is>
      </c>
      <c r="F112" s="62" t="inlineStr">
        <is>
          <t>Производители фотоматериалов</t>
        </is>
      </c>
      <c r="G112" s="62" t="inlineStr">
        <is>
          <t>Фотографическая эмульсия понимается как покрытие из желатина и серебряных солей на основе плёнки, бумаги или стекла.</t>
        </is>
      </c>
      <c r="H112" s="62" t="inlineStr">
        <is>
          <t>Фотохимия</t>
        </is>
      </c>
      <c r="I112" s="62" t="inlineStr">
        <is>
          <t>Photographic emulsion</t>
        </is>
      </c>
      <c r="J112" s="62" t="inlineStr">
        <is>
          <t>Появляется ясная схема материала: есть основа, есть эмульсия/связующий слой и есть вещество, которое после обработки станет изображением.</t>
        </is>
      </c>
      <c r="K112" s="62" t="inlineStr">
        <is>
          <t>Плёнка как многослойный светочувствительный материал</t>
        </is>
      </c>
      <c r="L112" s="62" t="inlineStr">
        <is>
          <t>Скрытое изображение и проявление металлического серебра</t>
        </is>
      </c>
      <c r="M112" s="62" t="inlineStr">
        <is>
          <t>Главная линия</t>
        </is>
      </c>
      <c r="N112" s="62" t="n">
        <v>5</v>
      </c>
      <c r="O112" s="62" t="inlineStr">
        <is>
          <t>PL-012</t>
        </is>
      </c>
      <c r="P112" s="62" t="inlineStr">
        <is>
          <t>SRC-076</t>
        </is>
      </c>
      <c r="Q112" s="62" t="inlineStr">
        <is>
          <t>Library of Congress — Appendix G Glossary</t>
        </is>
      </c>
      <c r="R112" s="62" t="inlineStr">
        <is>
          <t>https://www.loc.gov/catdir/cpso/app-glos.html</t>
        </is>
      </c>
      <c r="S112" s="62" t="n">
        <v>5</v>
      </c>
      <c r="T112" s="62" t="inlineStr">
        <is>
          <t>Для новичка: эмульсия — это не «молочко» и не абстракция, а конкретный слой, где живёт будущий кадр.</t>
        </is>
      </c>
      <c r="U112" s="62" t="inlineStr">
        <is>
          <t>Поперечный разрез плёнки: основа + эмульсия + кристаллы.</t>
        </is>
      </c>
      <c r="V112" s="62" t="inlineStr">
        <is>
          <t>#PL012 #emulsion #gelatin #silver-salts #film-layer</t>
        </is>
      </c>
      <c r="W112" s="62" t="n"/>
      <c r="X112" s="62" t="n"/>
      <c r="Y112" s="62" t="inlineStr">
        <is>
          <t>Эмульсия / определение</t>
        </is>
      </c>
      <c r="Z112" s="62" t="inlineStr">
        <is>
          <t>Технология / процесс</t>
        </is>
      </c>
      <c r="AA112" s="62" t="inlineStr">
        <is>
          <t>нет</t>
        </is>
      </c>
    </row>
    <row r="113" ht="17" customHeight="1" s="59">
      <c r="A113" s="62" t="inlineStr">
        <is>
          <t>PL-HIST-0112</t>
        </is>
      </c>
      <c r="B113" s="62" t="inlineStr">
        <is>
          <t>XIX–XX век</t>
        </is>
      </c>
      <c r="C113" s="62" t="inlineStr">
        <is>
          <t>диапазон</t>
        </is>
      </c>
      <c r="D113" s="62" t="inlineStr">
        <is>
          <t>Глобально</t>
        </is>
      </c>
      <c r="E113" s="62" t="inlineStr">
        <is>
          <t>распределённый технический принцип</t>
        </is>
      </c>
      <c r="F113" s="62" t="inlineStr">
        <is>
          <t>Архивисты и производители фотоматериалов</t>
        </is>
      </c>
      <c r="G113" s="62" t="inlineStr">
        <is>
          <t>Фотографический объект можно описать как систему слоёв: поддержка, связующий/эмульсионный слой и финальный материал изображения.</t>
        </is>
      </c>
      <c r="H113" s="62" t="inlineStr">
        <is>
          <t>Фотохимия</t>
        </is>
      </c>
      <c r="I113" s="62" t="inlineStr">
        <is>
          <t>Support + binder/emulsion + final image material</t>
        </is>
      </c>
      <c r="J113" s="62" t="inlineStr">
        <is>
          <t>Фотография перестаёт быть только «снимком»: её можно читать как физический объект со слоями, каждый из которых влияет на вид и сохранность.</t>
        </is>
      </c>
      <c r="K113" s="62" t="inlineStr">
        <is>
          <t>Плёнка как основа и эмульсия как светочувствительный слой</t>
        </is>
      </c>
      <c r="L113" s="62" t="inlineStr">
        <is>
          <t>Понимание хранения, проявления и разрушения фотографического изображения</t>
        </is>
      </c>
      <c r="M113" s="62" t="inlineStr">
        <is>
          <t>Главная линия</t>
        </is>
      </c>
      <c r="N113" s="62" t="n">
        <v>4</v>
      </c>
      <c r="O113" s="62" t="inlineStr">
        <is>
          <t>PL-012</t>
        </is>
      </c>
      <c r="P113" s="62" t="inlineStr">
        <is>
          <t>SRC-077</t>
        </is>
      </c>
      <c r="Q113" s="62" t="inlineStr">
        <is>
          <t>Library of Congress — Care, Handling, and Storage of Photographs</t>
        </is>
      </c>
      <c r="R113" s="62" t="inlineStr">
        <is>
          <t>https://www.loc.gov/preservation/care/photolea.html</t>
        </is>
      </c>
      <c r="S113" s="62" t="n">
        <v>5</v>
      </c>
      <c r="T113" s="62" t="inlineStr">
        <is>
          <t>Это хорошо объясняет, почему плёнка, бумага и стеклянная пластина могут быть разными основами, но логика эмульсии остаётся общей.</t>
        </is>
      </c>
      <c r="U113" s="62" t="inlineStr">
        <is>
          <t>Схема трёх слоёв: support / binder / image material.</t>
        </is>
      </c>
      <c r="V113" s="62" t="inlineStr">
        <is>
          <t>#PL012 #support #binder #image-material #conservation</t>
        </is>
      </c>
      <c r="W113" s="62" t="n"/>
      <c r="X113" s="62" t="n"/>
      <c r="Y113" s="62" t="inlineStr">
        <is>
          <t>Эмульсия / слои фотографического объекта</t>
        </is>
      </c>
      <c r="Z113" s="62" t="inlineStr">
        <is>
          <t>Фундаментальная предпосылка</t>
        </is>
      </c>
      <c r="AA113" s="62" t="inlineStr">
        <is>
          <t>нет</t>
        </is>
      </c>
    </row>
    <row r="114" ht="17" customHeight="1" s="59">
      <c r="A114" s="62" t="inlineStr">
        <is>
          <t>PL-HIST-0113</t>
        </is>
      </c>
      <c r="B114" s="62" t="inlineStr">
        <is>
          <t>технический принцип</t>
        </is>
      </c>
      <c r="C114" s="62" t="inlineStr">
        <is>
          <t>примерно</t>
        </is>
      </c>
      <c r="D114" s="62" t="inlineStr">
        <is>
          <t>Глобально</t>
        </is>
      </c>
      <c r="E114" s="62" t="inlineStr">
        <is>
          <t>распределённый технический принцип</t>
        </is>
      </c>
      <c r="F114" s="62" t="inlineStr">
        <is>
          <t>Фотохимики серебряно-желатинового процесса</t>
        </is>
      </c>
      <c r="G114" s="62" t="inlineStr">
        <is>
          <t>Кристаллы галогенидов серебра в желатине реагируют на свет и формируют невидимое скрытое изображение.</t>
        </is>
      </c>
      <c r="H114" s="62" t="inlineStr">
        <is>
          <t>Фотохимия</t>
        </is>
      </c>
      <c r="I114" s="62" t="inlineStr">
        <is>
          <t>Silver halide crystals / latent image</t>
        </is>
      </c>
      <c r="J114" s="62" t="inlineStr">
        <is>
          <t>Кадр появляется не сразу: свет создаёт в эмульсии невидимый след, который нужно проявить.</t>
        </is>
      </c>
      <c r="K114" s="62" t="inlineStr">
        <is>
          <t>Эмульсия как слой желатина и серебряных солей</t>
        </is>
      </c>
      <c r="L114" s="62" t="inlineStr">
        <is>
          <t>Проявитель превращает скрытый след в видимое металлическое серебро</t>
        </is>
      </c>
      <c r="M114" s="62" t="inlineStr">
        <is>
          <t>Главная линия</t>
        </is>
      </c>
      <c r="N114" s="62" t="n">
        <v>5</v>
      </c>
      <c r="O114" s="62" t="inlineStr">
        <is>
          <t>PL-012</t>
        </is>
      </c>
      <c r="P114" s="62" t="inlineStr">
        <is>
          <t>SRC-073</t>
        </is>
      </c>
      <c r="Q114" s="62" t="inlineStr">
        <is>
          <t>Kodak — Essential Reference Guide for Filmmakers</t>
        </is>
      </c>
      <c r="R114" s="62" t="inlineStr">
        <is>
          <t>https://www.kodak.com/content/products-brochures/Film/kodak-essential-reference-guide-for-filmmakers.pdf</t>
        </is>
      </c>
      <c r="S114" s="62" t="n">
        <v>5</v>
      </c>
      <c r="T114" s="62" t="inlineStr">
        <is>
          <t>Главная фраза урока: фотография на плёнке сначала становится невидимой.</t>
        </is>
      </c>
      <c r="U114" s="62" t="inlineStr">
        <is>
          <t>Микроскопический визуал: кристалл галогенида серебра ловит фотон и хранит скрытый след.</t>
        </is>
      </c>
      <c r="V114" s="62" t="inlineStr">
        <is>
          <t>#PL012 #silver-halide #latent-image #photochemistry</t>
        </is>
      </c>
      <c r="W114" s="62" t="n"/>
      <c r="X114" s="62" t="n"/>
      <c r="Y114" s="62" t="inlineStr">
        <is>
          <t>Эмульсия / скрытое изображение</t>
        </is>
      </c>
      <c r="Z114" s="62" t="inlineStr">
        <is>
          <t>Технология / процесс</t>
        </is>
      </c>
      <c r="AA114" s="62" t="inlineStr">
        <is>
          <t>нет</t>
        </is>
      </c>
    </row>
    <row r="115" ht="17" customHeight="1" s="59">
      <c r="A115" s="62" t="inlineStr">
        <is>
          <t>PL-HIST-0114</t>
        </is>
      </c>
      <c r="B115" s="62" t="inlineStr">
        <is>
          <t>технический принцип</t>
        </is>
      </c>
      <c r="C115" s="62" t="inlineStr">
        <is>
          <t>примерно</t>
        </is>
      </c>
      <c r="D115" s="62" t="inlineStr">
        <is>
          <t>Глобально</t>
        </is>
      </c>
      <c r="E115" s="62" t="inlineStr">
        <is>
          <t>тёмная комната / лаборатория</t>
        </is>
      </c>
      <c r="F115" s="62" t="inlineStr">
        <is>
          <t>Фотографы и лаборатории</t>
        </is>
      </c>
      <c r="G115" s="62" t="inlineStr">
        <is>
          <t>Проявитель восстанавливает экспонированные галогениды серебра до металлического серебра, делая скрытое изображение видимым.</t>
        </is>
      </c>
      <c r="H115" s="62" t="inlineStr">
        <is>
          <t>Фотохимия</t>
        </is>
      </c>
      <c r="I115" s="62" t="inlineStr">
        <is>
          <t>Chemical development / metallic silver</t>
        </is>
      </c>
      <c r="J115" s="62" t="inlineStr">
        <is>
          <t>Проявление — это усиление невидимого следа: слабое действие света превращается в видимый тональный рисунок.</t>
        </is>
      </c>
      <c r="K115" s="62" t="inlineStr">
        <is>
          <t>Скрытое изображение в кристаллах серебряных солей</t>
        </is>
      </c>
      <c r="L115" s="62" t="inlineStr">
        <is>
          <t>Остановка, фиксация и промывка делают изображение устойчивым</t>
        </is>
      </c>
      <c r="M115" s="62" t="inlineStr">
        <is>
          <t>Главная линия</t>
        </is>
      </c>
      <c r="N115" s="62" t="n">
        <v>5</v>
      </c>
      <c r="O115" s="62" t="inlineStr">
        <is>
          <t>PL-012</t>
        </is>
      </c>
      <c r="P115" s="62" t="inlineStr">
        <is>
          <t>SRC-073</t>
        </is>
      </c>
      <c r="Q115" s="62" t="inlineStr">
        <is>
          <t>Kodak — Essential Reference Guide for Filmmakers</t>
        </is>
      </c>
      <c r="R115" s="62" t="inlineStr">
        <is>
          <t>https://www.kodak.com/content/products-brochures/Film/kodak-essential-reference-guide-for-filmmakers.pdf</t>
        </is>
      </c>
      <c r="S115" s="62" t="n">
        <v>5</v>
      </c>
      <c r="T115" s="62" t="inlineStr">
        <is>
          <t>Очень важное объяснение: плёнка не «показывает» изображение сама — его раскрывает химия.</t>
        </is>
      </c>
      <c r="U115" s="62" t="inlineStr">
        <is>
          <t>Тёмная кювета: невидимое изображение постепенно появляется в проявителе.</t>
        </is>
      </c>
      <c r="V115" s="62" t="inlineStr">
        <is>
          <t>#PL012 #developer #metallic-silver #darkroom</t>
        </is>
      </c>
      <c r="W115" s="62" t="n"/>
      <c r="X115" s="62" t="n"/>
      <c r="Y115" s="62" t="inlineStr">
        <is>
          <t>Эмульсия / проявление</t>
        </is>
      </c>
      <c r="Z115" s="62" t="inlineStr">
        <is>
          <t>Технология / процесс</t>
        </is>
      </c>
      <c r="AA115" s="62" t="inlineStr">
        <is>
          <t>нет</t>
        </is>
      </c>
    </row>
    <row r="116" ht="17" customHeight="1" s="59">
      <c r="A116" s="62" t="inlineStr">
        <is>
          <t>PL-HIST-0115</t>
        </is>
      </c>
      <c r="B116" s="62" t="inlineStr">
        <is>
          <t>технический принцип</t>
        </is>
      </c>
      <c r="C116" s="62" t="inlineStr">
        <is>
          <t>примерно</t>
        </is>
      </c>
      <c r="D116" s="62" t="inlineStr">
        <is>
          <t>Глобально</t>
        </is>
      </c>
      <c r="E116" s="62" t="inlineStr">
        <is>
          <t>тёмная комната / лаборатория</t>
        </is>
      </c>
      <c r="F116" s="62" t="inlineStr">
        <is>
          <t>Фотографы и лаборатории</t>
        </is>
      </c>
      <c r="G116" s="62" t="inlineStr">
        <is>
          <t>Фиксаж удаляет неэкспонированные и непроявленные галогениды серебра, чтобы изображение больше не продолжало темнеть на свету.</t>
        </is>
      </c>
      <c r="H116" s="62" t="inlineStr">
        <is>
          <t>Фиксаж / терминология</t>
        </is>
      </c>
      <c r="I116" s="62" t="inlineStr">
        <is>
          <t>Fixing / removing unexposed silver halides</t>
        </is>
      </c>
      <c r="J116" s="62" t="inlineStr">
        <is>
          <t>Фотография становится устойчивой не только благодаря проявлению, но и благодаря удалению лишней светочувствительной химии.</t>
        </is>
      </c>
      <c r="K116" s="62" t="inlineStr">
        <is>
          <t>Проявление делает скрытое изображение видимым</t>
        </is>
      </c>
      <c r="L116" s="62" t="inlineStr">
        <is>
          <t>Промывка, сушка и долговременная сохранность серебряного изображения</t>
        </is>
      </c>
      <c r="M116" s="62" t="inlineStr">
        <is>
          <t>Главная линия</t>
        </is>
      </c>
      <c r="N116" s="62" t="n">
        <v>5</v>
      </c>
      <c r="O116" s="62" t="inlineStr">
        <is>
          <t>PL-012</t>
        </is>
      </c>
      <c r="P116" s="62" t="inlineStr">
        <is>
          <t>SRC-079</t>
        </is>
      </c>
      <c r="Q116" s="62" t="inlineStr">
        <is>
          <t>HNOC — Gelatin Silver Developing-Out Paper Process</t>
        </is>
      </c>
      <c r="R116" s="62" t="inlineStr">
        <is>
          <t>https://hnoc.org/virtual-exhibitions/from_daguerreotype_to_digital/gelatin-silver-developing-out-paper-process</t>
        </is>
      </c>
      <c r="S116" s="62" t="n">
        <v>5</v>
      </c>
      <c r="T116" s="62" t="inlineStr">
        <is>
          <t>Формула для урока: проявитель показывает изображение, фиксаж останавливает материал.</t>
        </is>
      </c>
      <c r="U116" s="62" t="inlineStr">
        <is>
          <t>Иконка замка на эмульсионном слое после фиксации.</t>
        </is>
      </c>
      <c r="V116" s="62" t="inlineStr">
        <is>
          <t>#PL012 #fixer #hypo #silver-halide #permanence</t>
        </is>
      </c>
      <c r="W116" s="62" t="n"/>
      <c r="X116" s="62" t="n"/>
      <c r="Y116" s="62" t="inlineStr">
        <is>
          <t>Эмульсия / фиксация</t>
        </is>
      </c>
      <c r="Z116" s="62" t="inlineStr">
        <is>
          <t>Технология / процесс</t>
        </is>
      </c>
      <c r="AA116" s="62" t="inlineStr">
        <is>
          <t>нет</t>
        </is>
      </c>
    </row>
    <row r="117" ht="17" customHeight="1" s="59">
      <c r="A117" s="62" t="inlineStr">
        <is>
          <t>PL-HIST-0116</t>
        </is>
      </c>
      <c r="B117" s="62" t="inlineStr">
        <is>
          <t>1878</t>
        </is>
      </c>
      <c r="C117" s="62" t="inlineStr">
        <is>
          <t>год</t>
        </is>
      </c>
      <c r="D117" s="62" t="inlineStr">
        <is>
          <t>Великобритания</t>
        </is>
      </c>
      <c r="E117" s="62" t="inlineStr">
        <is>
          <t>Лондон</t>
        </is>
      </c>
      <c r="F117" s="62" t="inlineStr">
        <is>
          <t>Чарльз Харпер Беннетт</t>
        </is>
      </c>
      <c r="G117" s="62" t="inlineStr">
        <is>
          <t>Улучшает желатиновую эмульсию длительным нагреванием/созреванием, что резко повышает её светочувствительность.</t>
        </is>
      </c>
      <c r="H117" s="62" t="inlineStr">
        <is>
          <t>Фотохимия</t>
        </is>
      </c>
      <c r="I117" s="62" t="inlineStr">
        <is>
          <t>Emulsion ripening / increased sensitivity</t>
        </is>
      </c>
      <c r="J117" s="62" t="inlineStr">
        <is>
          <t>Скорость материала начинает зависеть не только от камеры и света, но и от внутренней структуры эмульсии.</t>
        </is>
      </c>
      <c r="K117" s="62" t="inlineStr">
        <is>
          <t>Желатино-бромидная эмульсия Мэддокса 1871</t>
        </is>
      </c>
      <c r="L117" s="62" t="inlineStr">
        <is>
          <t>Более быстрые сухие пластины, моментальная съёмка и дальнейшее развитие чувствительных плёнок</t>
        </is>
      </c>
      <c r="M117" s="62" t="inlineStr">
        <is>
          <t>Главная линия</t>
        </is>
      </c>
      <c r="N117" s="62" t="n">
        <v>4</v>
      </c>
      <c r="O117" s="62" t="inlineStr">
        <is>
          <t>PL-012</t>
        </is>
      </c>
      <c r="P117" s="62" t="inlineStr">
        <is>
          <t>SRC-083</t>
        </is>
      </c>
      <c r="Q117" s="62" t="inlineStr">
        <is>
          <t>Conservation Wiki — Gelatin Dry-plate Negative</t>
        </is>
      </c>
      <c r="R117" s="62" t="inlineStr">
        <is>
          <t>https://conservation-wiki.com/wiki/Gelatin_Dry-plate_Negative</t>
        </is>
      </c>
      <c r="S117" s="62" t="n">
        <v>4</v>
      </c>
      <c r="T117" s="62" t="inlineStr">
        <is>
          <t>В PL-006 Беннетт был про мобильность; в PL-012 он важен как пример того, что свойства кадра задаются самой эмульсией.</t>
        </is>
      </c>
      <c r="U117" s="62" t="inlineStr">
        <is>
          <t>Кристаллы эмульсии как «зёрна», которые после созревания становятся чувствительнее.</t>
        </is>
      </c>
      <c r="V117" s="62" t="inlineStr">
        <is>
          <t>#PL012 #Bennett #emulsion-ripening #sensitivity</t>
        </is>
      </c>
      <c r="W117" s="62" t="inlineStr">
        <is>
          <t>По возможности заменить на музейный/первичный источник по Bennett 1878.</t>
        </is>
      </c>
      <c r="X117" s="62" t="inlineStr">
        <is>
          <t>51.5074, -0.1278</t>
        </is>
      </c>
      <c r="Y117" s="62" t="inlineStr">
        <is>
          <t>Эмульсия / повышение чувствительности</t>
        </is>
      </c>
      <c r="Z117" s="62" t="inlineStr">
        <is>
          <t>Технология / процесс</t>
        </is>
      </c>
      <c r="AA117" s="62" t="inlineStr">
        <is>
          <t>нет</t>
        </is>
      </c>
    </row>
    <row r="118" ht="17" customHeight="1" s="59">
      <c r="A118" s="62" t="inlineStr">
        <is>
          <t>PL-HIST-0117</t>
        </is>
      </c>
      <c r="B118" s="62" t="inlineStr">
        <is>
          <t>1880-е–1890-е</t>
        </is>
      </c>
      <c r="C118" s="62" t="inlineStr">
        <is>
          <t>диапазон</t>
        </is>
      </c>
      <c r="D118" s="62" t="inlineStr">
        <is>
          <t>Европа / США</t>
        </is>
      </c>
      <c r="E118" s="62" t="inlineStr">
        <is>
          <t>производственные центры</t>
        </is>
      </c>
      <c r="F118" s="62" t="inlineStr">
        <is>
          <t>Производители фотопластин, плёнки и фотобумаги</t>
        </is>
      </c>
      <c r="G118" s="62" t="inlineStr">
        <is>
          <t>Стандартизированное нанесение светочувствительной эмульсии на стекло, плёнку и бумагу делает фотоматериал более предсказуемым и массовым.</t>
        </is>
      </c>
      <c r="H118" s="62" t="inlineStr">
        <is>
          <t>Негатив-позитив</t>
        </is>
      </c>
      <c r="I118" s="62" t="inlineStr">
        <is>
          <t>Factory-coated silver gelatin materials</t>
        </is>
      </c>
      <c r="J118" s="62" t="inlineStr">
        <is>
          <t>Фотограф всё меньше зависит от самостоятельного приготовления слоя: качество изображения всё сильнее переносится на фабричную эмульсию.</t>
        </is>
      </c>
      <c r="K118" s="62" t="inlineStr">
        <is>
          <t>Сухие пластины и рулонная плёнка</t>
        </is>
      </c>
      <c r="L118" s="62" t="inlineStr">
        <is>
          <t>Массовая плёнка, фотобумага, любительская и профессиональная лаборатория XX века</t>
        </is>
      </c>
      <c r="M118" s="62" t="inlineStr">
        <is>
          <t>Распространение / коммерциализация</t>
        </is>
      </c>
      <c r="N118" s="62" t="n">
        <v>4</v>
      </c>
      <c r="O118" s="62" t="inlineStr">
        <is>
          <t>PL-012</t>
        </is>
      </c>
      <c r="P118" s="62" t="inlineStr">
        <is>
          <t>SRC-078</t>
        </is>
      </c>
      <c r="Q118" s="62" t="inlineStr">
        <is>
          <t>National Gallery of Art — Stieglitz's Practices and Processes</t>
        </is>
      </c>
      <c r="R118" s="62" t="inlineStr">
        <is>
          <t>https://www.nga.gov/research/publications/alfred-stieglitz-key-set/stieglitzs-practices-and-processes</t>
        </is>
      </c>
      <c r="S118" s="62" t="n">
        <v>4</v>
      </c>
      <c r="T118" s="62" t="inlineStr">
        <is>
          <t>Это мост от химии к индустрии: эмульсия становится производственным стандартом.</t>
        </is>
      </c>
      <c r="U118" s="62" t="inlineStr">
        <is>
          <t>Фабричная линия покрытия: равномерная полоса эмульсии на основе.</t>
        </is>
      </c>
      <c r="V118" s="62" t="inlineStr">
        <is>
          <t>#PL012 #factory-coating #silver-gelatin #photographic-material</t>
        </is>
      </c>
      <c r="W118" s="62" t="inlineStr">
        <is>
          <t>Распределённый процесс: не ставить координату без конкретного завода.</t>
        </is>
      </c>
      <c r="X118" s="62" t="n"/>
      <c r="Y118" s="62" t="inlineStr">
        <is>
          <t>Эмульсия / фабричное нанесение</t>
        </is>
      </c>
      <c r="Z118" s="62" t="inlineStr">
        <is>
          <t>Распространение / коммерциализация</t>
        </is>
      </c>
      <c r="AA118" s="62" t="inlineStr">
        <is>
          <t>нет</t>
        </is>
      </c>
    </row>
    <row r="119" ht="17" customHeight="1" s="59">
      <c r="A119" s="62" t="inlineStr">
        <is>
          <t>PL-HIST-0118</t>
        </is>
      </c>
      <c r="B119" s="62" t="inlineStr">
        <is>
          <t>1895</t>
        </is>
      </c>
      <c r="C119" s="62" t="inlineStr">
        <is>
          <t>год</t>
        </is>
      </c>
      <c r="D119" s="62" t="inlineStr">
        <is>
          <t>США</t>
        </is>
      </c>
      <c r="E119" s="62" t="inlineStr">
        <is>
          <t>Новый Орлеан (источник HNOC; процесс глобальный)</t>
        </is>
      </c>
      <c r="F119" s="62" t="inlineStr">
        <is>
          <t>Производители gelatin silver DOP papers</t>
        </is>
      </c>
      <c r="G119" s="62" t="inlineStr">
        <is>
          <t>Желатино-серебряные developing-out papers становятся удобным и стабильным процессом печати, доминирующим в XX веке.</t>
        </is>
      </c>
      <c r="H119" s="62" t="inlineStr">
        <is>
          <t>Печать / тиражирование</t>
        </is>
      </c>
      <c r="I119" s="62" t="inlineStr">
        <is>
          <t>Gelatin silver developing-out paper</t>
        </is>
      </c>
      <c r="J119" s="62" t="inlineStr">
        <is>
          <t>Та же логика эмульсии работает не только в негативе, но и в бумажной печати: скрытое изображение проявляется химически.</t>
        </is>
      </c>
      <c r="K119" s="62" t="inlineStr">
        <is>
          <t>Желатино-серебряные эмульсии на стекле и плёнке</t>
        </is>
      </c>
      <c r="L119" s="62" t="inlineStr">
        <is>
          <t>Чёрно-белая фотопечать XX века и лабораторная культура</t>
        </is>
      </c>
      <c r="M119" s="62" t="inlineStr">
        <is>
          <t>Главная линия / временная доминирующая линия</t>
        </is>
      </c>
      <c r="N119" s="62" t="n">
        <v>4</v>
      </c>
      <c r="O119" s="62" t="inlineStr">
        <is>
          <t>PL-012</t>
        </is>
      </c>
      <c r="P119" s="62" t="inlineStr">
        <is>
          <t>SRC-079</t>
        </is>
      </c>
      <c r="Q119" s="62" t="inlineStr">
        <is>
          <t>HNOC — Gelatin Silver Developing-Out Paper Process</t>
        </is>
      </c>
      <c r="R119" s="62" t="inlineStr">
        <is>
          <t>https://hnoc.org/virtual-exhibitions/from_daguerreotype_to_digital/gelatin-silver-developing-out-paper-process</t>
        </is>
      </c>
      <c r="S119" s="62" t="n">
        <v>5</v>
      </c>
      <c r="T119" s="62" t="inlineStr">
        <is>
          <t>Важно: эмульсия — это не только плёнка, но и фотобумага. Негатив и отпечаток связаны одной химической логикой.</t>
        </is>
      </c>
      <c r="U119" s="62" t="inlineStr">
        <is>
          <t>Негатив в увеличителе проецирует свет на фотобумагу с эмульсией.</t>
        </is>
      </c>
      <c r="V119" s="62" t="inlineStr">
        <is>
          <t>#PL012 #gelatin-silver #DOP #photographic-paper #print</t>
        </is>
      </c>
      <c r="W119" s="62" t="inlineStr">
        <is>
          <t>Дата относится к распространению процесса; не привязывать событие к одному городу.</t>
        </is>
      </c>
      <c r="X119" s="62" t="n"/>
      <c r="Y119" s="62" t="inlineStr">
        <is>
          <t>Эмульсия / фотобумага и developing-out print</t>
        </is>
      </c>
      <c r="Z119" s="62" t="inlineStr">
        <is>
          <t>Тиражирование / публикация</t>
        </is>
      </c>
      <c r="AA119" s="62" t="inlineStr">
        <is>
          <t>нет</t>
        </is>
      </c>
    </row>
    <row r="120" ht="17" customHeight="1" s="59">
      <c r="A120" s="62" t="inlineStr">
        <is>
          <t>PL-HIST-0119</t>
        </is>
      </c>
      <c r="B120" s="62" t="inlineStr">
        <is>
          <t>1906</t>
        </is>
      </c>
      <c r="C120" s="62" t="inlineStr">
        <is>
          <t>год</t>
        </is>
      </c>
      <c r="D120" s="62" t="inlineStr">
        <is>
          <t>Великобритания</t>
        </is>
      </c>
      <c r="E120" s="62" t="inlineStr">
        <is>
          <t>Кройдон / Лондон</t>
        </is>
      </c>
      <c r="F120" s="62" t="inlineStr">
        <is>
          <t>Wratten &amp; Wainwright / C. E. Kenneth Mees</t>
        </is>
      </c>
      <c r="G120" s="62" t="inlineStr">
        <is>
          <t>Коммерческие панхроматические пластины расширяют спектральную чувствительность эмульсии: материал начинает воспринимать весь видимый спектр.</t>
        </is>
      </c>
      <c r="H120" s="62" t="inlineStr">
        <is>
          <t>Цвет</t>
        </is>
      </c>
      <c r="I120" s="62" t="inlineStr">
        <is>
          <t>Panchromatic emulsion / sensitizing dyes</t>
        </is>
      </c>
      <c r="J120" s="62" t="inlineStr">
        <is>
          <t>Эмульсия начинает «видеть» цвета иначе: чёрно-белый снимок получает более естественное распределение тонов.</t>
        </is>
      </c>
      <c r="K120" s="62" t="inlineStr">
        <is>
          <t>Ранние эмульсии были сильнее чувствительны к синему и хуже передавали красный</t>
        </is>
      </c>
      <c r="L120" s="62" t="inlineStr">
        <is>
          <t>Панхроматическая плёнка, корректная тональная передача и путь к цветным процессам</t>
        </is>
      </c>
      <c r="M120" s="62" t="inlineStr">
        <is>
          <t>Главная линия</t>
        </is>
      </c>
      <c r="N120" s="62" t="n">
        <v>5</v>
      </c>
      <c r="O120" s="62" t="inlineStr">
        <is>
          <t>PL-012</t>
        </is>
      </c>
      <c r="P120" s="62" t="inlineStr">
        <is>
          <t>SRC-081</t>
        </is>
      </c>
      <c r="Q120" s="62" t="inlineStr">
        <is>
          <t>Science Museum Journal — Kenneth Mees, Eastman Kodak and the challenges of research</t>
        </is>
      </c>
      <c r="R120" s="62" t="inlineStr">
        <is>
          <t>https://journal.sciencemuseum.ac.uk/article/kenneth-mees-eastman-kodak/</t>
        </is>
      </c>
      <c r="S120" s="62" t="n">
        <v>4</v>
      </c>
      <c r="T120" s="62" t="inlineStr">
        <is>
          <t>Это сильный смысловой узел: эмульсия не просто чувствительная, у неё есть собственное «зрение».</t>
        </is>
      </c>
      <c r="U120" s="62" t="inlineStr">
        <is>
          <t>Спектр света входит в эмульсию; разные цвета превращаются в разные серые тона.</t>
        </is>
      </c>
      <c r="V120" s="62" t="inlineStr">
        <is>
          <t>#PL012 #panchromatic #Wratten #Mees #spectral-sensitivity</t>
        </is>
      </c>
      <c r="W120" s="62" t="inlineStr">
        <is>
          <t>Уточнить первичный источник по дате коммерческого выпуска первых панхроматических пластин.</t>
        </is>
      </c>
      <c r="X120" s="62" t="inlineStr">
        <is>
          <t>51.3762, -0.0982</t>
        </is>
      </c>
      <c r="Y120" s="62" t="inlineStr">
        <is>
          <t>Эмульсия / панхроматическая чувствительность</t>
        </is>
      </c>
      <c r="Z120" s="62" t="inlineStr">
        <is>
          <t>Технология / процесс</t>
        </is>
      </c>
      <c r="AA120" s="62" t="inlineStr">
        <is>
          <t>нет</t>
        </is>
      </c>
    </row>
    <row r="121" ht="17" customHeight="1" s="59">
      <c r="A121" s="62" t="inlineStr">
        <is>
          <t>PL-HIST-0120</t>
        </is>
      </c>
      <c r="B121" s="62" t="inlineStr">
        <is>
          <t>XX век</t>
        </is>
      </c>
      <c r="C121" s="62" t="inlineStr">
        <is>
          <t>диапазон</t>
        </is>
      </c>
      <c r="D121" s="62" t="inlineStr">
        <is>
          <t>Глобально</t>
        </is>
      </c>
      <c r="E121" s="62" t="inlineStr">
        <is>
          <t>производители плёнки и фотоматериалов</t>
        </is>
      </c>
      <c r="F121" s="62" t="inlineStr">
        <is>
          <t>Kodak и другие производители плёнки</t>
        </is>
      </c>
      <c r="G121" s="62" t="inlineStr">
        <is>
          <t>Размер, распределение и чувствительность кристаллов в эмульсии становятся основой таких свойств, как светочувствительность, зерно, контраст и тональная передача.</t>
        </is>
      </c>
      <c r="H121" s="62" t="inlineStr">
        <is>
          <t>Фотохимия</t>
        </is>
      </c>
      <c r="I121" s="62" t="inlineStr">
        <is>
          <t>Emulsion speed / grain / sensitometry</t>
        </is>
      </c>
      <c r="J121" s="62" t="inlineStr">
        <is>
          <t>Фотографические характеристики перестают быть загадкой: ISO, зерно и контраст можно объяснять через устройство эмульсии.</t>
        </is>
      </c>
      <c r="K121" s="62" t="inlineStr">
        <is>
          <t>Панхроматическая чувствительность и фабричное производство эмульсий</t>
        </is>
      </c>
      <c r="L121" s="62" t="inlineStr">
        <is>
          <t>Следующие уроки о ISO, зерне, широте и типах плёнки</t>
        </is>
      </c>
      <c r="M121" s="62" t="inlineStr">
        <is>
          <t>Главная линия</t>
        </is>
      </c>
      <c r="N121" s="62" t="n">
        <v>5</v>
      </c>
      <c r="O121" s="62" t="inlineStr">
        <is>
          <t>PL-012</t>
        </is>
      </c>
      <c r="P121" s="62" t="inlineStr">
        <is>
          <t>SRC-074</t>
        </is>
      </c>
      <c r="Q121" s="62" t="inlineStr">
        <is>
          <t>Kodak — Basic Sensitometry and Characteristics of Film</t>
        </is>
      </c>
      <c r="R121" s="62" t="inlineStr">
        <is>
          <t>https://www.kodak.com/uploadedfiles/motion/US_plugins_acrobat_en_motion_newsletters_filmEss_06_Characteristics_of_Film.pdf</t>
        </is>
      </c>
      <c r="S121" s="62" t="n">
        <v>5</v>
      </c>
      <c r="T121" s="62" t="inlineStr">
        <is>
          <t>Финальный мост PL-012: теперь можно объяснять, почему одна плёнка мелкозернистая, другая быстрая, третья контрастная.</t>
        </is>
      </c>
      <c r="U121" s="62" t="inlineStr">
        <is>
          <t>Микро-зёрна эмульсии разного размера → шкала ISO / зерно / контраст.</t>
        </is>
      </c>
      <c r="V121" s="62" t="inlineStr">
        <is>
          <t>#PL012 #film-speed #grain #sensitometry #ISO</t>
        </is>
      </c>
      <c r="W121" s="62" t="n"/>
      <c r="X121" s="62" t="n"/>
      <c r="Y121" s="62" t="inlineStr">
        <is>
          <t>Эмульсия / чувствительность и зерно</t>
        </is>
      </c>
      <c r="Z121" s="62" t="inlineStr">
        <is>
          <t>Связь / переход</t>
        </is>
      </c>
      <c r="AA121" s="62" t="inlineStr">
        <is>
          <t>нет</t>
        </is>
      </c>
    </row>
    <row r="122" ht="17" customHeight="1" s="59">
      <c r="A122" s="62" t="inlineStr">
        <is>
          <t>PL-HIST-0121</t>
        </is>
      </c>
      <c r="B122" s="62" t="inlineStr">
        <is>
          <t>базовое понятие</t>
        </is>
      </c>
      <c r="C122" s="62" t="inlineStr">
        <is>
          <t>примерно</t>
        </is>
      </c>
      <c r="D122" s="62" t="inlineStr">
        <is>
          <t>глобально</t>
        </is>
      </c>
      <c r="E122" s="62" t="inlineStr">
        <is>
          <t>без единой точки</t>
        </is>
      </c>
      <c r="F122" s="62" t="inlineStr">
        <is>
          <t>Ранние исследователи фотографии</t>
        </is>
      </c>
      <c r="G122" s="62" t="inlineStr">
        <is>
          <t>Негатив — не готовое изображение, а инверсия тонов: то, что было светлым, становится тёмным, и наоборот. Смысл не в самом эффекте, а в том, что с одной такой инвертированной матрицы можно печатать позитив снова и снова.</t>
        </is>
      </c>
      <c r="H122" s="62" t="inlineStr">
        <is>
          <t>Негатив-позитив</t>
        </is>
      </c>
      <c r="I122" s="62" t="inlineStr">
        <is>
          <t>Tonal inversion / reproducible matrix concept</t>
        </is>
      </c>
      <c r="J122" s="62" t="inlineStr">
        <is>
          <t>Фотография перестаёт мыслиться как единичный уникальный объект (как дагеротип) и начинает мыслиться как двухшаговый процесс: сначала матрица, потом тираж.</t>
        </is>
      </c>
      <c r="K122" s="62" t="inlineStr">
        <is>
          <t>Знание о светочувствительности серебряных солей (опыты Веджвуда и Дэви) и потребность превратить случайный отпечаток в управляемый тираж</t>
        </is>
      </c>
      <c r="L122" s="62" t="inlineStr">
        <is>
          <t>Публичная гонка систем в январе 1839 года</t>
        </is>
      </c>
      <c r="M122" s="62" t="inlineStr">
        <is>
          <t>Главная линия</t>
        </is>
      </c>
      <c r="N122" s="62" t="n">
        <v>4</v>
      </c>
      <c r="O122" s="62" t="inlineStr">
        <is>
          <t>PL-013</t>
        </is>
      </c>
      <c r="P122" s="62" t="inlineStr">
        <is>
          <t>SRC-088</t>
        </is>
      </c>
      <c r="Q122" s="62" t="inlineStr">
        <is>
          <t>V&amp;A — A to Z of photographic processes</t>
        </is>
      </c>
      <c r="R122" s="62" t="inlineStr">
        <is>
          <t>https://www.vam.ac.uk/articles/photographic-processes</t>
        </is>
      </c>
      <c r="S122" s="62" t="n">
        <v>5</v>
      </c>
      <c r="T122" s="62" t="inlineStr">
        <is>
          <t>Стоит явно проговорить на уроке: «негатив» — не брак и не промежуточный мусор, а рабочий инструмент тиража.</t>
        </is>
      </c>
      <c r="U122" s="62" t="inlineStr">
        <is>
          <t>Один инвертированный по тону кадр в центре, от него — стрелки к нескольким одинаковым позитивным отпечаткам.</t>
        </is>
      </c>
      <c r="V122" s="62" t="inlineStr">
        <is>
          <t>#PL013 #negative-positive #concept #tonal-inversion</t>
        </is>
      </c>
      <c r="W122" s="62" t="n"/>
      <c r="X122" s="62" t="n"/>
      <c r="Y122" s="62" t="inlineStr">
        <is>
          <t>Негатив-позитив / базовое понятие</t>
        </is>
      </c>
      <c r="Z122" s="62" t="inlineStr">
        <is>
          <t>Фундаментальная предпосылка</t>
        </is>
      </c>
      <c r="AA122" s="62" t="n"/>
    </row>
    <row r="123" ht="17" customHeight="1" s="59">
      <c r="A123" s="62" t="inlineStr">
        <is>
          <t>PL-HIST-0122</t>
        </is>
      </c>
      <c r="B123" s="62" t="inlineStr">
        <is>
          <t>январь 1839</t>
        </is>
      </c>
      <c r="C123" s="62" t="inlineStr">
        <is>
          <t>месяц</t>
        </is>
      </c>
      <c r="D123" s="62" t="inlineStr">
        <is>
          <t>Великобритания / Франция</t>
        </is>
      </c>
      <c r="E123" s="62" t="inlineStr">
        <is>
          <t>Лондон (Royal Institution) / Париж</t>
        </is>
      </c>
      <c r="F123" s="62" t="inlineStr">
        <is>
          <t>Уильям Генри Фокс Тальбот / Луи Дагер</t>
        </is>
      </c>
      <c r="G123" s="62" t="inlineStr">
        <is>
          <t>Узнав об анонсе дагеротипии Дагера в Париже, Тальбот спешно организует показ своих «фотогенных рисунков» в Royal Institution в Лондоне 25 января — как конкурирующую, воспроизводимую альтернативу уникальному изображению Дагера.</t>
        </is>
      </c>
      <c r="H123" s="62" t="inlineStr">
        <is>
          <t>Негатив-позитив</t>
        </is>
      </c>
      <c r="I123" s="62" t="inlineStr">
        <is>
          <t>Photogenic drawing vs daguerreotype priority race</t>
        </is>
      </c>
      <c r="J123" s="62" t="inlineStr">
        <is>
          <t>Миру почти одновременно предъявлены две принципиально разные системы: один снимок навсегда (дагеротип) или матрица для многих отпечатков (система Тальбота).</t>
        </is>
      </c>
      <c r="K123" s="62" t="inlineStr">
        <is>
          <t>Инверсия тонов как принцип и более ранние опыты Тальбота с фотогенными рисунками (с 1834 года)</t>
        </is>
      </c>
      <c r="L123" s="62" t="inlineStr">
        <is>
          <t>Патентные ограничения в Британии и дальнейшее развитие негативно-позитивного процесса</t>
        </is>
      </c>
      <c r="M123" s="62" t="inlineStr">
        <is>
          <t>Главная линия</t>
        </is>
      </c>
      <c r="N123" s="62" t="n">
        <v>5</v>
      </c>
      <c r="O123" s="62" t="inlineStr">
        <is>
          <t>PL-013</t>
        </is>
      </c>
      <c r="P123" s="62" t="inlineStr">
        <is>
          <t>SRC-094</t>
        </is>
      </c>
      <c r="Q123" s="62" t="inlineStr">
        <is>
          <t>The Met — William Henry Fox Talbot and the Invention of Photography</t>
        </is>
      </c>
      <c r="R123" s="62" t="inlineStr">
        <is>
          <t>https://www.metmuseum.org/essays/william-henry-fox-talbot-1800-1877-and-the-invention-of-photography</t>
        </is>
      </c>
      <c r="S123" s="62" t="n">
        <v>5</v>
      </c>
      <c r="T123" s="62" t="inlineStr">
        <is>
          <t>Это флагман PL-013: не «кто раньше изобрёл», а то, что уже в январе 1839 года мир увидел две разные логики фотографии — и мы до сих пор пользуемся системой Тальбота, а не Дагера.</t>
        </is>
      </c>
      <c r="U123" s="62" t="inlineStr">
        <is>
          <t>Лондон и Париж на карте, между ними — две расходящиеся стрелки: «один снимок навсегда» и «один негатив → много отпечатков».</t>
        </is>
      </c>
      <c r="V123" s="62" t="inlineStr">
        <is>
          <t>#PL013 #1839 #Talbot #Daguerre #priority-race #flagship</t>
        </is>
      </c>
      <c r="W123" s="62" t="n"/>
      <c r="X123" s="62" t="inlineStr">
        <is>
          <t>51.5074, -0.1278</t>
        </is>
      </c>
      <c r="Y123" s="62" t="inlineStr">
        <is>
          <t>Негатив-позитив / гонка систем 1839</t>
        </is>
      </c>
      <c r="Z123" s="62" t="inlineStr">
        <is>
          <t>Ключевой исторический узел</t>
        </is>
      </c>
      <c r="AA123" s="62" t="inlineStr">
        <is>
          <t>да</t>
        </is>
      </c>
    </row>
    <row r="124" ht="17" customHeight="1" s="59">
      <c r="A124" s="62" t="inlineStr">
        <is>
          <t>PL-HIST-0123</t>
        </is>
      </c>
      <c r="B124" s="62" t="inlineStr">
        <is>
          <t>1841–1852</t>
        </is>
      </c>
      <c r="C124" s="62" t="inlineStr">
        <is>
          <t>диапазон</t>
        </is>
      </c>
      <c r="D124" s="62" t="inlineStr">
        <is>
          <t>Великобритания</t>
        </is>
      </c>
      <c r="E124" s="62" t="inlineStr">
        <is>
          <t>по всей Британии</t>
        </is>
      </c>
      <c r="F124" s="62" t="inlineStr">
        <is>
          <t>Уильям Генри Фокс Тальбот</t>
        </is>
      </c>
      <c r="G124" s="62" t="inlineStr">
        <is>
          <t>Тальбот защищает калотип патентом и требует от профессиональных фотографов лицензионный взнос (до £300 в год) — в отличие от дагеротипа, объявленного во Франции свободным «даром миру».</t>
        </is>
      </c>
      <c r="H124" s="62" t="inlineStr">
        <is>
          <t>Негатив-позитив</t>
        </is>
      </c>
      <c r="I124" s="62" t="inlineStr">
        <is>
          <t>Calotype patent licensing</t>
        </is>
      </c>
      <c r="J124" s="62" t="inlineStr">
        <is>
          <t>Более гибкая по своей природе система (негатив-позитив) первое время распространяется в Британии медленнее, чем менее гибкий, но бесплатный дагеротип — техническое превосходство не гарантирует немедленного успеха на рынке.</t>
        </is>
      </c>
      <c r="K124" s="62" t="inlineStr">
        <is>
          <t>Публичный показ системы Тальбота в январе 1839 года</t>
        </is>
      </c>
      <c r="L124" s="62" t="inlineStr">
        <is>
          <t>Химия соляной бумажной печати как рабочий процесс негативно-позитивной системы</t>
        </is>
      </c>
      <c r="M124" s="62" t="inlineStr">
        <is>
          <t>Побочная линия / торможение</t>
        </is>
      </c>
      <c r="N124" s="62" t="n">
        <v>3</v>
      </c>
      <c r="O124" s="62" t="inlineStr">
        <is>
          <t>PL-013</t>
        </is>
      </c>
      <c r="P124" s="62" t="inlineStr">
        <is>
          <t>SRC-094</t>
        </is>
      </c>
      <c r="Q124" s="62" t="inlineStr">
        <is>
          <t>The Met — William Henry Fox Talbot and the Invention of Photography</t>
        </is>
      </c>
      <c r="R124" s="62" t="inlineStr">
        <is>
          <t>https://www.metmuseum.org/essays/william-henry-fox-talbot-1800-1877-and-the-invention-of-photography</t>
        </is>
      </c>
      <c r="S124" s="62" t="n">
        <v>4</v>
      </c>
      <c r="T124" s="62" t="inlineStr">
        <is>
          <t>Хороший пример для новичка: патент защитил доход Тальбота, но затормозил его же технологию — не единственный раз в истории фотографии, когда так происходит.</t>
        </is>
      </c>
      <c r="U124" s="62" t="inlineStr">
        <is>
          <t>Значок замка/лицензии поверх карты Британии — калотип «закрыт» ценой.</t>
        </is>
      </c>
      <c r="V124" s="62" t="inlineStr">
        <is>
          <t>#PL013 #patent #licensing #Talbot #Britain</t>
        </is>
      </c>
      <c r="W124" s="62" t="inlineStr">
        <is>
          <t>Уточнить точную сумму и годы лицензионных сборов по дополнительному источнику (сейчас указано по вторичным биографическим материалам).</t>
        </is>
      </c>
      <c r="X124" s="62" t="n"/>
      <c r="Y124" s="62" t="inlineStr">
        <is>
          <t>Негатив-позитив / патентные ограничения</t>
        </is>
      </c>
      <c r="Z124" s="62" t="inlineStr">
        <is>
          <t>Распространение / коммерциализация</t>
        </is>
      </c>
      <c r="AA124" s="62" t="n"/>
    </row>
    <row r="125" ht="17" customHeight="1" s="59">
      <c r="A125" s="62" t="inlineStr">
        <is>
          <t>PL-HIST-0124</t>
        </is>
      </c>
      <c r="B125" s="62" t="inlineStr">
        <is>
          <t>1839–1840-е</t>
        </is>
      </c>
      <c r="C125" s="62" t="inlineStr">
        <is>
          <t>диапазон</t>
        </is>
      </c>
      <c r="D125" s="62" t="inlineStr">
        <is>
          <t>глобально</t>
        </is>
      </c>
      <c r="E125" s="62" t="inlineStr">
        <is>
          <t>тёмная комната / лаборатория</t>
        </is>
      </c>
      <c r="F125" s="62" t="inlineStr">
        <is>
          <t>Ранние практики соляной печати</t>
        </is>
      </c>
      <c r="G125" s="62" t="inlineStr">
        <is>
          <t>Соляная бумажная печать работает как «печать на свету» (printing-out): бумага, пропитанная хлоридом серебра, темнеет прямо во время контактного экспонирования под солнцем — негатив просто накладывают на светочувствительную бумагу, без отдельного проявителя.</t>
        </is>
      </c>
      <c r="H125" s="62" t="inlineStr">
        <is>
          <t>Фотохимия</t>
        </is>
      </c>
      <c r="I125" s="62" t="inlineStr">
        <is>
          <t>Salted paper printing-out process</t>
        </is>
      </c>
      <c r="J125" s="62" t="inlineStr">
        <is>
          <t>У негативно-позитивной системы появляется конкретный, воспроизводимый рабочий процесс печати — не только идея «матрицы», а понятная химия, которую можно повторять и масштабировать.</t>
        </is>
      </c>
      <c r="K125" s="62" t="inlineStr">
        <is>
          <t>Патентные ограничения тормозят коммерческое распространение в Британии</t>
        </is>
      </c>
      <c r="L125" s="62" t="inlineStr">
        <is>
          <t>Использование патентной свободы во Франции и промышленная печать Бланкар-Эврара</t>
        </is>
      </c>
      <c r="M125" s="62" t="inlineStr">
        <is>
          <t>Главная линия</t>
        </is>
      </c>
      <c r="N125" s="62" t="n">
        <v>4</v>
      </c>
      <c r="O125" s="62" t="inlineStr">
        <is>
          <t>PL-013</t>
        </is>
      </c>
      <c r="P125" s="62" t="inlineStr">
        <is>
          <t>SRC-095</t>
        </is>
      </c>
      <c r="Q125" s="62" t="inlineStr">
        <is>
          <t>National Gallery of Canada — The Calotype Process</t>
        </is>
      </c>
      <c r="R125" s="62" t="inlineStr">
        <is>
          <t>https://www.gallery.ca/photo-blog/the-calotype-process</t>
        </is>
      </c>
      <c r="S125" s="62" t="n">
        <v>4</v>
      </c>
      <c r="T125" s="62" t="inlineStr">
        <is>
          <t>Можно объяснить просто: это не «проявляем в ванночке», а «кладём на солнце и наблюдаем, как темнеет» — прямая, наглядная химия.</t>
        </is>
      </c>
      <c r="U125" s="62" t="inlineStr">
        <is>
          <t>Схема: негатив + бумага с хлоридом серебра + солнце → постепенно темнеющий позитив.</t>
        </is>
      </c>
      <c r="V125" s="62" t="inlineStr">
        <is>
          <t>#PL013 #salted-paper #printing-out #chemistry</t>
        </is>
      </c>
      <c r="W125" s="62" t="n"/>
      <c r="X125" s="62" t="n"/>
      <c r="Y125" s="62" t="inlineStr">
        <is>
          <t>Негатив-позитив / химия печати</t>
        </is>
      </c>
      <c r="Z125" s="62" t="inlineStr">
        <is>
          <t>Технология / процесс</t>
        </is>
      </c>
      <c r="AA125" s="62" t="n"/>
    </row>
    <row r="126" ht="17" customHeight="1" s="59">
      <c r="A126" s="62" t="inlineStr">
        <is>
          <t>PL-HIST-0125</t>
        </is>
      </c>
      <c r="B126" s="62" t="inlineStr">
        <is>
          <t>1843</t>
        </is>
      </c>
      <c r="C126" s="62" t="inlineStr">
        <is>
          <t>год</t>
        </is>
      </c>
      <c r="D126" s="62" t="inlineStr">
        <is>
          <t>Франция</t>
        </is>
      </c>
      <c r="E126" s="62" t="inlineStr">
        <is>
          <t>Париж</t>
        </is>
      </c>
      <c r="F126" s="62" t="inlineStr">
        <is>
          <t>Уильям Генри Фокс Тальбот</t>
        </is>
      </c>
      <c r="G126" s="62" t="inlineStr">
        <is>
          <t>Тальбот приезжает в Париж, пытаясь оформить французские права на калотип, но патент во Франции не закрепляется — в отличие от Британии, там процесс можно использовать и улучшать без лицензионных сборов.</t>
        </is>
      </c>
      <c r="H126" s="62" t="inlineStr">
        <is>
          <t>Негатив-позитив</t>
        </is>
      </c>
      <c r="I126" s="62" t="inlineStr">
        <is>
          <t>Calotype patent gap in France</t>
        </is>
      </c>
      <c r="J126" s="62" t="inlineStr">
        <is>
          <t>Именно отсутствие патентного барьера во Франции откроет дорогу французским мастерам печати — усовершенствовать и промышленно масштабировать негативно-позитивный процесс возьмутся уже не в Британии.</t>
        </is>
      </c>
      <c r="K126" s="62" t="inlineStr">
        <is>
          <t>Химия соляной бумажной печати как рабочий процесс</t>
        </is>
      </c>
      <c r="L126" s="62" t="inlineStr">
        <is>
          <t>Альбуминовая печать и типография Бланкар-Эврара во Франции</t>
        </is>
      </c>
      <c r="M126" s="62" t="inlineStr">
        <is>
          <t>Связь / переход</t>
        </is>
      </c>
      <c r="N126" s="62" t="n">
        <v>4</v>
      </c>
      <c r="O126" s="62" t="inlineStr">
        <is>
          <t>PL-013</t>
        </is>
      </c>
      <c r="P126" s="62" t="inlineStr">
        <is>
          <t>SRC-094</t>
        </is>
      </c>
      <c r="Q126" s="62" t="inlineStr">
        <is>
          <t>The Met — William Henry Fox Talbot and the Invention of Photography</t>
        </is>
      </c>
      <c r="R126" s="62" t="inlineStr">
        <is>
          <t>https://www.metmuseum.org/essays/william-henry-fox-talbot-1800-1877-and-the-invention-of-photography</t>
        </is>
      </c>
      <c r="S126" s="62" t="n">
        <v>4</v>
      </c>
      <c r="T126" s="62" t="inlineStr">
        <is>
          <t>Мостик к следующему узлу (Бланкар-Эврар): негатив-позитив расцветает именно там, где патент не мешает.</t>
        </is>
      </c>
      <c r="U126" s="62" t="inlineStr">
        <is>
          <t>Карта: Британия заштрихована (лицензия), Франция — открыта.</t>
        </is>
      </c>
      <c r="V126" s="62" t="inlineStr">
        <is>
          <t>#PL013 #Talbot #Paris #patent-gap #bridge</t>
        </is>
      </c>
      <c r="W126" s="62" t="inlineStr">
        <is>
          <t>Проверить точную дату/детали переговоров Тальбота в Париже 1843 года по более специализированному источнику.</t>
        </is>
      </c>
      <c r="X126" s="62" t="inlineStr">
        <is>
          <t>48.8566, 2.3522</t>
        </is>
      </c>
      <c r="Y126" s="62" t="inlineStr">
        <is>
          <t>Негатив-позитив / переход к Франции</t>
        </is>
      </c>
      <c r="Z126" s="62" t="inlineStr">
        <is>
          <t>Связь / переход</t>
        </is>
      </c>
      <c r="AA126" s="62" t="n"/>
    </row>
    <row r="127" ht="17" customHeight="1" s="59">
      <c r="A127" s="62" t="inlineStr">
        <is>
          <t>PL-HIST-0126</t>
        </is>
      </c>
      <c r="B127" s="62" t="inlineStr">
        <is>
          <t>1850</t>
        </is>
      </c>
      <c r="C127" s="62" t="inlineStr">
        <is>
          <t>год</t>
        </is>
      </c>
      <c r="D127" s="62" t="inlineStr">
        <is>
          <t>Франция</t>
        </is>
      </c>
      <c r="E127" s="62" t="inlineStr">
        <is>
          <t>Лилль</t>
        </is>
      </c>
      <c r="F127" s="62" t="inlineStr">
        <is>
          <t>Луи-Дезире Бланкар-Эврар</t>
        </is>
      </c>
      <c r="G127" s="62" t="inlineStr">
        <is>
          <t>Альбуминовая печать становится важным способом получать детальные позитивные изображения с негативов.</t>
        </is>
      </c>
      <c r="H127" s="62" t="inlineStr">
        <is>
          <t>Печать / тиражирование</t>
        </is>
      </c>
      <c r="I127" s="62" t="inlineStr">
        <is>
          <t>Albumen print from negative</t>
        </is>
      </c>
      <c r="J127" s="62" t="inlineStr">
        <is>
          <t>Позитивный отпечаток получает более гладкую поверхность, детальность и богатый тон; негативно-позитивная система становится визуально привлекательнее.</t>
        </is>
      </c>
      <c r="K127" s="62" t="inlineStr">
        <is>
          <t>Солёная бумажная печать с бумажных негативов</t>
        </is>
      </c>
      <c r="L127" s="62" t="inlineStr">
        <is>
          <t>Связка мокрого коллодионного стеклянного негатива и альбуминовой печати</t>
        </is>
      </c>
      <c r="M127" s="62" t="inlineStr">
        <is>
          <t>Главная линия / временная доминирующая линия</t>
        </is>
      </c>
      <c r="N127" s="62" t="n">
        <v>4</v>
      </c>
      <c r="O127" s="62" t="inlineStr">
        <is>
          <t>PL-013</t>
        </is>
      </c>
      <c r="P127" s="62" t="inlineStr">
        <is>
          <t>SRC-089</t>
        </is>
      </c>
      <c r="Q127" s="62" t="inlineStr">
        <is>
          <t>Royal Collection Trust — Albumen print</t>
        </is>
      </c>
      <c r="R127" s="62" t="inlineStr">
        <is>
          <t>https://albert.rct.uk/explore/themes/photographic-technologies/albumen-print</t>
        </is>
      </c>
      <c r="S127" s="62" t="n">
        <v>5</v>
      </c>
      <c r="T127" s="62" t="inlineStr">
        <is>
          <t>В уроке: позитив — это не просто «обратный негатив», а отдельный материальный объект с бумагой, поверхностью и тоном.</t>
        </is>
      </c>
      <c r="U127" s="62" t="inlineStr">
        <is>
          <t>Стеклянный/бумажный негатив прижат к альбуминовой бумаге под светом.</t>
        </is>
      </c>
      <c r="V127" s="62" t="inlineStr">
        <is>
          <t>#PL013 #albumen #positive-print #negative-positive</t>
        </is>
      </c>
      <c r="W127" s="62" t="n"/>
      <c r="X127" s="62" t="inlineStr">
        <is>
          <t>50.6292, 3.0573</t>
        </is>
      </c>
      <c r="Y127" s="62" t="inlineStr">
        <is>
          <t>Негатив-позитив / позитивная печать</t>
        </is>
      </c>
      <c r="Z127" s="62" t="inlineStr">
        <is>
          <t>Тиражирование / публикация</t>
        </is>
      </c>
      <c r="AA127" s="62" t="n"/>
    </row>
    <row r="128" ht="17" customHeight="1" s="59">
      <c r="A128" s="62" t="inlineStr">
        <is>
          <t>PL-HIST-0127</t>
        </is>
      </c>
      <c r="B128" s="62" t="inlineStr">
        <is>
          <t>1851</t>
        </is>
      </c>
      <c r="C128" s="62" t="inlineStr">
        <is>
          <t>год</t>
        </is>
      </c>
      <c r="D128" s="62" t="inlineStr">
        <is>
          <t>Великобритания</t>
        </is>
      </c>
      <c r="E128" s="62" t="inlineStr">
        <is>
          <t>Лондон</t>
        </is>
      </c>
      <c r="F128" s="62" t="inlineStr">
        <is>
          <t>Фредерик Скотт Арчер</t>
        </is>
      </c>
      <c r="G128" s="62" t="inlineStr">
        <is>
          <t>Мокрый коллодионный стеклянный негатив соединяет высокую резкость стекла с возможностью печатать позитивы.</t>
        </is>
      </c>
      <c r="H128" s="62" t="inlineStr">
        <is>
          <t>Негатив-позитив</t>
        </is>
      </c>
      <c r="I128" s="62" t="inlineStr">
        <is>
          <t>Wet collodion glass negative</t>
        </is>
      </c>
      <c r="J128" s="62" t="inlineStr">
        <is>
          <t>Негативно-позитивная логика получает более резкую матрицу: позитивные отпечатки становятся детальнее и убедительнее.</t>
        </is>
      </c>
      <c r="K128" s="62" t="inlineStr">
        <is>
          <t>Калотип и бумажный негатив</t>
        </is>
      </c>
      <c r="L128" s="62" t="inlineStr">
        <is>
          <t>Альбуминовая печать со стеклянных негативов, массовая портретная и документальная фотография</t>
        </is>
      </c>
      <c r="M128" s="62" t="inlineStr">
        <is>
          <t>Главная линия</t>
        </is>
      </c>
      <c r="N128" s="62" t="n">
        <v>5</v>
      </c>
      <c r="O128" s="62" t="inlineStr">
        <is>
          <t>PL-013</t>
        </is>
      </c>
      <c r="P128" s="62" t="inlineStr">
        <is>
          <t>SRC-088</t>
        </is>
      </c>
      <c r="Q128" s="62" t="inlineStr">
        <is>
          <t>V&amp;A — A to Z of photographic processes</t>
        </is>
      </c>
      <c r="R128" s="62" t="inlineStr">
        <is>
          <t>https://www.vam.ac.uk/articles/photographic-processes</t>
        </is>
      </c>
      <c r="S128" s="62" t="n">
        <v>5</v>
      </c>
      <c r="T128" s="62" t="inlineStr">
        <is>
          <t>Показать отличие: у калотипа негатив бумажный и мягкий, у коллодия — стеклянный и резкий.</t>
        </is>
      </c>
      <c r="U128" s="62" t="inlineStr">
        <is>
          <t>Бумажный негатив превращается в прозрачную стеклянную пластину с резкими деталями.</t>
        </is>
      </c>
      <c r="V128" s="62" t="inlineStr">
        <is>
          <t>#PL013 #wet-collodion #glass-negative #positive-print</t>
        </is>
      </c>
      <c r="W128" s="62" t="n"/>
      <c r="X128" s="62" t="inlineStr">
        <is>
          <t>51.5074, -0.1278</t>
        </is>
      </c>
      <c r="Y128" s="62" t="inlineStr">
        <is>
          <t>Негатив-позитив / стеклянный негатив</t>
        </is>
      </c>
      <c r="Z128" s="62" t="inlineStr">
        <is>
          <t>Технология / процесс</t>
        </is>
      </c>
      <c r="AA128" s="62" t="n"/>
    </row>
    <row r="129" ht="17" customHeight="1" s="59">
      <c r="A129" s="62" t="inlineStr">
        <is>
          <t>PL-HIST-0128</t>
        </is>
      </c>
      <c r="B129" s="62" t="inlineStr">
        <is>
          <t>1854</t>
        </is>
      </c>
      <c r="C129" s="62" t="inlineStr">
        <is>
          <t>год</t>
        </is>
      </c>
      <c r="D129" s="62" t="inlineStr">
        <is>
          <t>Франция</t>
        </is>
      </c>
      <c r="E129" s="62" t="inlineStr">
        <is>
          <t>Париж</t>
        </is>
      </c>
      <c r="F129" s="62" t="inlineStr">
        <is>
          <t>Андре-Адольф-Эжен Дисдери</t>
        </is>
      </c>
      <c r="G129" s="62" t="inlineStr">
        <is>
          <t>Дисдери патентует carte-de-visite: несколько экспозиций на одной стеклянной пластине позволяют дешево печатать множество маленьких портретов.</t>
        </is>
      </c>
      <c r="H129" s="62" t="inlineStr">
        <is>
          <t>Печать / тиражирование</t>
        </is>
      </c>
      <c r="I129" s="62" t="inlineStr">
        <is>
          <t>Carte-de-visite / multiple images on one glass negative</t>
        </is>
      </c>
      <c r="J129" s="62" t="inlineStr">
        <is>
          <t>Негатив становится производственной матрицей: один лист может давать серию позитивных карточек для обмена и альбомов.</t>
        </is>
      </c>
      <c r="K129" s="62" t="inlineStr">
        <is>
          <t>Стеклянный негатив и альбуминовая печать</t>
        </is>
      </c>
      <c r="L129" s="62" t="inlineStr">
        <is>
          <t>Массовая портретная культура и семейные фотоальбомы XIX века</t>
        </is>
      </c>
      <c r="M129" s="62" t="inlineStr">
        <is>
          <t>Распространение / коммерциализация</t>
        </is>
      </c>
      <c r="N129" s="62" t="n">
        <v>4</v>
      </c>
      <c r="O129" s="62" t="inlineStr">
        <is>
          <t>PL-013</t>
        </is>
      </c>
      <c r="P129" s="62" t="inlineStr">
        <is>
          <t>SRC-090</t>
        </is>
      </c>
      <c r="Q129" s="62" t="inlineStr">
        <is>
          <t>The Met — The Industrialization of French Photography after 1860</t>
        </is>
      </c>
      <c r="R129" s="62" t="inlineStr">
        <is>
          <t>https://www.metmuseum.org/essays/the-industrialization-of-french-photography-after-1860</t>
        </is>
      </c>
      <c r="S129" s="62" t="n">
        <v>5</v>
      </c>
      <c r="T129" s="62" t="inlineStr">
        <is>
          <t>Для зрителя: негативно-позитивный процесс — это не только химия, но и экономика фотографии.</t>
        </is>
      </c>
      <c r="U129" s="62" t="inlineStr">
        <is>
          <t>Одна стеклянная пластина разделяется на восемь маленьких позитивных карточек.</t>
        </is>
      </c>
      <c r="V129" s="62" t="inlineStr">
        <is>
          <t>#PL013 #carte-de-visite #Disderi #mass-printing</t>
        </is>
      </c>
      <c r="W129" s="62" t="n"/>
      <c r="X129" s="62" t="inlineStr">
        <is>
          <t>48.8566, 2.3522</t>
        </is>
      </c>
      <c r="Y129" s="62" t="inlineStr">
        <is>
          <t>Негатив-позитив / массовый портрет</t>
        </is>
      </c>
      <c r="Z129" s="62" t="inlineStr">
        <is>
          <t>Распространение / коммерциализация</t>
        </is>
      </c>
      <c r="AA129" s="62" t="n"/>
    </row>
    <row r="130" ht="17" customHeight="1" s="59">
      <c r="A130" s="62" t="inlineStr">
        <is>
          <t>PL-HIST-0129</t>
        </is>
      </c>
      <c r="B130" s="62" t="inlineStr">
        <is>
          <t>1889</t>
        </is>
      </c>
      <c r="C130" s="62" t="inlineStr">
        <is>
          <t>год</t>
        </is>
      </c>
      <c r="D130" s="62" t="inlineStr">
        <is>
          <t>США</t>
        </is>
      </c>
      <c r="E130" s="62" t="inlineStr">
        <is>
          <t>Рочестер, Нью-Йорк</t>
        </is>
      </c>
      <c r="F130" s="62" t="inlineStr">
        <is>
          <t>Eastman Kodak</t>
        </is>
      </c>
      <c r="G130" s="62" t="inlineStr">
        <is>
          <t>Kodak выпускает коммерческую прозрачную рулонную плёнку: гибкий носитель становится новой формой негативной матрицы.</t>
        </is>
      </c>
      <c r="H130" s="62" t="inlineStr">
        <is>
          <t>Негатив-позитив</t>
        </is>
      </c>
      <c r="I130" s="62" t="inlineStr">
        <is>
          <t>Transparent roll film negative</t>
        </is>
      </c>
      <c r="J130" s="62" t="inlineStr">
        <is>
          <t>Негативно-позитивная логика переходит со стекла на гибкую плёнку и становится удобнее для массовой камеры.</t>
        </is>
      </c>
      <c r="K130" s="62" t="inlineStr">
        <is>
          <t>Сухие пластины и рулонная бумажная плёнка</t>
        </is>
      </c>
      <c r="L130" s="62" t="inlineStr">
        <is>
          <t>35 мм, фотолаборатории, массовая печать и цветная негативная плёнка</t>
        </is>
      </c>
      <c r="M130" s="62" t="inlineStr">
        <is>
          <t>Главная линия</t>
        </is>
      </c>
      <c r="N130" s="62" t="n">
        <v>5</v>
      </c>
      <c r="O130" s="62" t="inlineStr">
        <is>
          <t>PL-013</t>
        </is>
      </c>
      <c r="P130" s="62" t="inlineStr">
        <is>
          <t>SRC-031</t>
        </is>
      </c>
      <c r="Q130" s="62" t="inlineStr">
        <is>
          <t>Kodak — History</t>
        </is>
      </c>
      <c r="R130" s="62" t="inlineStr">
        <is>
          <t>https://www.kodak.com/en/company/page/history/</t>
        </is>
      </c>
      <c r="S130" s="62" t="n">
        <v>5</v>
      </c>
      <c r="T130" s="62" t="inlineStr">
        <is>
          <t>Связать с предыдущими уроками: плёнка стала не концом негативной логики, а её более удобной формой.</t>
        </is>
      </c>
      <c r="U130" s="62" t="inlineStr">
        <is>
          <t>Стеклянная пластина плавно превращается в прозрачную гибкую ленту с негативными кадрами.</t>
        </is>
      </c>
      <c r="V130" s="62" t="inlineStr">
        <is>
          <t>#PL013 #Kodak #transparent-film #film-negative</t>
        </is>
      </c>
      <c r="W130" s="62" t="n"/>
      <c r="X130" s="62" t="inlineStr">
        <is>
          <t>43.1566, -77.6088</t>
        </is>
      </c>
      <c r="Y130" s="62" t="inlineStr">
        <is>
          <t>Негатив-позитив / плёночный негатив</t>
        </is>
      </c>
      <c r="Z130" s="62" t="inlineStr">
        <is>
          <t>Связь / переход</t>
        </is>
      </c>
      <c r="AA130" s="62" t="n"/>
    </row>
    <row r="131" ht="17" customHeight="1" s="59">
      <c r="A131" s="62" t="inlineStr">
        <is>
          <t>PL-HIST-0130</t>
        </is>
      </c>
      <c r="B131" s="62" t="inlineStr">
        <is>
          <t>1890-е – XX век</t>
        </is>
      </c>
      <c r="C131" s="62" t="inlineStr">
        <is>
          <t>диапазон</t>
        </is>
      </c>
      <c r="D131" s="62" t="inlineStr">
        <is>
          <t>Европа / США</t>
        </is>
      </c>
      <c r="E131" s="62" t="inlineStr">
        <is>
          <t>лаборатории и фотопечать</t>
        </is>
      </c>
      <c r="F131" s="62" t="inlineStr">
        <is>
          <t>Фотолаборатории и фотографы</t>
        </is>
      </c>
      <c r="G131" s="62" t="inlineStr">
        <is>
          <t>Желатино-серебряная фотобумага и лабораторная печать закрепляют привычную связку: негатив проецируется или контактно печатается на бумагу, где появляется позитив.</t>
        </is>
      </c>
      <c r="H131" s="62" t="inlineStr">
        <is>
          <t>Печать / тиражирование</t>
        </is>
      </c>
      <c r="I131" s="62" t="inlineStr">
        <is>
          <t>Gelatin silver print from negative</t>
        </is>
      </c>
      <c r="J131" s="62" t="inlineStr">
        <is>
          <t>Позитивный отпечаток становится интерпретацией негатива: можно менять размер, контраст, кадрирование и тональность.</t>
        </is>
      </c>
      <c r="K131" s="62" t="inlineStr">
        <is>
          <t>Альбуминовая и контактная печать XIX века</t>
        </is>
      </c>
      <c r="L131" s="62" t="inlineStr">
        <is>
          <t>Чёрно-белая лабораторная культура XX века и авторская печать</t>
        </is>
      </c>
      <c r="M131" s="62" t="inlineStr">
        <is>
          <t>Главная линия / временная доминирующая линия</t>
        </is>
      </c>
      <c r="N131" s="62" t="n">
        <v>4</v>
      </c>
      <c r="O131" s="62" t="inlineStr">
        <is>
          <t>PL-013</t>
        </is>
      </c>
      <c r="P131" s="62" t="inlineStr">
        <is>
          <t>SRC-080</t>
        </is>
      </c>
      <c r="Q131" s="62" t="inlineStr">
        <is>
          <t>MoMA — Gelatin silver print (developing-out paper)</t>
        </is>
      </c>
      <c r="R131" s="62" t="inlineStr">
        <is>
          <t>https://www.moma.org/collection/terms/gelatin-silver-print-developing-out-paper</t>
        </is>
      </c>
      <c r="S131" s="62" t="n">
        <v>5</v>
      </c>
      <c r="T131" s="62" t="inlineStr">
        <is>
          <t>В уроке это мост к практике: негатив хранит информацию, а позитивная печать — это уже выбор автора.</t>
        </is>
      </c>
      <c r="U131" s="62" t="inlineStr">
        <is>
          <t>Увеличитель освещает негатив, на бумаге снизу появляется позитивный отпечаток.</t>
        </is>
      </c>
      <c r="V131" s="62" t="inlineStr">
        <is>
          <t>#PL013 #gelatin-silver #darkroom #positive-print</t>
        </is>
      </c>
      <c r="W131" s="62" t="inlineStr">
        <is>
          <t>Датировка обобщённая; не привязывать к одному городу или году.</t>
        </is>
      </c>
      <c r="X131" s="62" t="n"/>
      <c r="Y131" s="62" t="inlineStr">
        <is>
          <t>Негатив-позитив / позитив на бумаге</t>
        </is>
      </c>
      <c r="Z131" s="62" t="inlineStr">
        <is>
          <t>Тиражирование / публикация</t>
        </is>
      </c>
      <c r="AA131" s="62" t="n"/>
    </row>
    <row r="132" ht="17" customHeight="1" s="59">
      <c r="A132" s="62" t="inlineStr">
        <is>
          <t>PL-HIST-0131</t>
        </is>
      </c>
      <c r="B132" s="62" t="inlineStr">
        <is>
          <t>1935</t>
        </is>
      </c>
      <c r="C132" s="62" t="inlineStr">
        <is>
          <t>год</t>
        </is>
      </c>
      <c r="D132" s="62" t="inlineStr">
        <is>
          <t>США</t>
        </is>
      </c>
      <c r="E132" s="62" t="inlineStr">
        <is>
          <t>Рочестер, Нью-Йорк</t>
        </is>
      </c>
      <c r="F132" s="62" t="inlineStr">
        <is>
          <t>Eastman Kodak / Leopold Mannes / Leopold Godowsky Jr.</t>
        </is>
      </c>
      <c r="G132" s="62" t="inlineStr">
        <is>
          <t>Kodachrome показывает важное исключение: обращаемая плёнка даёт позитивную прозрачность, а не негатив для печати.</t>
        </is>
      </c>
      <c r="H132" s="62" t="inlineStr">
        <is>
          <t>Цвет</t>
        </is>
      </c>
      <c r="I132" s="62" t="inlineStr">
        <is>
          <t>Color reversal transparency / Kodachrome</t>
        </is>
      </c>
      <c r="J132" s="62" t="inlineStr">
        <is>
          <t>Появляется другой путь: не вся плёнка обязана быть негативной; слайдовая/обращаемая плёнка сразу даёт позитивное изображение для просмотра и проекции.</t>
        </is>
      </c>
      <c r="K132" s="62" t="inlineStr">
        <is>
          <t>Негативно-позитивная печатная логика</t>
        </is>
      </c>
      <c r="L132" s="62" t="inlineStr">
        <is>
          <t>Слайдовая фотография, цветная прозрачность и будущие уроки о цветной плёнке</t>
        </is>
      </c>
      <c r="M132" s="62" t="inlineStr">
        <is>
          <t>Исторически важная ограниченная ветка</t>
        </is>
      </c>
      <c r="N132" s="62" t="n">
        <v>3</v>
      </c>
      <c r="O132" s="62" t="inlineStr">
        <is>
          <t>PL-013</t>
        </is>
      </c>
      <c r="P132" s="62" t="inlineStr">
        <is>
          <t>SRC-093</t>
        </is>
      </c>
      <c r="Q132" s="62" t="inlineStr">
        <is>
          <t>National Science and Media Museum — A short history of colour photography</t>
        </is>
      </c>
      <c r="R132" s="62" t="inlineStr">
        <is>
          <t>https://www.scienceandmediamuseum.org.uk/objects-and-stories/history-colour-photography</t>
        </is>
      </c>
      <c r="S132" s="62" t="n">
        <v>5</v>
      </c>
      <c r="T132" s="62" t="inlineStr">
        <is>
          <t>В PL-013 это нужно как честная оговорка: негатив/позитив — базовая логика массовой печати, но есть и прямой позитивный путь.</t>
        </is>
      </c>
      <c r="U132" s="62" t="inlineStr">
        <is>
          <t>Рядом две ветки: негатив → бумажный позитив и reversal → прозрачный позитив-слайд.</t>
        </is>
      </c>
      <c r="V132" s="62" t="inlineStr">
        <is>
          <t>#PL013 #Kodachrome #reversal #positive #slide</t>
        </is>
      </c>
      <c r="W132" s="62" t="inlineStr">
        <is>
          <t>Не углубляться в цветную химию до будущего урока о цвете.</t>
        </is>
      </c>
      <c r="X132" s="62" t="inlineStr">
        <is>
          <t>43.1566, -77.6088</t>
        </is>
      </c>
      <c r="Y132" s="62" t="inlineStr">
        <is>
          <t>Негатив-позитив / позитивная прозрачность</t>
        </is>
      </c>
      <c r="Z132" s="62" t="inlineStr">
        <is>
          <t>Связь / переход</t>
        </is>
      </c>
      <c r="AA132" s="62" t="n"/>
    </row>
    <row r="133" ht="17" customHeight="1" s="59">
      <c r="A133" s="62" t="inlineStr">
        <is>
          <t>PL-HIST-0132</t>
        </is>
      </c>
      <c r="B133" s="62" t="inlineStr">
        <is>
          <t>1839</t>
        </is>
      </c>
      <c r="C133" s="62" t="inlineStr">
        <is>
          <t>год</t>
        </is>
      </c>
      <c r="D133" s="62" t="inlineStr">
        <is>
          <t>Франция</t>
        </is>
      </c>
      <c r="E133" s="62" t="inlineStr">
        <is>
          <t>Париж</t>
        </is>
      </c>
      <c r="F133" s="62" t="inlineStr">
        <is>
          <t>Ипполит Байяр</t>
        </is>
      </c>
      <c r="G133" s="62" t="inlineStr">
        <is>
          <t>Разрабатывает прямой позитивный процесс на бумаге: изображение получается сразу читаемым, без отдельного негатива.</t>
        </is>
      </c>
      <c r="H133" s="62" t="inlineStr">
        <is>
          <t>Уникальный позитив</t>
        </is>
      </c>
      <c r="I133" s="62" t="inlineStr">
        <is>
          <t>Direct positive paper process</t>
        </is>
      </c>
      <c r="J133" s="62" t="inlineStr">
        <is>
          <t>Позитив может появляться напрямую, но такой снимок остаётся уникальным и не даёт тиража как негативная матрица.</t>
        </is>
      </c>
      <c r="K133" s="62" t="inlineStr">
        <is>
          <t>Светочувствительная бумага и ранние эксперименты 1830-х</t>
        </is>
      </c>
      <c r="L133" s="62" t="inlineStr">
        <is>
          <t>Соляная печать и негативно-позитивная система Тальбота</t>
        </is>
      </c>
      <c r="M133" s="62" t="inlineStr">
        <is>
          <t>Исторически важная ограниченная ветка</t>
        </is>
      </c>
      <c r="N133" s="62" t="n">
        <v>4</v>
      </c>
      <c r="O133" s="62" t="inlineStr">
        <is>
          <t>PL-014</t>
        </is>
      </c>
      <c r="P133" s="62" t="inlineStr">
        <is>
          <t>SRC-096</t>
        </is>
      </c>
      <c r="Q133" s="62" t="inlineStr">
        <is>
          <t>Getty — Hippolyte Bayard: A Persistent Pioneer</t>
        </is>
      </c>
      <c r="R133" s="62" t="inlineStr">
        <is>
          <t>https://www.getty.edu/art/exhibitions/bayard/</t>
        </is>
      </c>
      <c r="S133" s="62" t="n">
        <v>5</v>
      </c>
      <c r="T133" s="62" t="inlineStr">
        <is>
          <t>В PL-014 важно сразу развести два пути: прямой позитив даёт готовую картинку, но негативно-позитивная система даёт тираж.</t>
        </is>
      </c>
      <c r="U133" s="62" t="inlineStr">
        <is>
          <t>Две развилки: бумага с прямым позитивом и рядом негатив, из которого печатаются копии.</t>
        </is>
      </c>
      <c r="V133" s="62" t="inlineStr">
        <is>
          <t>#PL014 #positive #Bayard #direct-positive</t>
        </is>
      </c>
      <c r="W133" s="62" t="n"/>
      <c r="X133" s="62" t="inlineStr">
        <is>
          <t>48.8566, 2.3522</t>
        </is>
      </c>
      <c r="Y133" s="62" t="inlineStr">
        <is>
          <t>Позитив / прямой позитив</t>
        </is>
      </c>
      <c r="Z133" s="62" t="inlineStr">
        <is>
          <t>Технология / процесс</t>
        </is>
      </c>
      <c r="AA133" s="62" t="n"/>
    </row>
    <row r="134" ht="17" customHeight="1" s="59">
      <c r="A134" s="62" t="inlineStr">
        <is>
          <t>PL-HIST-0133</t>
        </is>
      </c>
      <c r="B134" s="62" t="inlineStr">
        <is>
          <t>1839–1841</t>
        </is>
      </c>
      <c r="C134" s="62" t="inlineStr">
        <is>
          <t>диапазон</t>
        </is>
      </c>
      <c r="D134" s="62" t="inlineStr">
        <is>
          <t>Великобритания</t>
        </is>
      </c>
      <c r="E134" s="62" t="inlineStr">
        <is>
          <t>Лэкок-Эбби / Лондон</t>
        </is>
      </c>
      <c r="F134" s="62" t="inlineStr">
        <is>
          <t>Уильям Генри Фокс Тальбот</t>
        </is>
      </c>
      <c r="G134" s="62" t="inlineStr">
        <is>
          <t>Соляная бумажная печать становится первым практически важным способом получать позитивный бумажный отпечаток с негатива.</t>
        </is>
      </c>
      <c r="H134" s="62" t="inlineStr">
        <is>
          <t>Печать / тиражирование</t>
        </is>
      </c>
      <c r="I134" s="62" t="inlineStr">
        <is>
          <t>Salted paper positive print</t>
        </is>
      </c>
      <c r="J134" s="62" t="inlineStr">
        <is>
          <t>Позитив становится читаемым финальным изображением: негатив хранит информацию, а отпечаток показывает её нормальными тонами.</t>
        </is>
      </c>
      <c r="K134" s="62" t="inlineStr">
        <is>
          <t>Фотогенные рисунки и бумажные негативы Тальбота</t>
        </is>
      </c>
      <c r="L134" s="62" t="inlineStr">
        <is>
          <t>Золотое тонирование и угольная печать как ответ на проблему выцветания позитива</t>
        </is>
      </c>
      <c r="M134" s="62" t="inlineStr">
        <is>
          <t>Главная линия</t>
        </is>
      </c>
      <c r="N134" s="62" t="n">
        <v>5</v>
      </c>
      <c r="O134" s="62" t="inlineStr">
        <is>
          <t>PL-014</t>
        </is>
      </c>
      <c r="P134" s="62" t="inlineStr">
        <is>
          <t>SRC-097</t>
        </is>
      </c>
      <c r="Q134" s="62" t="inlineStr">
        <is>
          <t>Harvard — Salt Prints at Harvard</t>
        </is>
      </c>
      <c r="R134" s="62" t="inlineStr">
        <is>
          <t>https://saltprintsatharvard.hsites.harvard.edu/</t>
        </is>
      </c>
      <c r="S134" s="62" t="n">
        <v>5</v>
      </c>
      <c r="T134" s="62" t="inlineStr">
        <is>
          <t>Флагманская мысль урока: позитив — это не просто «красивый вариант», а финальная читаемая форма фотографии.</t>
        </is>
      </c>
      <c r="U134" s="62" t="inlineStr">
        <is>
          <t>Контактная печать: негатив лежит на светочувствительной бумаге, под ним рождается позитив.</t>
        </is>
      </c>
      <c r="V134" s="62" t="inlineStr">
        <is>
          <t>#PL014 #salt-print #positive-print #Talbot</t>
        </is>
      </c>
      <c r="W134" s="62" t="n"/>
      <c r="X134" s="62" t="inlineStr">
        <is>
          <t>51.4140, -2.1210</t>
        </is>
      </c>
      <c r="Y134" s="62" t="inlineStr">
        <is>
          <t>Позитив / соляная печать</t>
        </is>
      </c>
      <c r="Z134" s="62" t="inlineStr">
        <is>
          <t>Ключевой исторический узел</t>
        </is>
      </c>
      <c r="AA134" s="62" t="inlineStr">
        <is>
          <t>да</t>
        </is>
      </c>
    </row>
    <row r="135" ht="17" customHeight="1" s="59">
      <c r="A135" s="62" t="inlineStr">
        <is>
          <t>PL-HIST-0134</t>
        </is>
      </c>
      <c r="B135" s="62" t="inlineStr">
        <is>
          <t>1840 / 1847</t>
        </is>
      </c>
      <c r="C135" s="62" t="inlineStr">
        <is>
          <t>диапазон</t>
        </is>
      </c>
      <c r="D135" s="62" t="inlineStr">
        <is>
          <t>Франция / Великобритания</t>
        </is>
      </c>
      <c r="E135" s="62" t="inlineStr">
        <is>
          <t>Париж / Лондон</t>
        </is>
      </c>
      <c r="F135" s="62" t="inlineStr">
        <is>
          <t>Ипполит Физо</t>
        </is>
      </c>
      <c r="G135" s="62" t="inlineStr">
        <is>
          <t>Физо предлагает золотое тонирование (gold toning) для повышения стойкости и глубины тона дагеротипов (1840); к 1847 году тот же приём переносят на соляные бумажные позитивы.</t>
        </is>
      </c>
      <c r="H135" s="62" t="inlineStr">
        <is>
          <t>Печать / тиражирование</t>
        </is>
      </c>
      <c r="I135" s="62" t="inlineStr">
        <is>
          <t>Gold toning of positive prints</t>
        </is>
      </c>
      <c r="J135" s="62" t="inlineStr">
        <is>
          <t>Позитив — это не только изображение, но и материал, который может выцвести. Тонирование золотом делает серебряное изображение химически устойчивее и меняет его цвет с рыжеватого на холодный пурпурно-коричневый.</t>
        </is>
      </c>
      <c r="K135" s="62" t="inlineStr">
        <is>
          <t>Соляная бумажная печать как первый практический позитив</t>
        </is>
      </c>
      <c r="L135" s="62" t="inlineStr">
        <is>
          <t>Поиск ещё более стойкого позитива приводит к угольной печати</t>
        </is>
      </c>
      <c r="M135" s="62" t="inlineStr">
        <is>
          <t>Главная линия</t>
        </is>
      </c>
      <c r="N135" s="62" t="n">
        <v>3</v>
      </c>
      <c r="O135" s="62" t="inlineStr">
        <is>
          <t>PL-014</t>
        </is>
      </c>
      <c r="P135" s="62" t="inlineStr">
        <is>
          <t>SRC-105</t>
        </is>
      </c>
      <c r="Q135" s="62" t="inlineStr">
        <is>
          <t>The Art of the Photogravure — Hippolyte Fizeau (gold toning)</t>
        </is>
      </c>
      <c r="R135" s="62" t="inlineStr">
        <is>
          <t>https://photogravure.com/key-figure/hippolyte-fizeau/</t>
        </is>
      </c>
      <c r="S135" s="62" t="n">
        <v>4</v>
      </c>
      <c r="T135" s="62" t="inlineStr">
        <is>
          <t>Хороший бытовой пример: ранние позитивы буквально выцветали, и с этого момента фотографы начинают бороться за долговечность отпечатка, а не только за резкость.</t>
        </is>
      </c>
      <c r="U135" s="62" t="inlineStr">
        <is>
          <t>Один и тот же позитив до и после тонирования — сравнение оттенка и стойкости.</t>
        </is>
      </c>
      <c r="V135" s="62" t="inlineStr">
        <is>
          <t>#PL014 #gold-toning #Fizeau #permanence #positive</t>
        </is>
      </c>
      <c r="W135" s="62" t="n"/>
      <c r="X135" s="62" t="n"/>
      <c r="Y135" s="62" t="inlineStr">
        <is>
          <t>Позитив / стойкость и тонирование</t>
        </is>
      </c>
      <c r="Z135" s="62" t="inlineStr">
        <is>
          <t>Технология / процесс</t>
        </is>
      </c>
      <c r="AA135" s="62" t="n"/>
    </row>
    <row r="136" ht="17" customHeight="1" s="59">
      <c r="A136" s="62" t="inlineStr">
        <is>
          <t>PL-HIST-0135</t>
        </is>
      </c>
      <c r="B136" s="62" t="inlineStr">
        <is>
          <t>1855</t>
        </is>
      </c>
      <c r="C136" s="62" t="inlineStr">
        <is>
          <t>год</t>
        </is>
      </c>
      <c r="D136" s="62" t="inlineStr">
        <is>
          <t>Франция</t>
        </is>
      </c>
      <c r="E136" s="62" t="inlineStr">
        <is>
          <t>Париж</t>
        </is>
      </c>
      <c r="F136" s="62" t="inlineStr">
        <is>
          <t>Альфонс Пуатвен</t>
        </is>
      </c>
      <c r="G136" s="62" t="inlineStr">
        <is>
          <t>Пуатвен изобретает угольную печать (carbon print): изображение формируется не серебром, а стойким пигментом в желатине с бихроматом, что решает главную проблему ранних позитивов — выцветание.</t>
        </is>
      </c>
      <c r="H136" s="62" t="inlineStr">
        <is>
          <t>Печать / тиражирование</t>
        </is>
      </c>
      <c r="I136" s="62" t="inlineStr">
        <is>
          <t>Carbon (pigment) printing</t>
        </is>
      </c>
      <c r="J136" s="62" t="inlineStr">
        <is>
          <t>Появляется совершенно другой путь получения позитива: не серебряное изображение, которое может потускнеть, а пигмент, устойчивый к свету почти неограниченно долго.</t>
        </is>
      </c>
      <c r="K136" s="62" t="inlineStr">
        <is>
          <t>Золотое тонирование замедляет, но не решает проблему выцветания серебряных позитивов</t>
        </is>
      </c>
      <c r="L136" s="62" t="inlineStr">
        <is>
          <t>Желатино-серебряная printing-out бумага и другие поздние позитивные процессы XIX века</t>
        </is>
      </c>
      <c r="M136" s="62" t="inlineStr">
        <is>
          <t>Побочная линия / альтернативный процесс</t>
        </is>
      </c>
      <c r="N136" s="62" t="n">
        <v>4</v>
      </c>
      <c r="O136" s="62" t="inlineStr">
        <is>
          <t>PL-014</t>
        </is>
      </c>
      <c r="P136" s="62" t="inlineStr">
        <is>
          <t>SRC-106</t>
        </is>
      </c>
      <c r="Q136" s="62" t="inlineStr">
        <is>
          <t>Royal Collection Trust — Carbon print</t>
        </is>
      </c>
      <c r="R136" s="62" t="inlineStr">
        <is>
          <t>https://www.rct.uk/group/381/content/explore/themes/photographic-technologies/carbon-print</t>
        </is>
      </c>
      <c r="S136" s="62" t="n">
        <v>5</v>
      </c>
      <c r="T136" s="62" t="inlineStr">
        <is>
          <t>Важная развилка для новичка: «позитив» — это не обязательно серебро на бумаге, а любой стойкий материал, способный удержать изображение.</t>
        </is>
      </c>
      <c r="U136" s="62" t="inlineStr">
        <is>
          <t>Слой пигмента в желатине, застывающий на свету, пока непроявленная часть смывается тёплой водой.</t>
        </is>
      </c>
      <c r="V136" s="62" t="inlineStr">
        <is>
          <t>#PL014 #carbon-print #Poitevin #pigment #permanence</t>
        </is>
      </c>
      <c r="W136" s="62" t="n"/>
      <c r="X136" s="62" t="inlineStr">
        <is>
          <t>48.8566, 2.3522</t>
        </is>
      </c>
      <c r="Y136" s="62" t="inlineStr">
        <is>
          <t>Позитив / угольная печать</t>
        </is>
      </c>
      <c r="Z136" s="62" t="inlineStr">
        <is>
          <t>Технология / процесс</t>
        </is>
      </c>
      <c r="AA136" s="62" t="n"/>
    </row>
    <row r="137" ht="17" customHeight="1" s="59">
      <c r="A137" s="62" t="inlineStr">
        <is>
          <t>PL-HIST-0136</t>
        </is>
      </c>
      <c r="B137" s="62" t="inlineStr">
        <is>
          <t>1860–1940</t>
        </is>
      </c>
      <c r="C137" s="62" t="inlineStr">
        <is>
          <t>диапазон</t>
        </is>
      </c>
      <c r="D137" s="62" t="inlineStr">
        <is>
          <t>Европа / США</t>
        </is>
      </c>
      <c r="E137" s="62" t="inlineStr">
        <is>
          <t>распределённый процесс</t>
        </is>
      </c>
      <c r="F137" s="62" t="inlineStr">
        <is>
          <t>Производители фотобумаги и фотографы</t>
        </is>
      </c>
      <c r="G137" s="62" t="inlineStr">
        <is>
          <t>Gelatin silver printing-out paper сохраняет логику контактного позитива: изображение проявляется главным образом светом, без отдельного химического проявления.</t>
        </is>
      </c>
      <c r="H137" s="62" t="inlineStr">
        <is>
          <t>Печать / тиражирование</t>
        </is>
      </c>
      <c r="I137" s="62" t="inlineStr">
        <is>
          <t>Gelatin silver printing-out paper / POP</t>
        </is>
      </c>
      <c r="J137" s="62" t="inlineStr">
        <is>
          <t>Позитив остаётся связанным с размером негатива: бумага и негатив прижимаются друг к другу, а солнечный/UV-свет выводит видимое изображение.</t>
        </is>
      </c>
      <c r="K137" s="62" t="inlineStr">
        <is>
          <t>Альбуминовая и соляная контактная печать</t>
        </is>
      </c>
      <c r="L137" s="62" t="inlineStr">
        <is>
          <t>Developing-out paper, увеличитель и тёмная комната XX века</t>
        </is>
      </c>
      <c r="M137" s="62" t="inlineStr">
        <is>
          <t>Временная доминирующая линия</t>
        </is>
      </c>
      <c r="N137" s="62" t="n">
        <v>4</v>
      </c>
      <c r="O137" s="62" t="inlineStr">
        <is>
          <t>PL-014</t>
        </is>
      </c>
      <c r="P137" s="62" t="inlineStr">
        <is>
          <t>SRC-099</t>
        </is>
      </c>
      <c r="Q137" s="62" t="inlineStr">
        <is>
          <t>MoMA — Gelatin silver printing-out-paper print (POP)</t>
        </is>
      </c>
      <c r="R137" s="62" t="inlineStr">
        <is>
          <t>https://www.moma.org/collection/terms/gelatin-silver-printing-out-paper-print-pop</t>
        </is>
      </c>
      <c r="S137" s="62" t="n">
        <v>5</v>
      </c>
      <c r="T137" s="62" t="inlineStr">
        <is>
          <t>В уроке можно объяснить разницу: одни позитивы «выводятся» светом, другие проявляются химически.</t>
        </is>
      </c>
      <c r="U137" s="62" t="inlineStr">
        <is>
          <t>Солнце/UV-свет печатает позитив через негатив, как контактную копию.</t>
        </is>
      </c>
      <c r="V137" s="62" t="inlineStr">
        <is>
          <t>#PL014 #POP #printing-out-paper #positive</t>
        </is>
      </c>
      <c r="W137" s="62" t="inlineStr">
        <is>
          <t>Диапазон 1860–1940 обобщён; не привязывать к одному городу.</t>
        </is>
      </c>
      <c r="X137" s="62" t="n"/>
      <c r="Y137" s="62" t="inlineStr">
        <is>
          <t>Позитив / printing-out paper</t>
        </is>
      </c>
      <c r="Z137" s="62" t="inlineStr">
        <is>
          <t>Технология / процесс</t>
        </is>
      </c>
      <c r="AA137" s="62" t="n"/>
    </row>
    <row r="138" ht="17" customHeight="1" s="59">
      <c r="A138" s="62" t="inlineStr">
        <is>
          <t>PL-HIST-0137</t>
        </is>
      </c>
      <c r="B138" s="62" t="inlineStr">
        <is>
          <t>1873 / к 1895</t>
        </is>
      </c>
      <c r="C138" s="62" t="inlineStr">
        <is>
          <t>спорно/уточнить</t>
        </is>
      </c>
      <c r="D138" s="62" t="inlineStr">
        <is>
          <t>Великобритания</t>
        </is>
      </c>
      <c r="E138" s="62" t="inlineStr">
        <is>
          <t>Лондон / Великобритания</t>
        </is>
      </c>
      <c r="F138" s="62" t="inlineStr">
        <is>
          <t>Питер Модсли и производители фотобумаги</t>
        </is>
      </c>
      <c r="G138" s="62" t="inlineStr">
        <is>
          <t>Желатино-серебряная developing-out paper меняет позитивную печать: изображение появляется после химического проявления в тёмной комнате.</t>
        </is>
      </c>
      <c r="H138" s="62" t="inlineStr">
        <is>
          <t>Печать / тиражирование</t>
        </is>
      </c>
      <c r="I138" s="62" t="inlineStr">
        <is>
          <t>Gelatin silver developing-out paper / DOP</t>
        </is>
      </c>
      <c r="J138" s="62" t="inlineStr">
        <is>
          <t>Позитив становится более быстрым, управляемым и пригодным для увеличения: фотограф может влиять на размер, контраст и тональность отпечатка.</t>
        </is>
      </c>
      <c r="K138" s="62" t="inlineStr">
        <is>
          <t>Printing-out paper и контактная печать XIX века</t>
        </is>
      </c>
      <c r="L138" s="62" t="inlineStr">
        <is>
          <t>Тёмная комната, увеличитель и авторская чёрно-белая печать XX века</t>
        </is>
      </c>
      <c r="M138" s="62" t="inlineStr">
        <is>
          <t>Главная линия / временная доминирующая линия</t>
        </is>
      </c>
      <c r="N138" s="62" t="n">
        <v>5</v>
      </c>
      <c r="O138" s="62" t="inlineStr">
        <is>
          <t>PL-014</t>
        </is>
      </c>
      <c r="P138" s="62" t="inlineStr">
        <is>
          <t>SRC-100</t>
        </is>
      </c>
      <c r="Q138" s="62" t="inlineStr">
        <is>
          <t>HNOC — Gelatin Silver Developing-Out Paper Process</t>
        </is>
      </c>
      <c r="R138" s="62" t="inlineStr">
        <is>
          <t>https://hnoc.org/virtual-exhibitions/from_daguerreotype_to_digital/gelatin-silver-developing-out-paper-process</t>
        </is>
      </c>
      <c r="S138" s="62" t="n">
        <v>5</v>
      </c>
      <c r="T138" s="62" t="inlineStr">
        <is>
          <t>Это мост к практической фотографии: позитив можно не просто получить, а печатать как авторское решение.</t>
        </is>
      </c>
      <c r="U138" s="62" t="inlineStr">
        <is>
          <t>Красный свет тёмной комнаты, увеличитель, лист фотобумаги в ванночке проявителя.</t>
        </is>
      </c>
      <c r="V138" s="62" t="inlineStr">
        <is>
          <t>#PL014 #DOP #gelatin-silver #darkroom-print</t>
        </is>
      </c>
      <c r="W138" s="62" t="inlineStr">
        <is>
          <t>Уточнить персональную и географическую привязку Peter Mawdsley при углублении.</t>
        </is>
      </c>
      <c r="X138" s="62" t="inlineStr">
        <is>
          <t>51.5074, -0.1278</t>
        </is>
      </c>
      <c r="Y138" s="62" t="inlineStr">
        <is>
          <t>Позитив / developing-out paper</t>
        </is>
      </c>
      <c r="Z138" s="62" t="inlineStr">
        <is>
          <t>Технология / процесс</t>
        </is>
      </c>
      <c r="AA138" s="62" t="n"/>
    </row>
    <row r="139" ht="17" customHeight="1" s="59">
      <c r="A139" s="62" t="inlineStr">
        <is>
          <t>PL-HIST-0138</t>
        </is>
      </c>
      <c r="B139" s="62" t="inlineStr">
        <is>
          <t>1873 / 1880</t>
        </is>
      </c>
      <c r="C139" s="62" t="inlineStr">
        <is>
          <t>диапазон</t>
        </is>
      </c>
      <c r="D139" s="62" t="inlineStr">
        <is>
          <t>Великобритания</t>
        </is>
      </c>
      <c r="E139" s="62" t="inlineStr">
        <is>
          <t>Лондон</t>
        </is>
      </c>
      <c r="F139" s="62" t="inlineStr">
        <is>
          <t>Уильям Уиллис</t>
        </is>
      </c>
      <c r="G139" s="62" t="inlineStr">
        <is>
          <t>Уиллис патентует платинотипию (1873), а к 1880 году выпускает первую коммерческую сенсибилизированную платиновую бумагу — позитив с исключительно широким тональным диапазоном и матовой поверхностью.</t>
        </is>
      </c>
      <c r="H139" s="62" t="inlineStr">
        <is>
          <t>Печать / тиражирование</t>
        </is>
      </c>
      <c r="I139" s="62" t="inlineStr">
        <is>
          <t>Platinum print (platinotype)</t>
        </is>
      </c>
      <c r="J139" s="62" t="inlineStr">
        <is>
          <t>У фотографа впервые появляется позитивный процесс, ценимый именно за художественное качество тона, а не только за скорость или дешевизну — платиновый отпечаток практически не выцветает.</t>
        </is>
      </c>
      <c r="K139" s="62" t="inlineStr">
        <is>
          <t>Желатино-серебряная printing-out и developing-out бумага</t>
        </is>
      </c>
      <c r="L139" s="62" t="inlineStr">
        <is>
          <t>Autochrome и первые цветные позитивы-прозрачности</t>
        </is>
      </c>
      <c r="M139" s="62" t="inlineStr">
        <is>
          <t>Побочная линия / альтернативный процесс</t>
        </is>
      </c>
      <c r="N139" s="62" t="n">
        <v>3</v>
      </c>
      <c r="O139" s="62" t="inlineStr">
        <is>
          <t>PL-014</t>
        </is>
      </c>
      <c r="P139" s="62" t="inlineStr">
        <is>
          <t>SRC-107</t>
        </is>
      </c>
      <c r="Q139" s="62" t="inlineStr">
        <is>
          <t>Historic New Orleans Collection — Platinum Process</t>
        </is>
      </c>
      <c r="R139" s="62" t="inlineStr">
        <is>
          <t>https://hnoc.org/virtual-exhibitions/from_daguerreotype_to_digital/platinum-process</t>
        </is>
      </c>
      <c r="S139" s="62" t="n">
        <v>4</v>
      </c>
      <c r="T139" s="62" t="inlineStr">
        <is>
          <t>Хорошо связать с современностью: платиновую печать до сих пор используют художники именно за долговечность и особый матовый тон.</t>
        </is>
      </c>
      <c r="U139" s="62" t="inlineStr">
        <is>
          <t>Сравнение поверхности: блестящий серебряный отпечаток рядом с матовым платиновым.</t>
        </is>
      </c>
      <c r="V139" s="62" t="inlineStr">
        <is>
          <t>#PL014 #platinotype #WillisPlatinum #tonal-range #positive</t>
        </is>
      </c>
      <c r="W139" s="62" t="n"/>
      <c r="X139" s="62" t="inlineStr">
        <is>
          <t>51.5074, -0.1278</t>
        </is>
      </c>
      <c r="Y139" s="62" t="inlineStr">
        <is>
          <t>Позитив / платиновая печать</t>
        </is>
      </c>
      <c r="Z139" s="62" t="inlineStr">
        <is>
          <t>Технология / процесс</t>
        </is>
      </c>
      <c r="AA139" s="62" t="n"/>
    </row>
    <row r="140" ht="17" customHeight="1" s="59">
      <c r="A140" s="62" t="inlineStr">
        <is>
          <t>PL-HIST-0139</t>
        </is>
      </c>
      <c r="B140" s="62" t="inlineStr">
        <is>
          <t>1907</t>
        </is>
      </c>
      <c r="C140" s="62" t="inlineStr">
        <is>
          <t>год</t>
        </is>
      </c>
      <c r="D140" s="62" t="inlineStr">
        <is>
          <t>Франция</t>
        </is>
      </c>
      <c r="E140" s="62" t="inlineStr">
        <is>
          <t>Лион / Париж</t>
        </is>
      </c>
      <c r="F140" s="62" t="inlineStr">
        <is>
          <t>Братья Люмьер</t>
        </is>
      </c>
      <c r="G140" s="62" t="inlineStr">
        <is>
          <t>Autochrome Lumière даёт цветной позитив-прозрачность: изображение смотрят на просвет или проецируют.</t>
        </is>
      </c>
      <c r="H140" s="62" t="inlineStr">
        <is>
          <t>Цвет</t>
        </is>
      </c>
      <c r="I140" s="62" t="inlineStr">
        <is>
          <t>Autochrome positive transparency</t>
        </is>
      </c>
      <c r="J140" s="62" t="inlineStr">
        <is>
          <t>Позитив может быть не только бумажным отпечатком, но и прозрачностью для света, проекции и просмотра цвета.</t>
        </is>
      </c>
      <c r="K140" s="62" t="inlineStr">
        <is>
          <t>Чёрно-белые позитивные отпечатки и ранние цветовые опыты</t>
        </is>
      </c>
      <c r="L140" s="62" t="inlineStr">
        <is>
          <t>Dye Transfer и другие способы получить цветной позитив на бумаге</t>
        </is>
      </c>
      <c r="M140" s="62" t="inlineStr">
        <is>
          <t>Исторически важная ограниченная ветка</t>
        </is>
      </c>
      <c r="N140" s="62" t="n">
        <v>4</v>
      </c>
      <c r="O140" s="62" t="inlineStr">
        <is>
          <t>PL-014</t>
        </is>
      </c>
      <c r="P140" s="62" t="inlineStr">
        <is>
          <t>SRC-104</t>
        </is>
      </c>
      <c r="Q140" s="62" t="inlineStr">
        <is>
          <t>National Science and Media Museum — Autochromes: the dawn of colour photography</t>
        </is>
      </c>
      <c r="R140" s="62" t="inlineStr">
        <is>
          <t>https://blog.scienceandmediamuseum.org.uk/autochromes-the-dawn-of-colour-photography/</t>
        </is>
      </c>
      <c r="S140" s="62" t="n">
        <v>5</v>
      </c>
      <c r="T140" s="62" t="inlineStr">
        <is>
          <t>В PL-014 это расширяет понятие: позитив — не всегда бумага; иногда это изображение, которое оживает на просвет.</t>
        </is>
      </c>
      <c r="U140" s="62" t="inlineStr">
        <is>
          <t>Стеклянная цветная пластина Autochrome на световом столе.</t>
        </is>
      </c>
      <c r="V140" s="62" t="inlineStr">
        <is>
          <t>#PL014 #autochrome #positive-transparency #colour</t>
        </is>
      </c>
      <c r="W140" s="62" t="n"/>
      <c r="X140" s="62" t="inlineStr">
        <is>
          <t>45.7640, 4.8357</t>
        </is>
      </c>
      <c r="Y140" s="62" t="inlineStr">
        <is>
          <t>Позитив / цветная прозрачность</t>
        </is>
      </c>
      <c r="Z140" s="62" t="inlineStr">
        <is>
          <t>Технология / процесс</t>
        </is>
      </c>
      <c r="AA140" s="62" t="n"/>
    </row>
    <row r="141" ht="17" customHeight="1" s="59">
      <c r="A141" s="62" t="inlineStr">
        <is>
          <t>PL-HIST-0140</t>
        </is>
      </c>
      <c r="B141" s="62" t="inlineStr">
        <is>
          <t>1945 / 1946</t>
        </is>
      </c>
      <c r="C141" s="62" t="inlineStr">
        <is>
          <t>диапазон</t>
        </is>
      </c>
      <c r="D141" s="62" t="inlineStr">
        <is>
          <t>США</t>
        </is>
      </c>
      <c r="E141" s="62" t="inlineStr">
        <is>
          <t>Рочестер, Нью-Йорк</t>
        </is>
      </c>
      <c r="F141" s="62" t="inlineStr">
        <is>
          <t>Eastman Kodak</t>
        </is>
      </c>
      <c r="G141" s="62" t="inlineStr">
        <is>
          <t>Kodak выпускает Dye Transfer — процесс имбибиционной цветной печати: с трёх желатиновых матриц (голубой, пурпурный, жёлтый краситель) последовательно переносят краситель на бумагу, получая бумажный цветной позитив.</t>
        </is>
      </c>
      <c r="H141" s="62" t="inlineStr">
        <is>
          <t>Цвет</t>
        </is>
      </c>
      <c r="I141" s="62" t="inlineStr">
        <is>
          <t>Kodak Dye Transfer (dye imbibition print)</t>
        </is>
      </c>
      <c r="J141" s="62" t="inlineStr">
        <is>
          <t>Позитив в цвете перестаёт быть только прозрачностью для проекции (как Kodachrome) — теперь это ещё и бумажный отпечаток с точным контролем цвета, который фотограф может держать в руках.</t>
        </is>
      </c>
      <c r="K141" s="62" t="inlineStr">
        <is>
          <t>Autochrome и цветные позитивы-прозрачности начала XX века</t>
        </is>
      </c>
      <c r="L141" s="62" t="inlineStr">
        <is>
          <t>Хромогенная цветная печать (C-print) как массовый способ получить цветной позитив</t>
        </is>
      </c>
      <c r="M141" s="62" t="inlineStr">
        <is>
          <t>Побочная линия / студийный процесс</t>
        </is>
      </c>
      <c r="N141" s="62" t="n">
        <v>3</v>
      </c>
      <c r="O141" s="62" t="inlineStr">
        <is>
          <t>PL-014</t>
        </is>
      </c>
      <c r="P141" s="62" t="inlineStr">
        <is>
          <t>SRC-108</t>
        </is>
      </c>
      <c r="Q141" s="62" t="inlineStr">
        <is>
          <t>George Eastman Museum — Dye-transfer printing (images)</t>
        </is>
      </c>
      <c r="R141" s="62" t="inlineStr">
        <is>
          <t>https://www.eastman.org/technicolor/2b-dye-transfer-printing-images</t>
        </is>
      </c>
      <c r="S141" s="62" t="n">
        <v>4</v>
      </c>
      <c r="T141" s="62" t="inlineStr">
        <is>
          <t>Стоит отличать от Kodachrome (уже был в уроке про негатив/позитив): там прозрачность для проекции, здесь — бумажный цветной отпечаток с контролируемым цветом.</t>
        </is>
      </c>
      <c r="U141" s="62" t="inlineStr">
        <is>
          <t>Три желатиновые матрицы (C/M/Y) поочерёдно прижимаются к бумаге, оставляя слой красителя.</t>
        </is>
      </c>
      <c r="V141" s="62" t="inlineStr">
        <is>
          <t>#PL014 #dye-transfer #Kodak #color-print #imbibition</t>
        </is>
      </c>
      <c r="W141" s="62" t="n"/>
      <c r="X141" s="62" t="inlineStr">
        <is>
          <t>43.1566, -77.6088</t>
        </is>
      </c>
      <c r="Y141" s="62" t="inlineStr">
        <is>
          <t>Позитив / цветная печать с матриц</t>
        </is>
      </c>
      <c r="Z141" s="62" t="inlineStr">
        <is>
          <t>Технология / процесс</t>
        </is>
      </c>
      <c r="AA141" s="62" t="n"/>
    </row>
    <row r="142" ht="17" customHeight="1" s="59">
      <c r="A142" s="62" t="inlineStr">
        <is>
          <t>PL-HIST-0141</t>
        </is>
      </c>
      <c r="B142" s="62" t="inlineStr">
        <is>
          <t>1948</t>
        </is>
      </c>
      <c r="C142" s="62" t="inlineStr">
        <is>
          <t>год</t>
        </is>
      </c>
      <c r="D142" s="62" t="inlineStr">
        <is>
          <t>США</t>
        </is>
      </c>
      <c r="E142" s="62" t="inlineStr">
        <is>
          <t>Кембридж, Массачусетс</t>
        </is>
      </c>
      <c r="F142" s="62" t="inlineStr">
        <is>
          <t>Polaroid / Эдвин Лэнд</t>
        </is>
      </c>
      <c r="G142" s="62" t="inlineStr">
        <is>
          <t>Polaroid Land Camera Model 95 запускает массовую идею instant-positive: готовый позитивный отпечаток появляется сразу после съёмки.</t>
        </is>
      </c>
      <c r="H142" s="62" t="inlineStr">
        <is>
          <t>Уникальный позитив</t>
        </is>
      </c>
      <c r="I142" s="62" t="inlineStr">
        <is>
          <t>Instant positive print / Polaroid Model 95</t>
        </is>
      </c>
      <c r="J142" s="62" t="inlineStr">
        <is>
          <t>Позитив перестаёт требовать отдельной лабораторной задержки: фотография превращается в мгновенный объект, который можно сразу показать.</t>
        </is>
      </c>
      <c r="K142" s="62" t="inlineStr">
        <is>
          <t>Печать позитива в лаборатории и сервисная обработка</t>
        </is>
      </c>
      <c r="L142" s="62" t="inlineStr">
        <is>
          <t>Instant photography, SX-70 и современное возвращение мгновенных отпечатков</t>
        </is>
      </c>
      <c r="M142" s="62" t="inlineStr">
        <is>
          <t>Исторически важная ограниченная ветка / художественное возрождение</t>
        </is>
      </c>
      <c r="N142" s="62" t="n">
        <v>5</v>
      </c>
      <c r="O142" s="62" t="inlineStr">
        <is>
          <t>PL-014</t>
        </is>
      </c>
      <c r="P142" s="62" t="inlineStr">
        <is>
          <t>SRC-101</t>
        </is>
      </c>
      <c r="Q142" s="62" t="inlineStr">
        <is>
          <t>Smithsonian — Polaroid Land Camera Model 95</t>
        </is>
      </c>
      <c r="R142" s="62" t="inlineStr">
        <is>
          <t>https://americanhistory.si.edu/collections/object/nmah_1154069</t>
        </is>
      </c>
      <c r="S142" s="62" t="n">
        <v>5</v>
      </c>
      <c r="T142" s="62" t="inlineStr">
        <is>
          <t>Сильный пример: позитив — это момент, когда изображение становится социальным объектом прямо в руках.</t>
        </is>
      </c>
      <c r="U142" s="62" t="inlineStr">
        <is>
          <t>Человек держит только что появившийся Polaroid-отпечаток.</t>
        </is>
      </c>
      <c r="V142" s="62" t="inlineStr">
        <is>
          <t>#PL014 #Polaroid #instant-positive #LandCamera</t>
        </is>
      </c>
      <c r="W142" s="62" t="n"/>
      <c r="X142" s="62" t="inlineStr">
        <is>
          <t>42.3736, -71.1097</t>
        </is>
      </c>
      <c r="Y142" s="62" t="inlineStr">
        <is>
          <t>Позитив / instant print</t>
        </is>
      </c>
      <c r="Z142" s="62" t="inlineStr">
        <is>
          <t>Технология / процесс</t>
        </is>
      </c>
      <c r="AA142" s="62" t="n"/>
    </row>
    <row r="143" ht="17" customHeight="1" s="59">
      <c r="A143" s="62" t="inlineStr">
        <is>
          <t>PL-HIST-0142</t>
        </is>
      </c>
      <c r="B143" s="62" t="inlineStr">
        <is>
          <t>1940-е – XX век</t>
        </is>
      </c>
      <c r="C143" s="62" t="inlineStr">
        <is>
          <t>диапазон</t>
        </is>
      </c>
      <c r="D143" s="62" t="inlineStr">
        <is>
          <t>США / Европа / глобально</t>
        </is>
      </c>
      <c r="E143" s="62" t="inlineStr">
        <is>
          <t>фотолаборатории и архивы</t>
        </is>
      </c>
      <c r="F143" s="62" t="inlineStr">
        <is>
          <t>Фотоиндустрия цветной печати</t>
        </is>
      </c>
      <c r="G143" s="62" t="inlineStr">
        <is>
          <t>Chromogenic print / C-print становится одной из главных форм цветного позитивного отпечатка XX века.</t>
        </is>
      </c>
      <c r="H143" s="62" t="inlineStr">
        <is>
          <t>Печать / тиражирование</t>
        </is>
      </c>
      <c r="I143" s="62" t="inlineStr">
        <is>
          <t>Chromogenic print / C-print</t>
        </is>
      </c>
      <c r="J143" s="62" t="inlineStr">
        <is>
          <t>Цветной позитив на бумаге становится массовой финальной формой изображения: семейные альбомы, лаборатории, выставочные C-prints и цифровая RA-4 печать.</t>
        </is>
      </c>
      <c r="K143" s="62" t="inlineStr">
        <is>
          <t>Kodachrome, Kodacolor и развитие цветной негативной/позитивной системы</t>
        </is>
      </c>
      <c r="L143" s="62" t="inlineStr">
        <is>
          <t>Современная фотопечать, цифровой файл → светочувствительная бумага → позитивный отпечаток</t>
        </is>
      </c>
      <c r="M143" s="62" t="inlineStr">
        <is>
          <t>Главная линия / временная доминирующая линия</t>
        </is>
      </c>
      <c r="N143" s="62" t="n">
        <v>4</v>
      </c>
      <c r="O143" s="62" t="inlineStr">
        <is>
          <t>PL-014</t>
        </is>
      </c>
      <c r="P143" s="62" t="inlineStr">
        <is>
          <t>SRC-102</t>
        </is>
      </c>
      <c r="Q143" s="62" t="inlineStr">
        <is>
          <t>MoMA — Chromogenic print</t>
        </is>
      </c>
      <c r="R143" s="62" t="inlineStr">
        <is>
          <t>https://www.moma.org/collection/terms/chromogenic-print</t>
        </is>
      </c>
      <c r="S143" s="62" t="n">
        <v>5</v>
      </c>
      <c r="T143" s="62" t="inlineStr">
        <is>
          <t>Финальный вывод урока: позитив — это то, как фотография обычно встречается со зрителем: бумага, слайд, instant print или современный цветной отпечаток.</t>
        </is>
      </c>
      <c r="U143" s="62" t="inlineStr">
        <is>
          <t>Стена с цветными позитивными отпечатками: от лабораторных фото до выставочного C-print.</t>
        </is>
      </c>
      <c r="V143" s="62" t="inlineStr">
        <is>
          <t>#PL014 #chromogenic-print #C-print #positive</t>
        </is>
      </c>
      <c r="W143" s="62" t="inlineStr">
        <is>
          <t>Датировка дана как обобщённая; детальную историю цветной негативной плёнки оставить для PL-016.</t>
        </is>
      </c>
      <c r="X143" s="62" t="n"/>
      <c r="Y143" s="62" t="inlineStr">
        <is>
          <t>Позитив / chromogenic print</t>
        </is>
      </c>
      <c r="Z143" s="62" t="inlineStr">
        <is>
          <t>Тиражирование / публикация</t>
        </is>
      </c>
      <c r="AA143" s="62" t="n"/>
    </row>
    <row r="144" ht="17" customHeight="1" s="59">
      <c r="A144" t="inlineStr">
        <is>
          <t>PL-HIST-0143</t>
        </is>
      </c>
      <c r="B144" t="inlineStr">
        <is>
          <t>XIX–XX век</t>
        </is>
      </c>
      <c r="C144" t="inlineStr">
        <is>
          <t>диапазон</t>
        </is>
      </c>
      <c r="D144" t="inlineStr">
        <is>
          <t>глобально</t>
        </is>
      </c>
      <c r="E144" t="inlineStr">
        <is>
          <t>распределённый процесс</t>
        </is>
      </c>
      <c r="F144" t="inlineStr">
        <is>
          <t>Фотографы, производители плёнки и лаборатории</t>
        </is>
      </c>
      <c r="G144" t="inlineStr">
        <is>
          <t>Чёрно-белая плёнка закрепляет классическую серебряно-желатиновую логику: свет меняет кристаллы галогенидов серебра, а после проявления изображение становится серебряным негативом.</t>
        </is>
      </c>
      <c r="H144" t="inlineStr">
        <is>
          <t>Фотохимия</t>
        </is>
      </c>
      <c r="I144" t="inlineStr">
        <is>
          <t>Black-and-white silver halide negative film</t>
        </is>
      </c>
      <c r="J144" t="inlineStr">
        <is>
          <t>Чёрно-белая плёнка показывает фотографию как перевод света в плотность: чем больше света получил участок, тем темнее он становится на негативе.</t>
        </is>
      </c>
      <c r="K144" t="inlineStr">
        <is>
          <t>Общая структура плёнки, эмульсия, негатив и позитив из PL-011–PL-014</t>
        </is>
      </c>
      <c r="L144" t="inlineStr">
        <is>
          <t>Цветная негативная плёнка как следующий тип материала</t>
        </is>
      </c>
      <c r="M144" t="inlineStr">
        <is>
          <t>Главная линия</t>
        </is>
      </c>
      <c r="N144" t="n">
        <v>5</v>
      </c>
      <c r="O144" t="inlineStr">
        <is>
          <t>PL-015</t>
        </is>
      </c>
      <c r="P144" t="inlineStr">
        <is>
          <t>SRC-109</t>
        </is>
      </c>
      <c r="Q144" t="inlineStr">
        <is>
          <t>ILFORD Photo — Silver Halide Prints</t>
        </is>
      </c>
      <c r="R144" t="inlineStr">
        <is>
          <t>https://www.ilfordphoto.com/silver-halide/</t>
        </is>
      </c>
      <c r="S144" t="n">
        <v>5</v>
      </c>
      <c r="T144" t="inlineStr">
        <is>
          <t>Флагманская мысль урока: ч/б плёнка — это не «без цвета», а отдельный способ видеть свет, форму, тон и контраст.</t>
        </is>
      </c>
      <c r="U144" t="inlineStr">
        <is>
          <t>Разрез плёнки: прозрачная основа, тонкий слой эмульсии и зерна серебра, которые после проявления образуют изображение.</t>
        </is>
      </c>
      <c r="V144" t="inlineStr">
        <is>
          <t>#PL015 #black-and-white-film #silver-halide #gelatin #negative</t>
        </is>
      </c>
      <c r="Y144" t="inlineStr">
        <is>
          <t>Чёрно-белая плёнка / серебряно-желатиновая основа</t>
        </is>
      </c>
      <c r="Z144" t="inlineStr">
        <is>
          <t>Ключевой исторический узел</t>
        </is>
      </c>
      <c r="AA144" t="inlineStr">
        <is>
          <t>да</t>
        </is>
      </c>
    </row>
    <row r="145" ht="17" customHeight="1" s="59">
      <c r="A145" t="inlineStr">
        <is>
          <t>PL-HIST-0144</t>
        </is>
      </c>
      <c r="B145" t="inlineStr">
        <is>
          <t>конец XIX – начало XX века</t>
        </is>
      </c>
      <c r="C145" t="inlineStr">
        <is>
          <t>диапазон</t>
        </is>
      </c>
      <c r="D145" t="inlineStr">
        <is>
          <t>глобально</t>
        </is>
      </c>
      <c r="E145" t="inlineStr">
        <is>
          <t>распределённый процесс</t>
        </is>
      </c>
      <c r="F145" t="inlineStr">
        <is>
          <t>Производители сухих пластин и плёнки</t>
        </is>
      </c>
      <c r="G145" t="inlineStr">
        <is>
          <t>Ранние чёрно-белые материалы часто были ортохроматическими: хорошо реагировали на синий и зелёный свет, но плохо передавали красный.</t>
        </is>
      </c>
      <c r="H145" t="inlineStr">
        <is>
          <t>Фотохимия</t>
        </is>
      </c>
      <c r="I145" t="inlineStr">
        <is>
          <t>Orthochromatic black-and-white material</t>
        </is>
      </c>
      <c r="J145" t="inlineStr">
        <is>
          <t>Новичок понимает, что «чёрно-белое» изображение не является простым обесцвечиванием мира: разные эмульсии по-разному переводят цвета в серые тона.</t>
        </is>
      </c>
      <c r="K145" t="inlineStr">
        <is>
          <t>Желатиновые сухие пластины и ранние плёночные эмульсии</t>
        </is>
      </c>
      <c r="L145" t="inlineStr">
        <is>
          <t>Панхроматическая ч/б плёнка как более естественная передача тонов</t>
        </is>
      </c>
      <c r="M145" t="inlineStr">
        <is>
          <t>Исторически важная ограниченная ветка</t>
        </is>
      </c>
      <c r="N145" t="n">
        <v>4</v>
      </c>
      <c r="O145" t="inlineStr">
        <is>
          <t>PL-015</t>
        </is>
      </c>
      <c r="P145" t="inlineStr">
        <is>
          <t>SRC-111</t>
        </is>
      </c>
      <c r="Q145" t="inlineStr">
        <is>
          <t>Kodak — Processing KODAK Motion Picture Films, Module 15</t>
        </is>
      </c>
      <c r="R145" t="inlineStr">
        <is>
          <t>https://www.kodak.com/content/products-brochures/Film/Processing-KODAK-Motion-Picture-Films-Module-15.pdf</t>
        </is>
      </c>
      <c r="S145" t="n">
        <v>5</v>
      </c>
      <c r="T145" t="inlineStr">
        <is>
          <t>Хороший пример для объяснения: красная губная помада или красная ткань на ортохроматическом материале может выйти слишком тёмной.</t>
        </is>
      </c>
      <c r="U145" t="inlineStr">
        <is>
          <t>Две серые шкалы рядом: один и тот же цветной объект на ортохроматической и панхроматической плёнке.</t>
        </is>
      </c>
      <c r="V145" t="inlineStr">
        <is>
          <t>#PL015 #orthochromatic #spectral-sensitivity #bw-film</t>
        </is>
      </c>
      <c r="W145" t="inlineStr">
        <is>
          <t>Не уходить глубоко в цветоделение до уроков о цветной фотографии.</t>
        </is>
      </c>
      <c r="Y145" t="inlineStr">
        <is>
          <t>Чёрно-белая плёнка / спектральная чувствительность</t>
        </is>
      </c>
      <c r="Z145" t="inlineStr">
        <is>
          <t>Технология / процесс</t>
        </is>
      </c>
    </row>
    <row r="146" ht="17" customHeight="1" s="59">
      <c r="A146" t="inlineStr">
        <is>
          <t>PL-HIST-0145</t>
        </is>
      </c>
      <c r="B146" t="inlineStr">
        <is>
          <t>XX век</t>
        </is>
      </c>
      <c r="C146" t="inlineStr">
        <is>
          <t>диапазон</t>
        </is>
      </c>
      <c r="D146" t="inlineStr">
        <is>
          <t>глобально</t>
        </is>
      </c>
      <c r="E146" t="inlineStr">
        <is>
          <t>распределённый процесс</t>
        </is>
      </c>
      <c r="F146" t="inlineStr">
        <is>
          <t>Производители фотоплёнки</t>
        </is>
      </c>
      <c r="G146" t="inlineStr">
        <is>
          <t>Панхроматическая чёрно-белая плёнка становится стандартной логикой: эмульсия чувствительна к видимому спектру и переводит цвета сцены в более естественную шкалу серого.</t>
        </is>
      </c>
      <c r="H146" t="inlineStr">
        <is>
          <t>Фотохимия</t>
        </is>
      </c>
      <c r="I146" t="inlineStr">
        <is>
          <t>Panchromatic black-and-white film</t>
        </is>
      </c>
      <c r="J146" t="inlineStr">
        <is>
          <t>Ч/б фотография начинает точнее передавать относительную яркость разных цветов: не цвет исчезает, а превращается в тон.</t>
        </is>
      </c>
      <c r="K146" t="inlineStr">
        <is>
          <t>Ортохроматические материалы и ограниченная цветочувствительность</t>
        </is>
      </c>
      <c r="L146" t="inlineStr">
        <is>
          <t>Современные ч/б фотоплёнки: FP4, HP5, Tri-X, T-Max, Delta и другие</t>
        </is>
      </c>
      <c r="M146" t="inlineStr">
        <is>
          <t>Главная линия</t>
        </is>
      </c>
      <c r="N146" t="n">
        <v>5</v>
      </c>
      <c r="O146" t="inlineStr">
        <is>
          <t>PL-015</t>
        </is>
      </c>
      <c r="P146" t="inlineStr">
        <is>
          <t>SRC-111</t>
        </is>
      </c>
      <c r="Q146" t="inlineStr">
        <is>
          <t>Kodak — Processing KODAK Motion Picture Films, Module 15</t>
        </is>
      </c>
      <c r="R146" t="inlineStr">
        <is>
          <t>https://www.kodak.com/content/products-brochures/Film/Processing-KODAK-Motion-Picture-Films-Module-15.pdf</t>
        </is>
      </c>
      <c r="S146" t="n">
        <v>5</v>
      </c>
      <c r="T146" t="inlineStr">
        <is>
          <t>Это ключ к визуальному мышлению: фотограф выбирает не просто цвет/без цвета, а способ перевести цветной мир в тональные отношения.</t>
        </is>
      </c>
      <c r="U146" t="inlineStr">
        <is>
          <t>Цветовой круг превращается в серую шкалу: красный, зелёный и синий уходят в разные плотности.</t>
        </is>
      </c>
      <c r="V146" t="inlineStr">
        <is>
          <t>#PL015 #panchromatic #black-and-white #tones</t>
        </is>
      </c>
      <c r="Y146" t="inlineStr">
        <is>
          <t>Чёрно-белая плёнка / панхроматическая чувствительность</t>
        </is>
      </c>
      <c r="Z146" t="inlineStr">
        <is>
          <t>Технология / процесс</t>
        </is>
      </c>
    </row>
    <row r="147" ht="17" customHeight="1" s="59">
      <c r="A147" t="inlineStr">
        <is>
          <t>PL-HIST-0146</t>
        </is>
      </c>
      <c r="B147" t="inlineStr">
        <is>
          <t>XX век</t>
        </is>
      </c>
      <c r="C147" t="inlineStr">
        <is>
          <t>диапазон</t>
        </is>
      </c>
      <c r="D147" t="inlineStr">
        <is>
          <t>глобально</t>
        </is>
      </c>
      <c r="E147" t="inlineStr">
        <is>
          <t>распределённый процесс</t>
        </is>
      </c>
      <c r="F147" t="inlineStr">
        <is>
          <t>Kodak и другие производители плёнки</t>
        </is>
      </c>
      <c r="G147" t="inlineStr">
        <is>
          <t>Типичная чёрно-белая негативная плёнка имеет слоистую структуру: основа, эмульсия с кристаллами серебра и служебные слои вроде антигаляционного покрытия.</t>
        </is>
      </c>
      <c r="H147" t="inlineStr">
        <is>
          <t>Фотохимия</t>
        </is>
      </c>
      <c r="I147" t="inlineStr">
        <is>
          <t>B&amp;W negative film structure / antihalation layer</t>
        </is>
      </c>
      <c r="J147" t="inlineStr">
        <is>
          <t>Плёнка оказывается не одной «чёрной полоской», а инженерным материалом, где каждый слой влияет на резкость, ореолы, плотность и читаемость негатива.</t>
        </is>
      </c>
      <c r="K147" t="inlineStr">
        <is>
          <t>Структура фотоплёнки из PL-011</t>
        </is>
      </c>
      <c r="L147" t="inlineStr">
        <is>
          <t>Зерно, резкость, ореолы и практические различия плёнок в PL-019</t>
        </is>
      </c>
      <c r="M147" t="inlineStr">
        <is>
          <t>Главная линия</t>
        </is>
      </c>
      <c r="N147" t="n">
        <v>4</v>
      </c>
      <c r="O147" t="inlineStr">
        <is>
          <t>PL-015</t>
        </is>
      </c>
      <c r="P147" t="inlineStr">
        <is>
          <t>SRC-111</t>
        </is>
      </c>
      <c r="Q147" t="inlineStr">
        <is>
          <t>Kodak — Processing KODAK Motion Picture Films, Module 15</t>
        </is>
      </c>
      <c r="R147" t="inlineStr">
        <is>
          <t>https://www.kodak.com/content/products-brochures/Film/Processing-KODAK-Motion-Picture-Films-Module-15.pdf</t>
        </is>
      </c>
      <c r="S147" t="n">
        <v>5</v>
      </c>
      <c r="T147" t="inlineStr">
        <is>
          <t>Связать с реальной кассетой: то, что мы заряжаем в камеру, внутри устроено намного сложнее, чем кажется.</t>
        </is>
      </c>
      <c r="U147" t="inlineStr">
        <is>
          <t>Учебный разрез плёнки: база, антигаляционный слой, эмульсия, защитный слой.</t>
        </is>
      </c>
      <c r="V147" t="inlineStr">
        <is>
          <t>#PL015 #film-structure #antihalation #emulsion</t>
        </is>
      </c>
      <c r="Y147" t="inlineStr">
        <is>
          <t>Чёрно-белая плёнка / структура материала</t>
        </is>
      </c>
      <c r="Z147" t="inlineStr">
        <is>
          <t>Технология / процесс</t>
        </is>
      </c>
    </row>
    <row r="148" ht="17" customHeight="1" s="59">
      <c r="A148" t="inlineStr">
        <is>
          <t>PL-HIST-0147</t>
        </is>
      </c>
      <c r="B148" t="inlineStr">
        <is>
          <t>XX век</t>
        </is>
      </c>
      <c r="C148" t="inlineStr">
        <is>
          <t>диапазон</t>
        </is>
      </c>
      <c r="D148" t="inlineStr">
        <is>
          <t>глобально</t>
        </is>
      </c>
      <c r="E148" t="inlineStr">
        <is>
          <t>тёмная комната / лаборатория</t>
        </is>
      </c>
      <c r="F148" t="inlineStr">
        <is>
          <t>Фотографы и лаборатории</t>
        </is>
      </c>
      <c r="G148" t="inlineStr">
        <is>
          <t>При проявлении экспонированные кристаллы галогенидов серебра превращаются в металлическое серебро: так скрытое изображение становится видимым негативом.</t>
        </is>
      </c>
      <c r="H148" t="inlineStr">
        <is>
          <t>Фотохимия</t>
        </is>
      </c>
      <c r="I148" t="inlineStr">
        <is>
          <t>Black-and-white development / metallic silver image</t>
        </is>
      </c>
      <c r="J148" t="inlineStr">
        <is>
          <t>Чёрно-белая фотография — это изображение из серебра. Тёмные участки негатива соответствуют светлым участкам сцены.</t>
        </is>
      </c>
      <c r="K148" t="inlineStr">
        <is>
          <t>Скрытое изображение и проявление из PL-012</t>
        </is>
      </c>
      <c r="L148" t="inlineStr">
        <is>
          <t>Контроль времени проявления, контраста и зерна</t>
        </is>
      </c>
      <c r="M148" t="inlineStr">
        <is>
          <t>Главная линия</t>
        </is>
      </c>
      <c r="N148" t="n">
        <v>5</v>
      </c>
      <c r="O148" t="inlineStr">
        <is>
          <t>PL-015</t>
        </is>
      </c>
      <c r="P148" t="inlineStr">
        <is>
          <t>SRC-110</t>
        </is>
      </c>
      <c r="Q148" t="inlineStr">
        <is>
          <t>Canadian Conservation Institute — Processing Contemporary Black-and-White Photographic Films and Papers for Maximum Permanence</t>
        </is>
      </c>
      <c r="R148" t="inlineStr">
        <is>
          <t>https://www.canada.ca/en/conservation-institute/services/conservation-preservation-publications/canadian-conservation-institute-notes/black-white-photographic-films-papers-permanence.html</t>
        </is>
      </c>
      <c r="S148" t="n">
        <v>5</v>
      </c>
      <c r="T148" t="inlineStr">
        <is>
          <t>Здесь важно объяснить без химической перегрузки: свет оставляет невидимый след, проявитель делает этот след серебром.</t>
        </is>
      </c>
      <c r="U148" t="inlineStr">
        <is>
          <t>Ванночка проявителя: светлые невидимые участки на плёнке постепенно превращаются в плотный серебряный негатив.</t>
        </is>
      </c>
      <c r="V148" t="inlineStr">
        <is>
          <t>#PL015 #developer #latent-image #metallic-silver #negative</t>
        </is>
      </c>
      <c r="X148" t="inlineStr">
        <is>
          <t>45.4215, -75.6972</t>
        </is>
      </c>
      <c r="Y148" t="inlineStr">
        <is>
          <t>Чёрно-белая плёнка / проявление</t>
        </is>
      </c>
      <c r="Z148" t="inlineStr">
        <is>
          <t>Технология / процесс</t>
        </is>
      </c>
    </row>
    <row r="149" ht="17" customHeight="1" s="59">
      <c r="A149" t="inlineStr">
        <is>
          <t>PL-HIST-0148</t>
        </is>
      </c>
      <c r="B149" t="inlineStr">
        <is>
          <t>XX век</t>
        </is>
      </c>
      <c r="C149" t="inlineStr">
        <is>
          <t>диапазон</t>
        </is>
      </c>
      <c r="D149" t="inlineStr">
        <is>
          <t>глобально</t>
        </is>
      </c>
      <c r="E149" t="inlineStr">
        <is>
          <t>тёмная комната / лаборатория</t>
        </is>
      </c>
      <c r="F149" t="inlineStr">
        <is>
          <t>Фотографы и лаборатории</t>
        </is>
      </c>
      <c r="G149" t="inlineStr">
        <is>
          <t>Фиксаж удаляет оставшиеся неэкспонированные галогениды серебра. После этого негатив становится стабильным и уже не темнеет от обычного света.</t>
        </is>
      </c>
      <c r="H149" t="inlineStr">
        <is>
          <t>Фиксаж / терминология</t>
        </is>
      </c>
      <c r="I149" t="inlineStr">
        <is>
          <t>Fixing black-and-white film</t>
        </is>
      </c>
      <c r="J149" t="inlineStr">
        <is>
          <t>Фиксация — момент, когда изображение становится не просто проявленным, а сохраняемым. Без фиксации плёнка продолжала бы реагировать на свет.</t>
        </is>
      </c>
      <c r="K149" t="inlineStr">
        <is>
          <t>Проявленное, но ещё не закреплённое изображение</t>
        </is>
      </c>
      <c r="L149" t="inlineStr">
        <is>
          <t>Промывка, сушка и архивное хранение негатива</t>
        </is>
      </c>
      <c r="M149" t="inlineStr">
        <is>
          <t>Главная линия</t>
        </is>
      </c>
      <c r="N149" t="n">
        <v>5</v>
      </c>
      <c r="O149" t="inlineStr">
        <is>
          <t>PL-015</t>
        </is>
      </c>
      <c r="P149" t="inlineStr">
        <is>
          <t>SRC-110</t>
        </is>
      </c>
      <c r="Q149" t="inlineStr">
        <is>
          <t>Canadian Conservation Institute — Processing Contemporary Black-and-White Photographic Films and Papers for Maximum Permanence</t>
        </is>
      </c>
      <c r="R149" t="inlineStr">
        <is>
          <t>https://www.canada.ca/en/conservation-institute/services/conservation-preservation-publications/canadian-conservation-institute-notes/black-white-photographic-films-papers-permanence.html</t>
        </is>
      </c>
      <c r="S149" t="n">
        <v>5</v>
      </c>
      <c r="T149" t="inlineStr">
        <is>
          <t>Это мост к ранней истории фиксации: проблема Гершеля остаётся актуальной и в обычной ч/б плёнке.</t>
        </is>
      </c>
      <c r="U149" t="inlineStr">
        <is>
          <t>До/после фиксации: одна полоска ещё молочная и светочувствительная, другая прозрачная и стабильная.</t>
        </is>
      </c>
      <c r="V149" t="inlineStr">
        <is>
          <t>#PL015 #fixer #hypo #silver-halide #permanence</t>
        </is>
      </c>
      <c r="X149" t="inlineStr">
        <is>
          <t>45.4215, -75.6972</t>
        </is>
      </c>
      <c r="Y149" t="inlineStr">
        <is>
          <t>Чёрно-белая плёнка / фиксация</t>
        </is>
      </c>
      <c r="Z149" t="inlineStr">
        <is>
          <t>Технология / процесс</t>
        </is>
      </c>
    </row>
    <row r="150" ht="17" customHeight="1" s="59">
      <c r="A150" t="inlineStr">
        <is>
          <t>PL-HIST-0149</t>
        </is>
      </c>
      <c r="B150" t="inlineStr">
        <is>
          <t>XX–XXI век</t>
        </is>
      </c>
      <c r="C150" t="inlineStr">
        <is>
          <t>диапазон</t>
        </is>
      </c>
      <c r="D150" t="inlineStr">
        <is>
          <t>глобально</t>
        </is>
      </c>
      <c r="E150" t="inlineStr">
        <is>
          <t>домашняя тёмная комната / лаборатория</t>
        </is>
      </c>
      <c r="F150" t="inlineStr">
        <is>
          <t>ILFORD Photo / фотографы</t>
        </is>
      </c>
      <c r="G150" t="inlineStr">
        <is>
          <t>Базовый процесс чёрно-белой проявки можно выполнить в небольшом бачке: загрузить плёнку в темноте, проявить, остановить, зафиксировать, промыть и высушить.</t>
        </is>
      </c>
      <c r="H150" t="inlineStr">
        <is>
          <t>Фотохимия</t>
        </is>
      </c>
      <c r="I150" t="inlineStr">
        <is>
          <t>Small tank black-and-white film processing</t>
        </is>
      </c>
      <c r="J150" t="inlineStr">
        <is>
          <t>Ч/б плёнка остаётся самым доступным материалом для домашнего понимания фотохимии: фотограф может сам увидеть, как свет превращается в негатив.</t>
        </is>
      </c>
      <c r="K150" t="inlineStr">
        <is>
          <t>Проявление и фиксация как химические этапы</t>
        </is>
      </c>
      <c r="L150" t="inlineStr">
        <is>
          <t>Проявка цветной негативной плёнки и лабораторные стандарты C-41</t>
        </is>
      </c>
      <c r="M150" t="inlineStr">
        <is>
          <t>Применение / жанр</t>
        </is>
      </c>
      <c r="N150" t="n">
        <v>4</v>
      </c>
      <c r="O150" t="inlineStr">
        <is>
          <t>PL-015</t>
        </is>
      </c>
      <c r="P150" t="inlineStr">
        <is>
          <t>SRC-115</t>
        </is>
      </c>
      <c r="Q150" t="inlineStr">
        <is>
          <t>ILFORD Photo — Beginners Guide: Processing Film</t>
        </is>
      </c>
      <c r="R150" t="inlineStr">
        <is>
          <t>https://www.ilfordphoto.com/beginners-guide-processing-film/</t>
        </is>
      </c>
      <c r="S150" t="n">
        <v>5</v>
      </c>
      <c r="T150" t="inlineStr">
        <is>
          <t>Практический смысл урока: ч/б плёнка хороша для первой лабораторной практики, потому что процесс понятен и контролируем.</t>
        </is>
      </c>
      <c r="U150" t="inlineStr">
        <is>
          <t>Спираль, бачок, термометр и три подписанные бутылки: developer / stop / fixer.</t>
        </is>
      </c>
      <c r="V150" t="inlineStr">
        <is>
          <t>#PL015 #darkroom #film-processing #Ilford #practice</t>
        </is>
      </c>
      <c r="Y150" t="inlineStr">
        <is>
          <t>Чёрно-белая плёнка / домашняя проявка</t>
        </is>
      </c>
      <c r="Z150" t="inlineStr">
        <is>
          <t>Применение / жанр</t>
        </is>
      </c>
    </row>
    <row r="151" ht="17" customHeight="1" s="59">
      <c r="A151" t="inlineStr">
        <is>
          <t>PL-HIST-0150</t>
        </is>
      </c>
      <c r="B151" t="inlineStr">
        <is>
          <t>XX–XXI век</t>
        </is>
      </c>
      <c r="C151" t="inlineStr">
        <is>
          <t>диапазон</t>
        </is>
      </c>
      <c r="D151" t="inlineStr">
        <is>
          <t>глобально</t>
        </is>
      </c>
      <c r="E151" t="inlineStr">
        <is>
          <t>тёмная комната / лаборатория</t>
        </is>
      </c>
      <c r="F151" t="inlineStr">
        <is>
          <t>Фотографы и производители химии</t>
        </is>
      </c>
      <c r="G151" t="inlineStr">
        <is>
          <t>Проявитель влияет не только на появление изображения, но и на характер негатива: контраст, зерно, резкость и пригодность к печати или сканированию.</t>
        </is>
      </c>
      <c r="H151" t="inlineStr">
        <is>
          <t>Фотохимия</t>
        </is>
      </c>
      <c r="I151" t="inlineStr">
        <is>
          <t>B&amp;W developers and negative character</t>
        </is>
      </c>
      <c r="J151" t="inlineStr">
        <is>
          <t>Чёрно-белая плёнка даёт фотографу ручку управления: один и тот же кадр можно сделать мягче, жёстче, зернистее или чище через выбор проявки.</t>
        </is>
      </c>
      <c r="K151" t="inlineStr">
        <is>
          <t>Базовая проявка негатива</t>
        </is>
      </c>
      <c r="L151" t="inlineStr">
        <is>
          <t>Push/Pull, зерно и экспозиционная широта в будущих уроках</t>
        </is>
      </c>
      <c r="M151" t="inlineStr">
        <is>
          <t>Главная линия / практическое управление</t>
        </is>
      </c>
      <c r="N151" t="n">
        <v>4</v>
      </c>
      <c r="O151" t="inlineStr">
        <is>
          <t>PL-015</t>
        </is>
      </c>
      <c r="P151" t="inlineStr">
        <is>
          <t>SRC-116</t>
        </is>
      </c>
      <c r="Q151" t="inlineStr">
        <is>
          <t>ILFORD Photo — Introduction to ILFORD Film Developers</t>
        </is>
      </c>
      <c r="R151" t="inlineStr">
        <is>
          <t>https://www.ilfordphoto.com/beginners-guide-film-developers/</t>
        </is>
      </c>
      <c r="S151" t="n">
        <v>5</v>
      </c>
      <c r="T151" t="inlineStr">
        <is>
          <t>Не перегружать формулами химии. Главное: проявитель — это не просто «жидкость», а часть визуального языка плёнки.</t>
        </is>
      </c>
      <c r="U151" t="inlineStr">
        <is>
          <t>Один негатив в трёх вариантах проявления: мягкий, нормальный, контрастный.</t>
        </is>
      </c>
      <c r="V151" t="inlineStr">
        <is>
          <t>#PL015 #developer #contrast #grain #darkroom</t>
        </is>
      </c>
      <c r="Y151" t="inlineStr">
        <is>
          <t>Чёрно-белая плёнка / характер проявления</t>
        </is>
      </c>
      <c r="Z151" t="inlineStr">
        <is>
          <t>Технология / процесс</t>
        </is>
      </c>
    </row>
    <row r="152" ht="17" customHeight="1" s="59">
      <c r="A152" t="inlineStr">
        <is>
          <t>PL-HIST-0151</t>
        </is>
      </c>
      <c r="B152" t="inlineStr">
        <is>
          <t>1954 / современность</t>
        </is>
      </c>
      <c r="C152" t="inlineStr">
        <is>
          <t>диапазон</t>
        </is>
      </c>
      <c r="D152" t="inlineStr">
        <is>
          <t>США</t>
        </is>
      </c>
      <c r="E152" t="inlineStr">
        <is>
          <t>Рочестер, Нью-Йорк</t>
        </is>
      </c>
      <c r="F152" t="inlineStr">
        <is>
          <t>Eastman Kodak / Kodak Alaris</t>
        </is>
      </c>
      <c r="G152" t="inlineStr">
        <is>
          <t>Kodak TRI-X становится одной из главных культурных моделей чёрно-белой плёнки: ISO 400, классическое зерно, высокая резкость и широкая экспозиционная широта.</t>
        </is>
      </c>
      <c r="H152" t="inlineStr">
        <is>
          <t>Фотохимия</t>
        </is>
      </c>
      <c r="I152" t="inlineStr">
        <is>
          <t>KODAK Professional TRI-X 400</t>
        </is>
      </c>
      <c r="J152" t="inlineStr">
        <is>
          <t>Чёрно-белая плёнка — это не только технология, но и узнаваемый визуальный язык: документальность, репортажность, зерно и тон.</t>
        </is>
      </c>
      <c r="K152" t="inlineStr">
        <is>
          <t>Панхроматическая ч/б плёнка как стандарт</t>
        </is>
      </c>
      <c r="L152" t="inlineStr">
        <is>
          <t>Push/Pull, зерно и репортажная эстетика</t>
        </is>
      </c>
      <c r="M152" t="inlineStr">
        <is>
          <t>Главная линия / визуальный язык</t>
        </is>
      </c>
      <c r="N152" t="n">
        <v>5</v>
      </c>
      <c r="O152" t="inlineStr">
        <is>
          <t>PL-015</t>
        </is>
      </c>
      <c r="P152" t="inlineStr">
        <is>
          <t>SRC-113</t>
        </is>
      </c>
      <c r="Q152" t="inlineStr">
        <is>
          <t>Kodak Professional — KODAK PROFESSIONAL TRI-X Films</t>
        </is>
      </c>
      <c r="R152" t="inlineStr">
        <is>
          <t>https://kodakprofessional.com/photographers/film/black-white/kodak-professional-tri-x-films/515</t>
        </is>
      </c>
      <c r="S152" t="n">
        <v>5</v>
      </c>
      <c r="T152" t="inlineStr">
        <is>
          <t>TRI-X можно использовать как пример: одни плёнки стали не просто продуктом, а визуальной культурой документальной фотографии.</t>
        </is>
      </c>
      <c r="U152" t="inlineStr">
        <is>
          <t>Кассета TRI-X рядом с контактным листом уличной/репортажной съёмки.</t>
        </is>
      </c>
      <c r="V152" t="inlineStr">
        <is>
          <t>#PL015 #Tri-X #Kodak #ISO400 #grain #photojournalism</t>
        </is>
      </c>
      <c r="X152" t="inlineStr">
        <is>
          <t>43.1566, -77.6088</t>
        </is>
      </c>
      <c r="Y152" t="inlineStr">
        <is>
          <t>Чёрно-белая плёнка / классическое зерно</t>
        </is>
      </c>
      <c r="Z152" t="inlineStr">
        <is>
          <t>Применение / жанр</t>
        </is>
      </c>
    </row>
    <row r="153" ht="17" customHeight="1" s="59">
      <c r="A153" t="inlineStr">
        <is>
          <t>PL-HIST-0152</t>
        </is>
      </c>
      <c r="B153" t="inlineStr">
        <is>
          <t>1980-е – современность</t>
        </is>
      </c>
      <c r="C153" t="inlineStr">
        <is>
          <t>диапазон</t>
        </is>
      </c>
      <c r="D153" t="inlineStr">
        <is>
          <t>США</t>
        </is>
      </c>
      <c r="E153" t="inlineStr">
        <is>
          <t>Рочестер, Нью-Йорк</t>
        </is>
      </c>
      <c r="F153" t="inlineStr">
        <is>
          <t>Eastman Kodak / Kodak Alaris</t>
        </is>
      </c>
      <c r="G153" t="inlineStr">
        <is>
          <t>Плёнки Kodak T-MAX показывают другой путь чёрно-белого материала: табличные T-Grain кристаллы дают мелкое зерно, высокую резкость и чистую тональную шкалу.</t>
        </is>
      </c>
      <c r="H153" t="inlineStr">
        <is>
          <t>Фотохимия</t>
        </is>
      </c>
      <c r="I153" t="inlineStr">
        <is>
          <t>KODAK PROFESSIONAL T-MAX / T-Grain technology</t>
        </is>
      </c>
      <c r="J153" t="inlineStr">
        <is>
          <t>Даже внутри чёрно-белой фотографии есть разные «почерки»: классическое зерно и современные мелкозернистые эмульсии ведут себя по-разному.</t>
        </is>
      </c>
      <c r="K153" t="inlineStr">
        <is>
          <t>Классические панхроматические ч/б плёнки</t>
        </is>
      </c>
      <c r="L153" t="inlineStr">
        <is>
          <t>Уроки о зерне, ISO и характере плёнки</t>
        </is>
      </c>
      <c r="M153" t="inlineStr">
        <is>
          <t>Главная линия / технологическое развитие</t>
        </is>
      </c>
      <c r="N153" t="n">
        <v>4</v>
      </c>
      <c r="O153" t="inlineStr">
        <is>
          <t>PL-015</t>
        </is>
      </c>
      <c r="P153" t="inlineStr">
        <is>
          <t>SRC-114</t>
        </is>
      </c>
      <c r="Q153" t="inlineStr">
        <is>
          <t>Kodak Professional — KODAK PROFESSIONAL T-MAX 400 Film</t>
        </is>
      </c>
      <c r="R153" t="inlineStr">
        <is>
          <t>https://www.kodakprofessional.com/photographers/film/black-white/kodak-professional-t-max-400-film/526</t>
        </is>
      </c>
      <c r="S153" t="n">
        <v>5</v>
      </c>
      <c r="T153" t="inlineStr">
        <is>
          <t>Хорошо показать как сравнение: Tri-X — характерное зерно; T-Max — чистота, детализация, более современный рисунок.</t>
        </is>
      </c>
      <c r="U153" t="inlineStr">
        <is>
          <t>Два увеличенных фрагмента: классическое зерно и более ровная T-Grain структура.</t>
        </is>
      </c>
      <c r="V153" t="inlineStr">
        <is>
          <t>#PL015 #TMAX #T-Grain #fine-grain #Kodak</t>
        </is>
      </c>
      <c r="X153" t="inlineStr">
        <is>
          <t>43.1566, -77.6088</t>
        </is>
      </c>
      <c r="Y153" t="inlineStr">
        <is>
          <t>Чёрно-белая плёнка / мелкозернистая технология</t>
        </is>
      </c>
      <c r="Z153" t="inlineStr">
        <is>
          <t>Технология / процесс</t>
        </is>
      </c>
    </row>
    <row r="154" ht="17" customHeight="1" s="59">
      <c r="A154" t="inlineStr">
        <is>
          <t>PL-HIST-0153</t>
        </is>
      </c>
      <c r="B154" t="inlineStr">
        <is>
          <t>XX–XXI век</t>
        </is>
      </c>
      <c r="C154" t="inlineStr">
        <is>
          <t>диапазон</t>
        </is>
      </c>
      <c r="D154" t="inlineStr">
        <is>
          <t>Великобритания</t>
        </is>
      </c>
      <c r="E154" t="inlineStr">
        <is>
          <t>Мобберли, Чешир</t>
        </is>
      </c>
      <c r="F154" t="inlineStr">
        <is>
          <t>ILFORD Photo / HARMAN technology</t>
        </is>
      </c>
      <c r="G154" t="inlineStr">
        <is>
          <t>ILFORD XP2 SUPER показывает исключение: это чёрно-белая плёнка, которую можно проявлять в цветном C-41 процессе вместе с цветной негативной плёнкой.</t>
        </is>
      </c>
      <c r="H154" t="inlineStr">
        <is>
          <t>Фотохимия</t>
        </is>
      </c>
      <c r="I154" t="inlineStr">
        <is>
          <t>Chromogenic black-and-white film / ILFORD XP2 SUPER</t>
        </is>
      </c>
      <c r="J154" t="inlineStr">
        <is>
          <t>Чёрно-белая фотография может быть не только классическим серебряным процессом. Иногда ч/б изображение строится через лабораторную логику цветной негативной плёнки.</t>
        </is>
      </c>
      <c r="K154" t="inlineStr">
        <is>
          <t>Традиционная ч/б проявка в бачке</t>
        </is>
      </c>
      <c r="L154" t="inlineStr">
        <is>
          <t>Цветная негативная плёнка и процесс C-41 в PL-016</t>
        </is>
      </c>
      <c r="M154" t="inlineStr">
        <is>
          <t>Связь / переход</t>
        </is>
      </c>
      <c r="N154" t="n">
        <v>4</v>
      </c>
      <c r="O154" t="inlineStr">
        <is>
          <t>PL-015</t>
        </is>
      </c>
      <c r="P154" t="inlineStr">
        <is>
          <t>SRC-117</t>
        </is>
      </c>
      <c r="Q154" t="inlineStr">
        <is>
          <t>ILFORD Photo — XP2 SUPER 35mm</t>
        </is>
      </c>
      <c r="R154" t="inlineStr">
        <is>
          <t>https://www.ilfordphoto.com/xp2-super-35mm</t>
        </is>
      </c>
      <c r="S154" t="n">
        <v>5</v>
      </c>
      <c r="T154" t="inlineStr">
        <is>
          <t>Идеальный мост к PL-016: внешне это ч/б фотография, но лабораторно она связана с цветной негативной системой.</t>
        </is>
      </c>
      <c r="U154" t="inlineStr">
        <is>
          <t>Кассета XP2 рядом с цветными C-41 химикатами и чёрно-белым отпечатком.</t>
        </is>
      </c>
      <c r="V154" t="inlineStr">
        <is>
          <t>#PL015 #XP2 #C41 #chromogenic #black-and-white</t>
        </is>
      </c>
      <c r="X154" t="inlineStr">
        <is>
          <t>53.3180, -2.3160</t>
        </is>
      </c>
      <c r="Y154" t="inlineStr">
        <is>
          <t>Чёрно-белая плёнка / chromogenic B&amp;W</t>
        </is>
      </c>
      <c r="Z154" t="inlineStr">
        <is>
          <t>Связь / переход</t>
        </is>
      </c>
    </row>
    <row r="155" ht="17" customHeight="1" s="59">
      <c r="A155" t="inlineStr">
        <is>
          <t>PL-HIST-0154</t>
        </is>
      </c>
      <c r="B155" t="inlineStr">
        <is>
          <t>1942</t>
        </is>
      </c>
      <c r="C155" t="inlineStr">
        <is>
          <t>год</t>
        </is>
      </c>
      <c r="D155" t="inlineStr">
        <is>
          <t>США</t>
        </is>
      </c>
      <c r="E155" t="inlineStr">
        <is>
          <t>Рочестер, Нью-Йорк</t>
        </is>
      </c>
      <c r="F155" t="inlineStr">
        <is>
          <t>Eastman Kodak Company</t>
        </is>
      </c>
      <c r="G155" t="inlineStr">
        <is>
          <t>Kodak объявляет KODACOLOR Film для отпечатков — первый настоящий цветной негативный фильм для фотографии.</t>
        </is>
      </c>
      <c r="H155" t="inlineStr">
        <is>
          <t>Цвет</t>
        </is>
      </c>
      <c r="I155" t="inlineStr">
        <is>
          <t>KODACOLOR / color negative film</t>
        </is>
      </c>
      <c r="J155" t="inlineStr">
        <is>
          <t>Цветная фотография получает привычную для массового пользователя логику: снять негатив, а затем получить цветные позитивные отпечатки на бумаге.</t>
        </is>
      </c>
      <c r="K155" t="inlineStr">
        <is>
          <t>Чёрно-белая негативная плёнка и ранние цветные позитивные процессы</t>
        </is>
      </c>
      <c r="L155" t="inlineStr">
        <is>
          <t>Цветная негативная плёнка как стандарт семейной, любительской и лабораторной фотографии</t>
        </is>
      </c>
      <c r="M155" t="inlineStr">
        <is>
          <t>Главная линия</t>
        </is>
      </c>
      <c r="N155" t="n">
        <v>5</v>
      </c>
      <c r="O155" t="inlineStr">
        <is>
          <t>PL-016</t>
        </is>
      </c>
      <c r="P155" t="inlineStr">
        <is>
          <t>SRC-120</t>
        </is>
      </c>
      <c r="Q155" t="inlineStr">
        <is>
          <t>Kodak — Photography History</t>
        </is>
      </c>
      <c r="R155" t="inlineStr">
        <is>
          <t>https://www.kodak.com/en/company/page/photography-history/</t>
        </is>
      </c>
      <c r="S155" t="inlineStr">
        <is>
          <t>5</t>
        </is>
      </c>
      <c r="T155" t="inlineStr">
        <is>
          <t>Флагманская мысль урока: цветной негатив — это не «цветная картинка сразу», а цветная матрица для будущего отпечатка.</t>
        </is>
      </c>
      <c r="U155" t="inlineStr">
        <is>
          <t>Кассета Kodacolor и рядом оранжевый негатив, из которого появляется цветной семейный отпечаток.</t>
        </is>
      </c>
      <c r="V155" t="inlineStr">
        <is>
          <t>#PL016 #Kodacolor #color-negative #Kodak #prints</t>
        </is>
      </c>
      <c r="X155" t="inlineStr">
        <is>
          <t>43.1566, -77.6088</t>
        </is>
      </c>
      <c r="Y155" t="inlineStr">
        <is>
          <t>Цветная негативная плёнка / Kodacolor</t>
        </is>
      </c>
      <c r="Z155" t="inlineStr">
        <is>
          <t>Ключевой исторический узел</t>
        </is>
      </c>
      <c r="AA155" t="inlineStr">
        <is>
          <t>да</t>
        </is>
      </c>
    </row>
    <row r="156" ht="17" customHeight="1" s="59">
      <c r="A156" t="inlineStr">
        <is>
          <t>PL-HIST-0155</t>
        </is>
      </c>
      <c r="B156" t="inlineStr">
        <is>
          <t>1942</t>
        </is>
      </c>
      <c r="C156" t="inlineStr">
        <is>
          <t>год</t>
        </is>
      </c>
      <c r="D156" t="inlineStr">
        <is>
          <t>США</t>
        </is>
      </c>
      <c r="E156" t="inlineStr">
        <is>
          <t>распределённый процесс</t>
        </is>
      </c>
      <c r="F156" t="inlineStr">
        <is>
          <t>Eastman Kodak Company / фотолаборатории</t>
        </is>
      </c>
      <c r="G156" t="inlineStr">
        <is>
          <t>Kodacolor закрепляет отрицательно-положительную цветную систему: цветной негатив предназначен не для прямого просмотра, а для печати позитивов.</t>
        </is>
      </c>
      <c r="H156" t="inlineStr">
        <is>
          <t>Негатив-позитив</t>
        </is>
      </c>
      <c r="I156" t="inlineStr">
        <is>
          <t>Color negative / positive print process</t>
        </is>
      </c>
      <c r="J156" t="inlineStr">
        <is>
          <t>Пользователь начинает мыслить цветную фотографию как маршрут: экспонировать плёнку → проявить цветной негатив → напечатать цветной позитив.</t>
        </is>
      </c>
      <c r="K156" t="inlineStr">
        <is>
          <t>Классическая чёрно-белая система «негатив → позитив»</t>
        </is>
      </c>
      <c r="L156" t="inlineStr">
        <is>
          <t>Цветная лабораторная печать, Ektacolor и массовые семейные отпечатки</t>
        </is>
      </c>
      <c r="M156" t="inlineStr">
        <is>
          <t>Главная линия</t>
        </is>
      </c>
      <c r="N156" t="n">
        <v>5</v>
      </c>
      <c r="O156" t="inlineStr">
        <is>
          <t>PL-016</t>
        </is>
      </c>
      <c r="P156" t="inlineStr">
        <is>
          <t>SRC-121</t>
        </is>
      </c>
      <c r="Q156" t="inlineStr">
        <is>
          <t>Library of Congress — Dye coupler negatives</t>
        </is>
      </c>
      <c r="R156" t="inlineStr">
        <is>
          <t>https://www.loc.gov/pictures/item/tgm003415/</t>
        </is>
      </c>
      <c r="S156" t="inlineStr">
        <is>
          <t>5</t>
        </is>
      </c>
      <c r="T156" t="inlineStr">
        <is>
          <t>Связать PL-016 с PL-013: принцип «негатив-позитив» остаётся тем же, но теперь каждый канал цвета записывается отдельной красочной информацией.</t>
        </is>
      </c>
      <c r="U156" t="inlineStr">
        <is>
          <t>Схема из трёх шагов: цветная сцена → оранжевый негатив → нормальный цветной отпечаток.</t>
        </is>
      </c>
      <c r="V156" t="inlineStr">
        <is>
          <t>#PL016 #negative-positive #Kodacolor #color-print</t>
        </is>
      </c>
      <c r="W156" t="inlineStr">
        <is>
          <t>Проверить, как детально показывать Ektacolor — лучше оставить для печати или лаборатории.</t>
        </is>
      </c>
      <c r="Y156" t="inlineStr">
        <is>
          <t>Цветная негативная плёнка / негатив-позитив</t>
        </is>
      </c>
      <c r="Z156" t="inlineStr">
        <is>
          <t>Связь / переход</t>
        </is>
      </c>
    </row>
    <row r="157" ht="17" customHeight="1" s="59">
      <c r="A157" t="inlineStr">
        <is>
          <t>PL-HIST-0156</t>
        </is>
      </c>
      <c r="B157" t="inlineStr">
        <is>
          <t>1940-е – XX век</t>
        </is>
      </c>
      <c r="C157" t="inlineStr">
        <is>
          <t>диапазон</t>
        </is>
      </c>
      <c r="D157" t="inlineStr">
        <is>
          <t>глобально</t>
        </is>
      </c>
      <c r="E157" t="inlineStr">
        <is>
          <t>распределённый процесс</t>
        </is>
      </c>
      <c r="F157" t="inlineStr">
        <is>
          <t>Производители цветной плёнки</t>
        </is>
      </c>
      <c r="G157" t="inlineStr">
        <is>
          <t>Современные цветные процессы формируют изображение через отдельные слои красителей: голубой, пурпурный и жёлтый складываются в полноцветную картину.</t>
        </is>
      </c>
      <c r="H157" t="inlineStr">
        <is>
          <t>Цвет</t>
        </is>
      </c>
      <c r="I157" t="inlineStr">
        <is>
          <t>Cyan / magenta / yellow dye layers</t>
        </is>
      </c>
      <c r="J157" t="inlineStr">
        <is>
          <t>Цветная плёнка оказывается не «одним цветным слоем», а системой нескольких записей цвета, которые затем нужно правильно совместить в печати или сканировании.</t>
        </is>
      </c>
      <c r="K157" t="inlineStr">
        <is>
          <t>Серебряно-желатиновая эмульсия и чёрно-белый негатив</t>
        </is>
      </c>
      <c r="L157" t="inlineStr">
        <is>
          <t>Многослойная цветная негативная плёнка и цветное проявление</t>
        </is>
      </c>
      <c r="M157" t="inlineStr">
        <is>
          <t>Главная линия</t>
        </is>
      </c>
      <c r="N157" t="n">
        <v>5</v>
      </c>
      <c r="O157" t="inlineStr">
        <is>
          <t>PL-016</t>
        </is>
      </c>
      <c r="P157" t="inlineStr">
        <is>
          <t>SRC-122</t>
        </is>
      </c>
      <c r="Q157" t="inlineStr">
        <is>
          <t>National Archives — Identifying Motion Picture Film Formats</t>
        </is>
      </c>
      <c r="R157" t="inlineStr">
        <is>
          <t>https://www.archives.gov/preservation/formats/motion-picture-film-identify-formats.html</t>
        </is>
      </c>
      <c r="S157" t="inlineStr">
        <is>
          <t>5</t>
        </is>
      </c>
      <c r="T157" t="inlineStr">
        <is>
          <t>Новичку важно увидеть: цвет на плёнке строится из нескольких слоёв, а не появляется как один готовый «цветной пиксель».</t>
        </is>
      </c>
      <c r="U157" t="inlineStr">
        <is>
          <t>Разрез цветной плёнки с тремя условными слоями: yellow, magenta, cyan.</t>
        </is>
      </c>
      <c r="V157" t="inlineStr">
        <is>
          <t>#PL016 #CMY #dye-layers #color-film</t>
        </is>
      </c>
      <c r="Y157" t="inlineStr">
        <is>
          <t>Цветная негативная плёнка / слои красителей</t>
        </is>
      </c>
      <c r="Z157" t="inlineStr">
        <is>
          <t>Технология / процесс</t>
        </is>
      </c>
    </row>
    <row r="158" ht="17" customHeight="1" s="59">
      <c r="A158" t="inlineStr">
        <is>
          <t>PL-HIST-0157</t>
        </is>
      </c>
      <c r="B158" t="inlineStr">
        <is>
          <t>1940-е – XX век</t>
        </is>
      </c>
      <c r="C158" t="inlineStr">
        <is>
          <t>диапазон</t>
        </is>
      </c>
      <c r="D158" t="inlineStr">
        <is>
          <t>глобально</t>
        </is>
      </c>
      <c r="E158" t="inlineStr">
        <is>
          <t>распределённый процесс</t>
        </is>
      </c>
      <c r="F158" t="inlineStr">
        <is>
          <t>Kodak и другие производители цветных материалов</t>
        </is>
      </c>
      <c r="G158" t="inlineStr">
        <is>
          <t>В цветной негативной плёнке светочувствительные слои содержат цветообразующие компоненты — couplers; во время проявления они формируют красители.</t>
        </is>
      </c>
      <c r="H158" t="inlineStr">
        <is>
          <t>Фотохимия</t>
        </is>
      </c>
      <c r="I158" t="inlineStr">
        <is>
          <t>Color couplers / chromogenic development</t>
        </is>
      </c>
      <c r="J158" t="inlineStr">
        <is>
          <t>Проявление цветной плёнки становится не просто проявлением серебра: химия создаёт красочное изображение из скрытой цветовой записи.</t>
        </is>
      </c>
      <c r="K158" t="inlineStr">
        <is>
          <t>Скрытое изображение и серебряное проявление в PL-012 / PL-015</t>
        </is>
      </c>
      <c r="L158" t="inlineStr">
        <is>
          <t>C-41 как стандартизированный цветной негативный процесс</t>
        </is>
      </c>
      <c r="M158" t="inlineStr">
        <is>
          <t>Главная линия</t>
        </is>
      </c>
      <c r="N158" t="n">
        <v>5</v>
      </c>
      <c r="O158" t="inlineStr">
        <is>
          <t>PL-016</t>
        </is>
      </c>
      <c r="P158" t="inlineStr">
        <is>
          <t>SRC-123</t>
        </is>
      </c>
      <c r="Q158" t="inlineStr">
        <is>
          <t>Kodak — Essential Reference Guide for Filmmakers</t>
        </is>
      </c>
      <c r="R158" t="inlineStr">
        <is>
          <t>https://www.kodak.com/content/products-brochures/Film/kodak-essential-reference-guide-for-filmmakers.pdf</t>
        </is>
      </c>
      <c r="S158" t="inlineStr">
        <is>
          <t>5</t>
        </is>
      </c>
      <c r="T158" t="inlineStr">
        <is>
          <t>Объяснять просто: свет оставляет след, проявитель запускает реакцию, а couplers помогают родиться цветным красителям.</t>
        </is>
      </c>
      <c r="U158" t="inlineStr">
        <is>
          <t>Микро-схема: кристалл серебра + проявитель + coupler → цветной краситель.</t>
        </is>
      </c>
      <c r="V158" t="inlineStr">
        <is>
          <t>#PL016 #color-couplers #chromogenic #developer</t>
        </is>
      </c>
      <c r="Y158" t="inlineStr">
        <is>
          <t>Цветная негативная плёнка / color couplers</t>
        </is>
      </c>
      <c r="Z158" t="inlineStr">
        <is>
          <t>Технология / процесс</t>
        </is>
      </c>
    </row>
    <row r="159" ht="17" customHeight="1" s="59">
      <c r="A159" t="inlineStr">
        <is>
          <t>PL-HIST-0158</t>
        </is>
      </c>
      <c r="B159" t="inlineStr">
        <is>
          <t>XX век</t>
        </is>
      </c>
      <c r="C159" t="inlineStr">
        <is>
          <t>диапазон</t>
        </is>
      </c>
      <c r="D159" t="inlineStr">
        <is>
          <t>глобально</t>
        </is>
      </c>
      <c r="E159" t="inlineStr">
        <is>
          <t>распределённый процесс</t>
        </is>
      </c>
      <c r="F159" t="inlineStr">
        <is>
          <t>Производители цветных негативных плёнок</t>
        </is>
      </c>
      <c r="G159" t="inlineStr">
        <is>
          <t>Цветной негатив получает характерную оранжевую маску: напрямую он выглядит странно, но эта маска помогает корректнее воспроизводить цвет при печати.</t>
        </is>
      </c>
      <c r="H159" t="inlineStr">
        <is>
          <t>Цвет</t>
        </is>
      </c>
      <c r="I159" t="inlineStr">
        <is>
          <t>Orange mask in color negative film</t>
        </is>
      </c>
      <c r="J159" t="inlineStr">
        <is>
          <t>Появляется важный парадокс: хороший цветной негатив не обязан выглядеть красиво глазами — он создан для последующей интерпретации лабораторией или сканером.</t>
        </is>
      </c>
      <c r="K159" t="inlineStr">
        <is>
          <t>Цветные слои и красители в негативной плёнке</t>
        </is>
      </c>
      <c r="L159" t="inlineStr">
        <is>
          <t>Печать и цифровая инверсия цветного негатива</t>
        </is>
      </c>
      <c r="M159" t="inlineStr">
        <is>
          <t>Главная линия</t>
        </is>
      </c>
      <c r="N159" t="n">
        <v>5</v>
      </c>
      <c r="O159" t="inlineStr">
        <is>
          <t>PL-016</t>
        </is>
      </c>
      <c r="P159" t="inlineStr">
        <is>
          <t>SRC-124</t>
        </is>
      </c>
      <c r="Q159" t="inlineStr">
        <is>
          <t>Kodak — Processing KODAK Motion Picture Films, Module 7</t>
        </is>
      </c>
      <c r="R159" t="inlineStr">
        <is>
          <t>https://www.kodak.com/content/products-brochures/Film/Processing-KODAK-Motion-Picture-Films-Module-7.pdf</t>
        </is>
      </c>
      <c r="S159" t="inlineStr">
        <is>
          <t>5</t>
        </is>
      </c>
      <c r="T159" t="inlineStr">
        <is>
          <t>Это один из самых полезных моментов урока: оранжевый цвет плёнки — не ошибка и не брак, а часть системы цветокоррекции.</t>
        </is>
      </c>
      <c r="U159" t="inlineStr">
        <is>
          <t>Оранжевая полоска негатива на световом столе; рядом правильно отпечатанный цветной кадр.</t>
        </is>
      </c>
      <c r="V159" t="inlineStr">
        <is>
          <t>#PL016 #orange-mask #color-negative #printing #scan</t>
        </is>
      </c>
      <c r="Y159" t="inlineStr">
        <is>
          <t>Цветная негативная плёнка / оранжевая маска</t>
        </is>
      </c>
      <c r="Z159" t="inlineStr">
        <is>
          <t>Технология / процесс</t>
        </is>
      </c>
    </row>
    <row r="160" ht="17" customHeight="1" s="59">
      <c r="A160" t="inlineStr">
        <is>
          <t>PL-HIST-0159</t>
        </is>
      </c>
      <c r="B160" t="inlineStr">
        <is>
          <t>1940-е – XX век</t>
        </is>
      </c>
      <c r="C160" t="inlineStr">
        <is>
          <t>диапазон</t>
        </is>
      </c>
      <c r="D160" t="inlineStr">
        <is>
          <t>США / глобально</t>
        </is>
      </c>
      <c r="E160" t="inlineStr">
        <is>
          <t>фотолаборатории</t>
        </is>
      </c>
      <c r="F160" t="inlineStr">
        <is>
          <t>Фотоиндустрия и фотолаборатории</t>
        </is>
      </c>
      <c r="G160" t="inlineStr">
        <is>
          <t>Цветная негативная плёнка работает в паре с цветной хромогенной печатью: негатив проецируют на фотобумагу, где формируется позитивный цветной отпечаток.</t>
        </is>
      </c>
      <c r="H160" t="inlineStr">
        <is>
          <t>Печать / тиражирование</t>
        </is>
      </c>
      <c r="I160" t="inlineStr">
        <is>
          <t>Chromogenic color print from color negative</t>
        </is>
      </c>
      <c r="J160" t="inlineStr">
        <is>
          <t>Цветной негатив становится основой массового фотосервиса: человек приносит плёнку и получает готовые цветные фотографии.</t>
        </is>
      </c>
      <c r="K160" t="inlineStr">
        <is>
          <t>Kodacolor как первый массовый цветной негатив для отпечатков</t>
        </is>
      </c>
      <c r="L160" t="inlineStr">
        <is>
          <t>RA-4, минилабы, семейные альбомы и современные лабораторные отпечатки</t>
        </is>
      </c>
      <c r="M160" t="inlineStr">
        <is>
          <t>Главная линия / временная доминирующая линия</t>
        </is>
      </c>
      <c r="N160" t="n">
        <v>4</v>
      </c>
      <c r="O160" t="inlineStr">
        <is>
          <t>PL-016</t>
        </is>
      </c>
      <c r="P160" t="inlineStr">
        <is>
          <t>SRC-125</t>
        </is>
      </c>
      <c r="Q160" t="inlineStr">
        <is>
          <t>National Archives — Photographic Prints in the Still Picture Branch</t>
        </is>
      </c>
      <c r="R160" t="inlineStr">
        <is>
          <t>https://www.archives.gov/research/still-pictures/still-picture-photographic-prints</t>
        </is>
      </c>
      <c r="S160" t="inlineStr">
        <is>
          <t>5</t>
        </is>
      </c>
      <c r="T160" t="inlineStr">
        <is>
          <t>Связать с опытом зрителя: многие семейные фото XX века — это не «файл», а результат цепочки цветной негатив + цветная бумага.</t>
        </is>
      </c>
      <c r="U160" t="inlineStr">
        <is>
          <t>Увеличитель или минилаб: цветной негатив проецируется на бумагу, рядом появляются отпечатки 10×15.</t>
        </is>
      </c>
      <c r="V160" t="inlineStr">
        <is>
          <t>#PL016 #chromogenic-print #color-lab #family-prints</t>
        </is>
      </c>
      <c r="Y160" t="inlineStr">
        <is>
          <t>Цветная негативная плёнка / печать позитивов</t>
        </is>
      </c>
      <c r="Z160" t="inlineStr">
        <is>
          <t>Тиражирование / публикация</t>
        </is>
      </c>
    </row>
    <row r="161" ht="17" customHeight="1" s="59">
      <c r="A161" t="inlineStr">
        <is>
          <t>PL-HIST-0160</t>
        </is>
      </c>
      <c r="B161" t="inlineStr">
        <is>
          <t>1970-е – XXI век</t>
        </is>
      </c>
      <c r="C161" t="inlineStr">
        <is>
          <t>диапазон</t>
        </is>
      </c>
      <c r="D161" t="inlineStr">
        <is>
          <t>глобально</t>
        </is>
      </c>
      <c r="E161" t="inlineStr">
        <is>
          <t>фотолаборатории</t>
        </is>
      </c>
      <c r="F161" t="inlineStr">
        <is>
          <t>Kodak / фотолаборатории</t>
        </is>
      </c>
      <c r="G161" t="inlineStr">
        <is>
          <t>Процесс C-41 становится стандартной лабораторной логикой для большинства цветных негативных фотоплёнок.</t>
        </is>
      </c>
      <c r="H161" t="inlineStr">
        <is>
          <t>Фотохимия</t>
        </is>
      </c>
      <c r="I161" t="inlineStr">
        <is>
          <t>C-41 color negative process</t>
        </is>
      </c>
      <c r="J161" t="inlineStr">
        <is>
          <t>Цветная негативная плёнка получает промышленную повторяемость: разные плёнки можно обрабатывать по единому температурному и химическому маршруту.</t>
        </is>
      </c>
      <c r="K161" t="inlineStr">
        <is>
          <t>Ранние цветные негативные процессы</t>
        </is>
      </c>
      <c r="L161" t="inlineStr">
        <is>
          <t>Современная проявка цветной негативной плёнки в лаборатории или домашнем наборе C-41</t>
        </is>
      </c>
      <c r="M161" t="inlineStr">
        <is>
          <t>Главная линия</t>
        </is>
      </c>
      <c r="N161" t="n">
        <v>5</v>
      </c>
      <c r="O161" t="inlineStr">
        <is>
          <t>PL-016</t>
        </is>
      </c>
      <c r="P161" t="inlineStr">
        <is>
          <t>SRC-126</t>
        </is>
      </c>
      <c r="Q161" t="inlineStr">
        <is>
          <t>Kodak — C-41 Color Negative Control Strips</t>
        </is>
      </c>
      <c r="R161" t="inlineStr">
        <is>
          <t>https://www.kodak.com/en/motion/page/c-41-control-strips/</t>
        </is>
      </c>
      <c r="S161" t="inlineStr">
        <is>
          <t>5</t>
        </is>
      </c>
      <c r="T161" t="inlineStr">
        <is>
          <t>Главная практическая формула: если на коробке написано C-41, это цветная негативная плёнка под стандартный цветной процесс.</t>
        </is>
      </c>
      <c r="U161" t="inlineStr">
        <is>
          <t>Коробка с надписью Process C-41, контрольная полоска и термостатированная ванна.</t>
        </is>
      </c>
      <c r="V161" t="inlineStr">
        <is>
          <t>#PL016 #C41 #color-negative-processing #lab</t>
        </is>
      </c>
      <c r="W161" t="inlineStr">
        <is>
          <t>Точную дату внедрения C-41 можно уточнить отдельно; в карте пока важнее современная стандартная роль процесса.</t>
        </is>
      </c>
      <c r="Y161" t="inlineStr">
        <is>
          <t>Цветная негативная плёнка / C-41</t>
        </is>
      </c>
      <c r="Z161" t="inlineStr">
        <is>
          <t>Технология / процесс</t>
        </is>
      </c>
    </row>
    <row r="162" ht="17" customHeight="1" s="59">
      <c r="A162" t="inlineStr">
        <is>
          <t>PL-HIST-0161</t>
        </is>
      </c>
      <c r="B162" t="inlineStr">
        <is>
          <t>XX–XXI век</t>
        </is>
      </c>
      <c r="C162" t="inlineStr">
        <is>
          <t>диапазон</t>
        </is>
      </c>
      <c r="D162" t="inlineStr">
        <is>
          <t>глобально</t>
        </is>
      </c>
      <c r="E162" t="inlineStr">
        <is>
          <t>фотолаборатории и производители химии</t>
        </is>
      </c>
      <c r="F162" t="inlineStr">
        <is>
          <t>Kodak / Kodak Alaris / фотолаборатории</t>
        </is>
      </c>
      <c r="G162" t="inlineStr">
        <is>
          <t>KODAK FLEXICOLOR Chemicals и аналогичные системы закрепляют C-41 как универсальный лабораторный процесс для совместимых цветных негативных плёнок разных производителей.</t>
        </is>
      </c>
      <c r="H162" t="inlineStr">
        <is>
          <t>Фотохимия</t>
        </is>
      </c>
      <c r="I162" t="inlineStr">
        <is>
          <t>KODAK FLEXICOLOR / C-41 compatible workflow</t>
        </is>
      </c>
      <c r="J162" t="inlineStr">
        <is>
          <t>Цветная плёнка становится сервисной системой: не обязательно знать всю химию, чтобы понимать, что результат зависит от стабильного стандарта обработки.</t>
        </is>
      </c>
      <c r="K162" t="inlineStr">
        <is>
          <t>Процесс C-41 как лабораторный стандарт</t>
        </is>
      </c>
      <c r="L162" t="inlineStr">
        <is>
          <t>Минилабы, профессиональные лаборатории и домашние C-41 наборы</t>
        </is>
      </c>
      <c r="M162" t="inlineStr">
        <is>
          <t>Распространение / коммерциализация</t>
        </is>
      </c>
      <c r="N162" t="n">
        <v>4</v>
      </c>
      <c r="O162" t="inlineStr">
        <is>
          <t>PL-016</t>
        </is>
      </c>
      <c r="P162" t="inlineStr">
        <is>
          <t>SRC-127</t>
        </is>
      </c>
      <c r="Q162" t="inlineStr">
        <is>
          <t>Kodak Alaris — Chemicals: Color Negative Film Processing Cycles (C-41)</t>
        </is>
      </c>
      <c r="R162" t="inlineStr">
        <is>
          <t>https://www.kodakprofessional.com/en-gb/taxonomy/term/245</t>
        </is>
      </c>
      <c r="S162" t="inlineStr">
        <is>
          <t>5</t>
        </is>
      </c>
      <c r="T162" t="inlineStr">
        <is>
          <t>Пояснить отличие от ч/б: C-41 гораздо чувствительнее к температуре и стандарту процесса, поэтому цвет чаще отдавали в лабораторию.</t>
        </is>
      </c>
      <c r="U162" t="inlineStr">
        <is>
          <t>Цветная лаборатория: термостат, C-41 химия, кассеты разных брендов и одинаковый маршрут обработки.</t>
        </is>
      </c>
      <c r="V162" t="inlineStr">
        <is>
          <t>#PL016 #Flexicolor #C41 #photolab #processing</t>
        </is>
      </c>
      <c r="Y162" t="inlineStr">
        <is>
          <t>Цветная негативная плёнка / лабораторный стандарт</t>
        </is>
      </c>
      <c r="Z162" t="inlineStr">
        <is>
          <t>Распространение / коммерциализация</t>
        </is>
      </c>
    </row>
    <row r="163" ht="17" customHeight="1" s="59">
      <c r="A163" t="inlineStr">
        <is>
          <t>PL-HIST-0162</t>
        </is>
      </c>
      <c r="B163" t="inlineStr">
        <is>
          <t>XX–XXI век</t>
        </is>
      </c>
      <c r="C163" t="inlineStr">
        <is>
          <t>диапазон</t>
        </is>
      </c>
      <c r="D163" t="inlineStr">
        <is>
          <t>глобально</t>
        </is>
      </c>
      <c r="E163" t="inlineStr">
        <is>
          <t>распределённый процесс</t>
        </is>
      </c>
      <c r="F163" t="inlineStr">
        <is>
          <t>Фотографы и производители плёнки</t>
        </is>
      </c>
      <c r="G163" t="inlineStr">
        <is>
          <t>Цветная негативная плёнка ценится за практичность: она рассчитана на печать и сканирование, даёт гибкость цвета и обычно терпимее к небольшим ошибкам экспозиции, чем слайд.</t>
        </is>
      </c>
      <c r="H163" t="inlineStr">
        <is>
          <t>Цвет</t>
        </is>
      </c>
      <c r="I163" t="inlineStr">
        <is>
          <t>Color negative exposure latitude / print flexibility</t>
        </is>
      </c>
      <c r="J163" t="inlineStr">
        <is>
          <t>Фотограф получает более прощающий материал для повседневной съёмки: особенно важно для семьи, улицы, путешествий и портрета.</t>
        </is>
      </c>
      <c r="K163" t="inlineStr">
        <is>
          <t>C-41 как устойчивый стандарт обработки</t>
        </is>
      </c>
      <c r="L163" t="inlineStr">
        <is>
          <t>Слайдовая плёнка как более требовательный материал в PL-017</t>
        </is>
      </c>
      <c r="M163" t="inlineStr">
        <is>
          <t>Главная линия / практическое управление</t>
        </is>
      </c>
      <c r="N163" t="n">
        <v>4</v>
      </c>
      <c r="O163" t="inlineStr">
        <is>
          <t>PL-016</t>
        </is>
      </c>
      <c r="P163" t="inlineStr">
        <is>
          <t>SRC-128</t>
        </is>
      </c>
      <c r="Q163" t="inlineStr">
        <is>
          <t>Kodak Professional — Color Films</t>
        </is>
      </c>
      <c r="R163" t="inlineStr">
        <is>
          <t>https://kodakprofessional.com/photographers/film/color</t>
        </is>
      </c>
      <c r="S163" t="inlineStr">
        <is>
          <t>5</t>
        </is>
      </c>
      <c r="T163" t="inlineStr">
        <is>
          <t>Важно не противопоставлять грубо: цветной негатив гибче, а слайд точнее показывает итог сразу и требует аккуратной экспозиции.</t>
        </is>
      </c>
      <c r="U163" t="inlineStr">
        <is>
          <t>Сравнение двух полосок: цветной негатив с запасом по экспозиции и слайд с узким допуском.</t>
        </is>
      </c>
      <c r="V163" t="inlineStr">
        <is>
          <t>#PL016 #exposure-latitude #color-negative #print-film</t>
        </is>
      </c>
      <c r="W163" t="inlineStr">
        <is>
          <t>Формулировать аккуратно: конкретная широта зависит от плёнки, экспозиции, проявки и сканирования.</t>
        </is>
      </c>
      <c r="Y163" t="inlineStr">
        <is>
          <t>Цветная негативная плёнка / экспозиционная гибкость</t>
        </is>
      </c>
      <c r="Z163" t="inlineStr">
        <is>
          <t>Применение / жанр</t>
        </is>
      </c>
    </row>
    <row r="164" ht="17" customHeight="1" s="59">
      <c r="A164" t="inlineStr">
        <is>
          <t>PL-HIST-0163</t>
        </is>
      </c>
      <c r="B164" t="inlineStr">
        <is>
          <t>1990-е – XXI век</t>
        </is>
      </c>
      <c r="C164" t="inlineStr">
        <is>
          <t>диапазон</t>
        </is>
      </c>
      <c r="D164" t="inlineStr">
        <is>
          <t>глобально</t>
        </is>
      </c>
      <c r="E164" t="inlineStr">
        <is>
          <t>профессиональная и любительская фотография</t>
        </is>
      </c>
      <c r="F164" t="inlineStr">
        <is>
          <t>Kodak Professional / фотографы</t>
        </is>
      </c>
      <c r="G164" t="inlineStr">
        <is>
          <t>Современные профессиональные цветные негативные плёнки вроде PORTRA показывают, что цветной негатив остаётся не только любительским, но и профессиональным материалом.</t>
        </is>
      </c>
      <c r="H164" t="inlineStr">
        <is>
          <t>Цвет</t>
        </is>
      </c>
      <c r="I164" t="inlineStr">
        <is>
          <t>KODAK PROFESSIONAL PORTRA / modern color negative film</t>
        </is>
      </c>
      <c r="J164" t="inlineStr">
        <is>
          <t>Цветной негатив закрепляет собственный визуальный язык: мягкие тона кожи, управляемый контраст, сканируемость и большой запас для печати.</t>
        </is>
      </c>
      <c r="K164" t="inlineStr">
        <is>
          <t>Массовая C-41 система и цветная лаборатория</t>
        </is>
      </c>
      <c r="L164" t="inlineStr">
        <is>
          <t>Современный гибридный процесс: плёнка → проявка → скан → печать</t>
        </is>
      </c>
      <c r="M164" t="inlineStr">
        <is>
          <t>Главная линия / визуальный язык</t>
        </is>
      </c>
      <c r="N164" t="n">
        <v>4</v>
      </c>
      <c r="O164" t="inlineStr">
        <is>
          <t>PL-016</t>
        </is>
      </c>
      <c r="P164" t="inlineStr">
        <is>
          <t>SRC-129</t>
        </is>
      </c>
      <c r="Q164" t="inlineStr">
        <is>
          <t>Kodak Professional — PORTRA 400 Film</t>
        </is>
      </c>
      <c r="R164" t="inlineStr">
        <is>
          <t>https://kodakprofessional.com/photographers/film/color/kodak-professional-portra-400-film/516</t>
        </is>
      </c>
      <c r="S164" t="inlineStr">
        <is>
          <t>5</t>
        </is>
      </c>
      <c r="T164" t="inlineStr">
        <is>
          <t>PORTRA можно использовать как современный пример: цветной негатив сегодня жив не как ностальгия, а как осознанный выбор тона и пластики.</t>
        </is>
      </c>
      <c r="U164" t="inlineStr">
        <is>
          <t>Кассеты Portra, контактные отпечатки и портрет с мягким естественным цветом.</t>
        </is>
      </c>
      <c r="V164" t="inlineStr">
        <is>
          <t>#PL016 #Portra #color-negative #portrait #hybrid-workflow</t>
        </is>
      </c>
      <c r="Y164" t="inlineStr">
        <is>
          <t>Цветная негативная плёнка / современный профессиональный материал</t>
        </is>
      </c>
      <c r="Z164" t="inlineStr">
        <is>
          <t>Применение / жанр</t>
        </is>
      </c>
    </row>
    <row r="165" ht="17" customHeight="1" s="59">
      <c r="A165" t="inlineStr">
        <is>
          <t>PL-HIST-0164</t>
        </is>
      </c>
      <c r="B165" t="inlineStr">
        <is>
          <t>XX–XXI век</t>
        </is>
      </c>
      <c r="C165" t="inlineStr">
        <is>
          <t>диапазон</t>
        </is>
      </c>
      <c r="D165" t="inlineStr">
        <is>
          <t>глобально</t>
        </is>
      </c>
      <c r="E165" t="inlineStr">
        <is>
          <t>архивы и лаборатории</t>
        </is>
      </c>
      <c r="F165" t="inlineStr">
        <is>
          <t>Архивисты, музеи и фотолаборатории</t>
        </is>
      </c>
      <c r="G165" t="inlineStr">
        <is>
          <t>Цветные негативы требуют внимательного хранения: цветные красители и плёночная основа стареют, поэтому для важных материалов рекомендуют холодное хранение и архивные оболочки.</t>
        </is>
      </c>
      <c r="H165" t="inlineStr">
        <is>
          <t>Цвет</t>
        </is>
      </c>
      <c r="I165" t="inlineStr">
        <is>
          <t>Color film preservation / dye image stability</t>
        </is>
      </c>
      <c r="J165" t="inlineStr">
        <is>
          <t>Цветная плёнка даёт массовую память XX века, но эта память хрупкая: негатив нужно не только проявить, но и сохранить.</t>
        </is>
      </c>
      <c r="K165" t="inlineStr">
        <is>
          <t>Цветной негатив как семейный и профессиональный архив</t>
        </is>
      </c>
      <c r="L165" t="inlineStr">
        <is>
          <t>Будущие уроки о сканировании, печати и хранении плёнки</t>
        </is>
      </c>
      <c r="M165" t="inlineStr">
        <is>
          <t>Применение / жанр</t>
        </is>
      </c>
      <c r="N165" t="n">
        <v>4</v>
      </c>
      <c r="O165" t="inlineStr">
        <is>
          <t>PL-016</t>
        </is>
      </c>
      <c r="P165" t="inlineStr">
        <is>
          <t>SRC-130</t>
        </is>
      </c>
      <c r="Q165" t="inlineStr">
        <is>
          <t>National Archives — Film-Based Negatives and Positives</t>
        </is>
      </c>
      <c r="R165" t="inlineStr">
        <is>
          <t>https://www.archives.gov/preservation/holdings-maintenance/film-based</t>
        </is>
      </c>
      <c r="S165" t="inlineStr">
        <is>
          <t>5</t>
        </is>
      </c>
      <c r="T165" t="inlineStr">
        <is>
          <t>Финальный мост: цветной негатив — это архив. Если его потерять, потеряется не один отпечаток, а источник для множества будущих интерпретаций.</t>
        </is>
      </c>
      <c r="U165" t="inlineStr">
        <is>
          <t>Архивная коробка с цветными негативами в прозрачных рукавах; рядом сканер и отпечаток.</t>
        </is>
      </c>
      <c r="V165" t="inlineStr">
        <is>
          <t>#PL016 #color-negative #archive #preservation #film-storage</t>
        </is>
      </c>
      <c r="Y165" t="inlineStr">
        <is>
          <t>Цветная негативная плёнка / хранение и архив</t>
        </is>
      </c>
      <c r="Z165" t="inlineStr">
        <is>
          <t>Применение / жанр</t>
        </is>
      </c>
    </row>
    <row r="166" ht="17" customHeight="1" s="59">
      <c r="A166" s="62" t="inlineStr">
        <is>
          <t>PL-HIST-0165</t>
        </is>
      </c>
      <c r="B166" s="62" t="inlineStr">
        <is>
          <t>1907</t>
        </is>
      </c>
      <c r="C166" s="62" t="inlineStr">
        <is>
          <t>год</t>
        </is>
      </c>
      <c r="D166" s="62" t="inlineStr">
        <is>
          <t>Франция</t>
        </is>
      </c>
      <c r="E166" s="62" t="inlineStr">
        <is>
          <t>Лион / Париж</t>
        </is>
      </c>
      <c r="F166" s="62" t="inlineStr">
        <is>
          <t>Огюст и Луи Люмьер</t>
        </is>
      </c>
      <c r="G166" s="62" t="inlineStr">
        <is>
          <t>Autochrome Lumière становится первым практически и коммерчески успешным способом цветной фотографии: изображение получается как прозрачный позитив, который нужно смотреть на просвет.</t>
        </is>
      </c>
      <c r="H166" s="62" t="inlineStr">
        <is>
          <t>Цвет</t>
        </is>
      </c>
      <c r="I166" s="62" t="inlineStr">
        <is>
          <t>Autochrome Lumière / color transparency plate</t>
        </is>
      </c>
      <c r="J166" s="62" t="inlineStr">
        <is>
          <t>Цвет перестаёт быть ручной раскраской и становится фотографическим результатом, но пока остаётся уникальной прозрачностью, а не тиражируемым негативом.</t>
        </is>
      </c>
      <c r="K166" s="62" t="inlineStr">
        <is>
          <t>Позитив и прямые позитивные процессы в PL-014</t>
        </is>
      </c>
      <c r="L166" s="62" t="inlineStr">
        <is>
          <t>Рулонная цветная реверсивная плёнка и Kodachrome</t>
        </is>
      </c>
      <c r="M166" s="62" t="inlineStr">
        <is>
          <t>Исторически важная ограниченная ветка</t>
        </is>
      </c>
      <c r="N166" s="62" t="n">
        <v>5</v>
      </c>
      <c r="O166" s="62" t="inlineStr">
        <is>
          <t>PL-017</t>
        </is>
      </c>
      <c r="P166" s="62" t="inlineStr">
        <is>
          <t>SRC-131</t>
        </is>
      </c>
      <c r="Q166" s="62" t="inlineStr">
        <is>
          <t>National Science and Media Museum — A short history of colour photography</t>
        </is>
      </c>
      <c r="R166" s="62" t="inlineStr">
        <is>
          <t>https://www.scienceandmediamuseum.org.uk/objects-and-stories/history-colour-photography</t>
        </is>
      </c>
      <c r="S166" s="62" t="n">
        <v>5</v>
      </c>
      <c r="T166" s="62" t="inlineStr">
        <is>
          <t>Начать урок можно с парадокса: первый успешный массовый цвет был не негативом, а прозрачным позитивом для просмотра на свет.</t>
        </is>
      </c>
      <c r="U166" s="62" t="inlineStr">
        <is>
          <t>Автохромная стеклянная пластина на световом столе; зёрна крахмала как цветной экран.</t>
        </is>
      </c>
      <c r="V166" s="62" t="inlineStr">
        <is>
          <t>#PL017 #Autochrome #colour #transparency #Lumiere</t>
        </is>
      </c>
      <c r="W166" s="62" t="n"/>
      <c r="X166" s="62" t="inlineStr">
        <is>
          <t>45.7640, 4.8357</t>
        </is>
      </c>
      <c r="Y166" s="62" t="inlineStr">
        <is>
          <t>Слайдовая плёнка / ранний цветной позитив</t>
        </is>
      </c>
      <c r="Z166" s="62" t="inlineStr">
        <is>
          <t>Ключевой исторический узел</t>
        </is>
      </c>
      <c r="AA166" s="62" t="n"/>
    </row>
    <row r="167" ht="17" customHeight="1" s="59">
      <c r="A167" s="62" t="inlineStr">
        <is>
          <t>PL-HIST-0166</t>
        </is>
      </c>
      <c r="B167" s="62" t="inlineStr">
        <is>
          <t>1923</t>
        </is>
      </c>
      <c r="C167" s="62" t="inlineStr">
        <is>
          <t>год</t>
        </is>
      </c>
      <c r="D167" s="62" t="inlineStr">
        <is>
          <t>США</t>
        </is>
      </c>
      <c r="E167" s="62" t="inlineStr">
        <is>
          <t>Рочестер, Нью-Йорк</t>
        </is>
      </c>
      <c r="F167" s="62" t="inlineStr">
        <is>
          <t>Eastman Kodak Company</t>
        </is>
      </c>
      <c r="G167" s="62" t="inlineStr">
        <is>
          <t>Kodak вводит 16-мм reversal film на безопасной ацетатной основе вместе с камерой Cine-Kodak и проектором Kodascope.</t>
        </is>
      </c>
      <c r="H167" s="62" t="inlineStr">
        <is>
          <t>Проекция / распространение</t>
        </is>
      </c>
      <c r="I167" s="62" t="inlineStr">
        <is>
          <t>16mm reversal film / projected positive</t>
        </is>
      </c>
      <c r="J167" s="62" t="inlineStr">
        <is>
          <t>Реверсивный материал закрепляет простую логику показа: снятая плёнка после обработки становится позитивом, который можно проецировать.</t>
        </is>
      </c>
      <c r="K167" s="62" t="inlineStr">
        <is>
          <t>Autochrome как ранняя цветная прозрачность</t>
        </is>
      </c>
      <c r="L167" s="62" t="inlineStr">
        <is>
          <t>Kodachrome как цветная реверсивная плёнка</t>
        </is>
      </c>
      <c r="M167" s="62" t="inlineStr">
        <is>
          <t>Связь / переход</t>
        </is>
      </c>
      <c r="N167" s="62" t="n">
        <v>4</v>
      </c>
      <c r="O167" s="62" t="inlineStr">
        <is>
          <t>PL-017</t>
        </is>
      </c>
      <c r="P167" s="62" t="inlineStr">
        <is>
          <t>SRC-133</t>
        </is>
      </c>
      <c r="Q167" s="62" t="inlineStr">
        <is>
          <t>Kodak — 100 Years of 16mm Film</t>
        </is>
      </c>
      <c r="R167" s="62" t="inlineStr">
        <is>
          <t>https://www.kodak.com/en/motion/page/100-years-of-16mm-film/</t>
        </is>
      </c>
      <c r="S167" s="62" t="n">
        <v>5</v>
      </c>
      <c r="T167" s="62" t="inlineStr">
        <is>
          <t>Это важный мост: слайдовая логика связана не только с фотоальбомом, но и с проектором, показом, лекцией, семейным просмотром.</t>
        </is>
      </c>
      <c r="U167" s="62" t="inlineStr">
        <is>
          <t>Домашний проектор Kodascope, катушка 16 мм и световой конус на экран.</t>
        </is>
      </c>
      <c r="V167" s="62" t="inlineStr">
        <is>
          <t>#PL017 #reversal #16mm #projection #Kodak</t>
        </is>
      </c>
      <c r="W167" s="62" t="n"/>
      <c r="X167" s="62" t="inlineStr">
        <is>
          <t>43.1566, -77.6088</t>
        </is>
      </c>
      <c r="Y167" s="62" t="inlineStr">
        <is>
          <t>Слайдовая плёнка / reversal и проекция</t>
        </is>
      </c>
      <c r="Z167" s="62" t="inlineStr">
        <is>
          <t>Связь / переход</t>
        </is>
      </c>
      <c r="AA167" s="62" t="n"/>
    </row>
    <row r="168" ht="17" customHeight="1" s="59">
      <c r="A168" s="62" t="inlineStr">
        <is>
          <t>PL-HIST-0167</t>
        </is>
      </c>
      <c r="B168" s="62" t="inlineStr">
        <is>
          <t>1935</t>
        </is>
      </c>
      <c r="C168" s="62" t="inlineStr">
        <is>
          <t>год</t>
        </is>
      </c>
      <c r="D168" s="62" t="inlineStr">
        <is>
          <t>США</t>
        </is>
      </c>
      <c r="E168" s="62" t="inlineStr">
        <is>
          <t>Рочестер, Нью-Йорк</t>
        </is>
      </c>
      <c r="F168" s="62" t="inlineStr">
        <is>
          <t>Leopold Mannes, Leopold Godowsky Jr. / Eastman Kodak Company</t>
        </is>
      </c>
      <c r="G168" s="62" t="inlineStr">
        <is>
          <t>Kodak представляет Kodachrome — первый коммерчески успешный любительский цветной фильм, первоначально для 16-мм кино.</t>
        </is>
      </c>
      <c r="H168" s="62" t="inlineStr">
        <is>
          <t>Цвет</t>
        </is>
      </c>
      <c r="I168" s="62" t="inlineStr">
        <is>
          <t>KODACHROME / color reversal film</t>
        </is>
      </c>
      <c r="J168" s="62" t="inlineStr">
        <is>
          <t>Качественная цветная прозрачность становится промышленным продуктом: слайдовая эстетика начинает входить в массовую и профессиональную культуру.</t>
        </is>
      </c>
      <c r="K168" s="62" t="inlineStr">
        <is>
          <t>Autochrome и ранние цветные прозрачности</t>
        </is>
      </c>
      <c r="L168" s="62" t="inlineStr">
        <is>
          <t>Kodachrome 35 мм для фотокамер и слайдов</t>
        </is>
      </c>
      <c r="M168" s="62" t="inlineStr">
        <is>
          <t>Главная линия</t>
        </is>
      </c>
      <c r="N168" s="62" t="n">
        <v>5</v>
      </c>
      <c r="O168" s="62" t="inlineStr">
        <is>
          <t>PL-017</t>
        </is>
      </c>
      <c r="P168" s="62" t="inlineStr">
        <is>
          <t>SRC-134</t>
        </is>
      </c>
      <c r="Q168" s="62" t="inlineStr">
        <is>
          <t>Kodak — History of Film</t>
        </is>
      </c>
      <c r="R168" s="62" t="inlineStr">
        <is>
          <t>https://www.kodak.com/en/motion/page/chronology-of-film/</t>
        </is>
      </c>
      <c r="S168" s="62" t="n">
        <v>5</v>
      </c>
      <c r="T168" s="62" t="inlineStr">
        <is>
          <t>Флагман урока: Kodachrome сделал цветной слайд узнаваемым визуальным языком XX века.</t>
        </is>
      </c>
      <c r="U168" s="62" t="inlineStr">
        <is>
          <t>Коробка Kodachrome, цветная прозрачность в рамке и яркий луч проектора.</t>
        </is>
      </c>
      <c r="V168" s="62" t="inlineStr">
        <is>
          <t>#PL017 #Kodachrome #slide-film #color-reversal #Kodak</t>
        </is>
      </c>
      <c r="W168" s="62" t="n"/>
      <c r="X168" s="62" t="inlineStr">
        <is>
          <t>43.1566, -77.6088</t>
        </is>
      </c>
      <c r="Y168" s="62" t="inlineStr">
        <is>
          <t>Слайдовая плёнка / Kodachrome</t>
        </is>
      </c>
      <c r="Z168" s="62" t="inlineStr">
        <is>
          <t>Ключевой исторический узел</t>
        </is>
      </c>
      <c r="AA168" s="62" t="inlineStr">
        <is>
          <t>да</t>
        </is>
      </c>
    </row>
    <row r="169" ht="17" customHeight="1" s="59">
      <c r="A169" s="62" t="inlineStr">
        <is>
          <t>PL-HIST-0168</t>
        </is>
      </c>
      <c r="B169" s="62" t="inlineStr">
        <is>
          <t>1936</t>
        </is>
      </c>
      <c r="C169" s="62" t="inlineStr">
        <is>
          <t>год</t>
        </is>
      </c>
      <c r="D169" s="62" t="inlineStr">
        <is>
          <t>США / глобально</t>
        </is>
      </c>
      <c r="E169" s="62" t="inlineStr">
        <is>
          <t>Рочестер, Нью-Йорк / фотомагазины</t>
        </is>
      </c>
      <c r="F169" s="62" t="inlineStr">
        <is>
          <t>Eastman Kodak Company</t>
        </is>
      </c>
      <c r="G169" s="62" t="inlineStr">
        <is>
          <t>После 16-мм Kodachrome появляются 35-мм слайды и 8-мм домашнее кино, что переносит цветную реверсивную логику в фотографическую и бытовую практику.</t>
        </is>
      </c>
      <c r="H169" s="62" t="inlineStr">
        <is>
          <t>Цвет</t>
        </is>
      </c>
      <c r="I169" s="62" t="inlineStr">
        <is>
          <t>35mm Kodachrome slides / 8mm home movies</t>
        </is>
      </c>
      <c r="J169" s="62" t="inlineStr">
        <is>
          <t>Цветной позитив становится не только киноформатом, но и форматом маленькой фотографии: кадр можно монтировать в рамку, смотреть через лупу или проецировать.</t>
        </is>
      </c>
      <c r="K169" s="62" t="inlineStr">
        <is>
          <t>Kodachrome 1935</t>
        </is>
      </c>
      <c r="L169" s="62" t="inlineStr">
        <is>
          <t>Профессиональная и любительская культура цветных слайдов</t>
        </is>
      </c>
      <c r="M169" s="62" t="inlineStr">
        <is>
          <t>Главная линия</t>
        </is>
      </c>
      <c r="N169" s="62" t="n">
        <v>5</v>
      </c>
      <c r="O169" s="62" t="inlineStr">
        <is>
          <t>PL-017</t>
        </is>
      </c>
      <c r="P169" s="62" t="inlineStr">
        <is>
          <t>SRC-134</t>
        </is>
      </c>
      <c r="Q169" s="62" t="inlineStr">
        <is>
          <t>Kodak — History of Film</t>
        </is>
      </c>
      <c r="R169" s="62" t="inlineStr">
        <is>
          <t>https://www.kodak.com/en/motion/page/chronology-of-film/</t>
        </is>
      </c>
      <c r="S169" s="62" t="n">
        <v>5</v>
      </c>
      <c r="T169" s="62" t="inlineStr">
        <is>
          <t>Связать с PL-009: 35 мм становится не только чёрно-белым и негативным форматом, но и цветным слайдом.</t>
        </is>
      </c>
      <c r="U169" s="62" t="inlineStr">
        <is>
          <t>35-мм слайд в картонной рамке рядом с кассетой плёнки и лупой.</t>
        </is>
      </c>
      <c r="V169" s="62" t="inlineStr">
        <is>
          <t>#PL017 #35mm #slides #Kodachrome #transparency</t>
        </is>
      </c>
      <c r="W169" s="62" t="n"/>
      <c r="X169" s="62" t="inlineStr">
        <is>
          <t>43.1566, -77.6088</t>
        </is>
      </c>
      <c r="Y169" s="62" t="inlineStr">
        <is>
          <t>Слайдовая плёнка / 35 мм слайды</t>
        </is>
      </c>
      <c r="Z169" s="62" t="inlineStr">
        <is>
          <t>Распространение / коммерциализация</t>
        </is>
      </c>
      <c r="AA169" s="62" t="n"/>
    </row>
    <row r="170" ht="17" customHeight="1" s="59">
      <c r="A170" s="62" t="inlineStr">
        <is>
          <t>PL-HIST-0169</t>
        </is>
      </c>
      <c r="B170" s="62" t="inlineStr">
        <is>
          <t>1930-е – XX век</t>
        </is>
      </c>
      <c r="C170" s="62" t="inlineStr">
        <is>
          <t>диапазон</t>
        </is>
      </c>
      <c r="D170" s="62" t="inlineStr">
        <is>
          <t>глобально</t>
        </is>
      </c>
      <c r="E170" s="62" t="inlineStr">
        <is>
          <t>распределённый процесс</t>
        </is>
      </c>
      <c r="F170" s="62" t="inlineStr">
        <is>
          <t>Фотографы, редакции, лекторы, семьи</t>
        </is>
      </c>
      <c r="G170" s="62" t="inlineStr">
        <is>
          <t>Цветной слайд закрепляется как позитивная прозрачность: итоговое изображение находится прямо на плёнке и читается при проходящем свете.</t>
        </is>
      </c>
      <c r="H170" s="62" t="inlineStr">
        <is>
          <t>Проекция / распространение</t>
        </is>
      </c>
      <c r="I170" s="62" t="inlineStr">
        <is>
          <t>Mounted slide / transparency viewing</t>
        </is>
      </c>
      <c r="J170" s="62" t="inlineStr">
        <is>
          <t>В отличие от цветного негатива, слайд уже выглядит как готовая картинка: его можно положить на световой стол, рассмотреть в лупу или показать проектором.</t>
        </is>
      </c>
      <c r="K170" s="62" t="inlineStr">
        <is>
          <t>35-мм Kodachrome и культура проекции</t>
        </is>
      </c>
      <c r="L170" s="62" t="inlineStr">
        <is>
          <t>Реверсивный химический процесс</t>
        </is>
      </c>
      <c r="M170" s="62" t="inlineStr">
        <is>
          <t>Главная линия / практическое управление</t>
        </is>
      </c>
      <c r="N170" s="62" t="n">
        <v>4</v>
      </c>
      <c r="O170" s="62" t="inlineStr">
        <is>
          <t>PL-017</t>
        </is>
      </c>
      <c r="P170" s="62" t="inlineStr">
        <is>
          <t>SRC-139</t>
        </is>
      </c>
      <c r="Q170" s="62" t="inlineStr">
        <is>
          <t>National Archives — Photographs</t>
        </is>
      </c>
      <c r="R170" s="62" t="inlineStr">
        <is>
          <t>https://www.archives.gov/preservation/holdings-maintenance/photographs</t>
        </is>
      </c>
      <c r="S170" s="62" t="n">
        <v>4</v>
      </c>
      <c r="T170" s="62" t="inlineStr">
        <is>
          <t>Это центральное отличие для новичка: негатив нужно инвертировать/печатать, а слайд сам является позитивом.</t>
        </is>
      </c>
      <c r="U170" s="62" t="inlineStr">
        <is>
          <t>Световой стол с mounted slides, лупой и проектором на заднем плане.</t>
        </is>
      </c>
      <c r="V170" s="62" t="inlineStr">
        <is>
          <t>#PL017 #slide #transparency #projection #positive</t>
        </is>
      </c>
      <c r="W170" s="62" t="inlineStr">
        <is>
          <t>Найти отдельный музейный источник по культуре слайд-проекций и редакционной работе со слайдами.</t>
        </is>
      </c>
      <c r="X170" s="62" t="n"/>
      <c r="Y170" s="62" t="inlineStr">
        <is>
          <t>Слайдовая плёнка / просмотр на просвет</t>
        </is>
      </c>
      <c r="Z170" s="62" t="inlineStr">
        <is>
          <t>Применение / жанр</t>
        </is>
      </c>
      <c r="AA170" s="62" t="n"/>
    </row>
    <row r="171" ht="17" customHeight="1" s="59">
      <c r="A171" s="62" t="inlineStr">
        <is>
          <t>PL-HIST-0170</t>
        </is>
      </c>
      <c r="B171" s="62" t="inlineStr">
        <is>
          <t>XX век</t>
        </is>
      </c>
      <c r="C171" s="62" t="inlineStr">
        <is>
          <t>диапазон</t>
        </is>
      </c>
      <c r="D171" s="62" t="inlineStr">
        <is>
          <t>глобально</t>
        </is>
      </c>
      <c r="E171" s="62" t="inlineStr">
        <is>
          <t>распределённый процесс</t>
        </is>
      </c>
      <c r="F171" s="62" t="inlineStr">
        <is>
          <t>Производители реверсивных материалов и лаборатории</t>
        </is>
      </c>
      <c r="G171" s="62" t="inlineStr">
        <is>
          <t>Реверсивный материал при съёмке в камере после обработки даёт позитив, а не негатив: это и есть базовый принцип slide / transparency film.</t>
        </is>
      </c>
      <c r="H171" s="62" t="inlineStr">
        <is>
          <t>Фотохимия</t>
        </is>
      </c>
      <c r="I171" s="62" t="inlineStr">
        <is>
          <t>Reversal stock / direct positive development</t>
        </is>
      </c>
      <c r="J171" s="62" t="inlineStr">
        <is>
          <t>Маршрут изображения меняется: вместо «негатив → позитив» появляется «экспозиция → реверсивная обработка → готовый позитив на плёнке».</t>
        </is>
      </c>
      <c r="K171" s="62" t="inlineStr">
        <is>
          <t>Негативно-позитивная система PL-013 / PL-016</t>
        </is>
      </c>
      <c r="L171" s="62" t="inlineStr">
        <is>
          <t>Ektachrome и стандартизированный E-6 процесс</t>
        </is>
      </c>
      <c r="M171" s="62" t="inlineStr">
        <is>
          <t>Главная линия</t>
        </is>
      </c>
      <c r="N171" s="62" t="n">
        <v>5</v>
      </c>
      <c r="O171" s="62" t="inlineStr">
        <is>
          <t>PL-017</t>
        </is>
      </c>
      <c r="P171" s="62" t="inlineStr">
        <is>
          <t>SRC-137</t>
        </is>
      </c>
      <c r="Q171" s="62" t="inlineStr">
        <is>
          <t>National Archives — Archival Formats: Glossary of Terms</t>
        </is>
      </c>
      <c r="R171" s="62" t="inlineStr">
        <is>
          <t>https://www.archives.gov/preservation/formats/glossary.html</t>
        </is>
      </c>
      <c r="S171" s="62" t="n">
        <v>5</v>
      </c>
      <c r="T171" s="62" t="inlineStr">
        <is>
          <t>Объяснять через схему: цветной негатив — матрица для будущего изображения, слайд — само изображение.</t>
        </is>
      </c>
      <c r="U171" s="62" t="inlineStr">
        <is>
          <t>Две дорожки процесса: слева негатив превращается в отпечаток, справа слайд сразу становится позитивом.</t>
        </is>
      </c>
      <c r="V171" s="62" t="inlineStr">
        <is>
          <t>#PL017 #reversal #positive #transparency #process</t>
        </is>
      </c>
      <c r="W171" s="62" t="n"/>
      <c r="X171" s="62" t="n"/>
      <c r="Y171" s="62" t="inlineStr">
        <is>
          <t>Слайдовая плёнка / reversal-процесс</t>
        </is>
      </c>
      <c r="Z171" s="62" t="inlineStr">
        <is>
          <t>Технология / процесс</t>
        </is>
      </c>
      <c r="AA171" s="62" t="n"/>
    </row>
    <row r="172" ht="17" customHeight="1" s="59">
      <c r="A172" s="62" t="inlineStr">
        <is>
          <t>PL-HIST-0171</t>
        </is>
      </c>
      <c r="B172" s="62" t="inlineStr">
        <is>
          <t>1946</t>
        </is>
      </c>
      <c r="C172" s="62" t="inlineStr">
        <is>
          <t>год</t>
        </is>
      </c>
      <c r="D172" s="62" t="inlineStr">
        <is>
          <t>США</t>
        </is>
      </c>
      <c r="E172" s="62" t="inlineStr">
        <is>
          <t>Рочестер, Нью-Йорк</t>
        </is>
      </c>
      <c r="F172" s="62" t="inlineStr">
        <is>
          <t>Eastman Kodak Company</t>
        </is>
      </c>
      <c r="G172" s="62" t="inlineStr">
        <is>
          <t>Kodak выпускает KODAK EKTACHROME Transparency Sheet Film — цветную прозрачную плёнку, которую фотографы могли обрабатывать сами с помощью химических наборов.</t>
        </is>
      </c>
      <c r="H172" s="62" t="inlineStr">
        <is>
          <t>Цвет</t>
        </is>
      </c>
      <c r="I172" s="62" t="inlineStr">
        <is>
          <t>KODAK EKTACHROME Transparency Sheet Film</t>
        </is>
      </c>
      <c r="J172" s="62" t="inlineStr">
        <is>
          <t>Цветной слайд становится более доступным для контролируемой обработки: Ektachrome отделяется от сложной сервисной модели Kodachrome.</t>
        </is>
      </c>
      <c r="K172" s="62" t="inlineStr">
        <is>
          <t>Kodachrome как промышленный цветной слайд</t>
        </is>
      </c>
      <c r="L172" s="62" t="inlineStr">
        <is>
          <t>Стандартизация Ektachrome и E-6</t>
        </is>
      </c>
      <c r="M172" s="62" t="inlineStr">
        <is>
          <t>Главная линия</t>
        </is>
      </c>
      <c r="N172" s="62" t="n">
        <v>5</v>
      </c>
      <c r="O172" s="62" t="inlineStr">
        <is>
          <t>PL-017</t>
        </is>
      </c>
      <c r="P172" s="62" t="inlineStr">
        <is>
          <t>SRC-135</t>
        </is>
      </c>
      <c r="Q172" s="62" t="inlineStr">
        <is>
          <t>Kodak — Milestones</t>
        </is>
      </c>
      <c r="R172" s="62" t="inlineStr">
        <is>
          <t>https://www.kodak.com/en/company/page/milestones/</t>
        </is>
      </c>
      <c r="S172" s="62" t="n">
        <v>5</v>
      </c>
      <c r="T172" s="62" t="inlineStr">
        <is>
          <t>Важно: Ektachrome — это шаг к большей самостоятельности фотографа и лаборатории.</t>
        </is>
      </c>
      <c r="U172" s="62" t="inlineStr">
        <is>
          <t>Листовая Ektachrome, химический набор и проявочный бачок на лабораторном столе.</t>
        </is>
      </c>
      <c r="V172" s="62" t="inlineStr">
        <is>
          <t>#PL017 #Ektachrome #transparency #Kodak #processing</t>
        </is>
      </c>
      <c r="W172" s="62" t="n"/>
      <c r="X172" s="62" t="inlineStr">
        <is>
          <t>43.1566, -77.6088</t>
        </is>
      </c>
      <c r="Y172" s="62" t="inlineStr">
        <is>
          <t>Слайдовая плёнка / Ektachrome</t>
        </is>
      </c>
      <c r="Z172" s="62" t="inlineStr">
        <is>
          <t>Распространение / коммерциализация</t>
        </is>
      </c>
      <c r="AA172" s="62" t="n"/>
    </row>
    <row r="173" ht="17" customHeight="1" s="59">
      <c r="A173" s="62" t="inlineStr">
        <is>
          <t>PL-HIST-0172</t>
        </is>
      </c>
      <c r="B173" s="62" t="inlineStr">
        <is>
          <t>1970-е – XXI век</t>
        </is>
      </c>
      <c r="C173" s="62" t="inlineStr">
        <is>
          <t>диапазон</t>
        </is>
      </c>
      <c r="D173" s="62" t="inlineStr">
        <is>
          <t>глобально</t>
        </is>
      </c>
      <c r="E173" s="62" t="inlineStr">
        <is>
          <t>фотолаборатории</t>
        </is>
      </c>
      <c r="F173" s="62" t="inlineStr">
        <is>
          <t>Kodak / фотолаборатории</t>
        </is>
      </c>
      <c r="G173" s="62" t="inlineStr">
        <is>
          <t>Process E-6 закрепляется как стандартная логика обработки современных цветных реверсивных плёнок семейства Ektachrome и совместимых материалов.</t>
        </is>
      </c>
      <c r="H173" s="62" t="inlineStr">
        <is>
          <t>Фотохимия</t>
        </is>
      </c>
      <c r="I173" s="62" t="inlineStr">
        <is>
          <t>E-6 color reversal process</t>
        </is>
      </c>
      <c r="J173" s="62" t="inlineStr">
        <is>
          <t>Слайдовая плёнка получает понятную лабораторную метку: если материал рассчитан на E-6, значит это цветной reversal / slide-процесс.</t>
        </is>
      </c>
      <c r="K173" s="62" t="inlineStr">
        <is>
          <t>Ektachrome как более доступная реверсивная система</t>
        </is>
      </c>
      <c r="L173" s="62" t="inlineStr">
        <is>
          <t>Современные слайдовые материалы и гибридное сканирование</t>
        </is>
      </c>
      <c r="M173" s="62" t="inlineStr">
        <is>
          <t>Главная линия</t>
        </is>
      </c>
      <c r="N173" s="62" t="n">
        <v>5</v>
      </c>
      <c r="O173" s="62" t="inlineStr">
        <is>
          <t>PL-017</t>
        </is>
      </c>
      <c r="P173" s="62" t="inlineStr">
        <is>
          <t>SRC-138</t>
        </is>
      </c>
      <c r="Q173" s="62" t="inlineStr">
        <is>
          <t>Kodak — EKTACHROME Color Reversal Control Strips Process E-6</t>
        </is>
      </c>
      <c r="R173" s="62" t="inlineStr">
        <is>
          <t>https://www.kodak.com/en/motion/page/ektachrome-color-reversal-control-strips/</t>
        </is>
      </c>
      <c r="S173" s="62" t="n">
        <v>5</v>
      </c>
      <c r="T173" s="62" t="inlineStr">
        <is>
          <t>Практическая формула для ученика: C-41 — цветной негатив; E-6 — цветной слайд / reversal.</t>
        </is>
      </c>
      <c r="U173" s="62" t="inlineStr">
        <is>
          <t>Две коробки химии: C-41 и E-6; рядом две полоски плёнки — оранжевый негатив и прозрачный слайд.</t>
        </is>
      </c>
      <c r="V173" s="62" t="inlineStr">
        <is>
          <t>#PL017 #E6 #color-reversal #processing #Ektachrome</t>
        </is>
      </c>
      <c r="W173" s="62" t="inlineStr">
        <is>
          <t>Точную историческую дату введения E-6 при необходимости уточнить отдельно; для урока важнее современная маркировка процесса.</t>
        </is>
      </c>
      <c r="X173" s="62" t="n"/>
      <c r="Y173" s="62" t="inlineStr">
        <is>
          <t>Слайдовая плёнка / E-6</t>
        </is>
      </c>
      <c r="Z173" s="62" t="inlineStr">
        <is>
          <t>Технология / процесс</t>
        </is>
      </c>
      <c r="AA173" s="62" t="n"/>
    </row>
    <row r="174" ht="17" customHeight="1" s="59">
      <c r="A174" s="62" t="inlineStr">
        <is>
          <t>PL-HIST-0173</t>
        </is>
      </c>
      <c r="B174" s="62" t="inlineStr">
        <is>
          <t>XX–XXI век</t>
        </is>
      </c>
      <c r="C174" s="62" t="inlineStr">
        <is>
          <t>диапазон</t>
        </is>
      </c>
      <c r="D174" s="62" t="inlineStr">
        <is>
          <t>глобально</t>
        </is>
      </c>
      <c r="E174" s="62" t="inlineStr">
        <is>
          <t>практика фотографов</t>
        </is>
      </c>
      <c r="F174" s="62" t="inlineStr">
        <is>
          <t>Фотографы, лаборатории, производители плёнки</t>
        </is>
      </c>
      <c r="G174" s="62" t="inlineStr">
        <is>
          <t>Слайдовая плёнка требует более точной экспозиции, потому что итоговый позитив находится прямо на плёнке и даёт меньше места для исправления, чем негатив.</t>
        </is>
      </c>
      <c r="H174" s="62" t="inlineStr">
        <is>
          <t>Цвет</t>
        </is>
      </c>
      <c r="I174" s="62" t="inlineStr">
        <is>
          <t>Slide film exposure precision / narrow exposure range</t>
        </is>
      </c>
      <c r="J174" s="62" t="inlineStr">
        <is>
          <t>Фотограф учится измерять свет внимательнее: ошибка экспозиции видна сразу на самом слайде, а не компенсируется при печати с негатива.</t>
        </is>
      </c>
      <c r="K174" s="62" t="inlineStr">
        <is>
          <t>Цветной негатив с большой практической гибкостью PL-016</t>
        </is>
      </c>
      <c r="L174" s="62" t="inlineStr">
        <is>
          <t>Экспозиционная широта PL-020</t>
        </is>
      </c>
      <c r="M174" s="62" t="inlineStr">
        <is>
          <t>Главная линия / практическое управление</t>
        </is>
      </c>
      <c r="N174" s="62" t="n">
        <v>5</v>
      </c>
      <c r="O174" s="62" t="inlineStr">
        <is>
          <t>PL-017</t>
        </is>
      </c>
      <c r="P174" s="62" t="inlineStr">
        <is>
          <t>SRC-141</t>
        </is>
      </c>
      <c r="Q174" s="62" t="inlineStr">
        <is>
          <t>Kodak Moments — Ektachrome 120 FAQs</t>
        </is>
      </c>
      <c r="R174" s="62" t="inlineStr">
        <is>
          <t>https://business.kodakmoments.com/sites/default/files/files/products/Ektachrome_120_FAQs_English.pdf</t>
        </is>
      </c>
      <c r="S174" s="62" t="n">
        <v>4</v>
      </c>
      <c r="T174" s="62" t="inlineStr">
        <is>
          <t>Это мост к PL-020: слайдовая плёнка идеально объясняет, что такое экспозиционная широта и почему у разных материалов она разная.</t>
        </is>
      </c>
      <c r="U174" s="62" t="inlineStr">
        <is>
          <t>Одна сцена снята на негатив и слайд: у слайда выбитые света и плотные тени показывают меньший запас.</t>
        </is>
      </c>
      <c r="V174" s="62" t="inlineStr">
        <is>
          <t>#PL017 #exposure #latitude #slide-film #Ektachrome</t>
        </is>
      </c>
      <c r="W174" s="62" t="inlineStr">
        <is>
          <t>Формулировать без абсолютов: точная широта зависит от конкретной плёнки и обработки.</t>
        </is>
      </c>
      <c r="X174" s="62" t="n"/>
      <c r="Y174" s="62" t="inlineStr">
        <is>
          <t>Слайдовая плёнка / точность экспозиции</t>
        </is>
      </c>
      <c r="Z174" s="62" t="inlineStr">
        <is>
          <t>Применение / жанр</t>
        </is>
      </c>
      <c r="AA174" s="62" t="n"/>
    </row>
    <row r="175" ht="17" customHeight="1" s="59">
      <c r="A175" s="62" t="inlineStr">
        <is>
          <t>PL-HIST-0174</t>
        </is>
      </c>
      <c r="B175" s="62" t="inlineStr">
        <is>
          <t>XXI век</t>
        </is>
      </c>
      <c r="C175" s="62" t="inlineStr">
        <is>
          <t>диапазон</t>
        </is>
      </c>
      <c r="D175" s="62" t="inlineStr">
        <is>
          <t>США / глобально</t>
        </is>
      </c>
      <c r="E175" s="62" t="inlineStr">
        <is>
          <t>Рочестер / современные рынки плёнки</t>
        </is>
      </c>
      <c r="F175" s="62" t="inlineStr">
        <is>
          <t>Kodak / Kodak licensees / современные фотографы</t>
        </is>
      </c>
      <c r="G175" s="62" t="inlineStr">
        <is>
          <t>KODAK EKTACHROME E100 остаётся современным примером слайдовой плёнки: daylight-balanced color reversal film ISO 100, рассчитанная на процесс E-6.</t>
        </is>
      </c>
      <c r="H175" s="62" t="inlineStr">
        <is>
          <t>Цвет</t>
        </is>
      </c>
      <c r="I175" s="62" t="inlineStr">
        <is>
          <t>KODAK EKTACHROME E100 / modern slide film</t>
        </is>
      </c>
      <c r="J175" s="62" t="inlineStr">
        <is>
          <t>Слайдовая плёнка не только исторический материал: она остаётся живым выбором для тех, кому нужен готовый позитив, чистый цвет и характерная визуальная дисциплина.</t>
        </is>
      </c>
      <c r="K175" s="62" t="inlineStr">
        <is>
          <t>E-6 как современный стандарт обработки</t>
        </is>
      </c>
      <c r="L175" s="62" t="inlineStr">
        <is>
          <t>Гибридный путь: слайд → световой стол / скан → печать</t>
        </is>
      </c>
      <c r="M175" s="62" t="inlineStr">
        <is>
          <t>Главная линия / визуальный язык</t>
        </is>
      </c>
      <c r="N175" s="62" t="n">
        <v>4</v>
      </c>
      <c r="O175" s="62" t="inlineStr">
        <is>
          <t>PL-017</t>
        </is>
      </c>
      <c r="P175" s="62" t="inlineStr">
        <is>
          <t>SRC-140</t>
        </is>
      </c>
      <c r="Q175" s="62" t="inlineStr">
        <is>
          <t>Kodak — EKTACHROME E100 Film</t>
        </is>
      </c>
      <c r="R175" s="62" t="inlineStr">
        <is>
          <t>https://www.kodak.com/en/still-film/product/professional/ektachrome-e100-film/</t>
        </is>
      </c>
      <c r="S175" s="62" t="n">
        <v>5</v>
      </c>
      <c r="T175" s="62" t="inlineStr">
        <is>
          <t>Можно показать современную связь: Ektachrome сегодня — это не массовый семейный материал, а осознанный визуальный выбор.</t>
        </is>
      </c>
      <c r="U175" s="62" t="inlineStr">
        <is>
          <t>Современная коробка Ektachrome E100, mounted slide и сканер/световой стол.</t>
        </is>
      </c>
      <c r="V175" s="62" t="inlineStr">
        <is>
          <t>#PL017 #EktachromeE100 #E6 #slide-film #modern-film</t>
        </is>
      </c>
      <c r="W175" s="62" t="n"/>
      <c r="X175" s="62" t="inlineStr">
        <is>
          <t>43.1566, -77.6088</t>
        </is>
      </c>
      <c r="Y175" s="62" t="inlineStr">
        <is>
          <t>Слайдовая плёнка / современный материал</t>
        </is>
      </c>
      <c r="Z175" s="62" t="inlineStr">
        <is>
          <t>Применение / жанр</t>
        </is>
      </c>
      <c r="AA175" s="62" t="n"/>
    </row>
    <row r="176" ht="17" customHeight="1" s="59">
      <c r="A176" s="62" t="inlineStr">
        <is>
          <t>PL-HIST-0175</t>
        </is>
      </c>
      <c r="B176" s="62" t="inlineStr">
        <is>
          <t>XX–XXI век</t>
        </is>
      </c>
      <c r="C176" s="62" t="inlineStr">
        <is>
          <t>диапазон</t>
        </is>
      </c>
      <c r="D176" s="62" t="inlineStr">
        <is>
          <t>глобально</t>
        </is>
      </c>
      <c r="E176" s="62" t="inlineStr">
        <is>
          <t>архивы, музеи, частные коллекции</t>
        </is>
      </c>
      <c r="F176" s="62" t="inlineStr">
        <is>
          <t>Архивисты, музеи, фотографы</t>
        </is>
      </c>
      <c r="G176" s="62" t="inlineStr">
        <is>
          <t>Слайды и прозрачности требуют аккуратного хранения: материалы должны быть архивного качества, а оригиналы лучше защищать от света, тепла и неподходящих оболочек.</t>
        </is>
      </c>
      <c r="H176" s="62" t="inlineStr">
        <is>
          <t>Проекция / распространение</t>
        </is>
      </c>
      <c r="I176" s="62" t="inlineStr">
        <is>
          <t>Transparency preservation / slide archive</t>
        </is>
      </c>
      <c r="J176" s="62" t="inlineStr">
        <is>
          <t>Слайд — это не промежуточная рабочая матрица, а сам оригинальный позитив. Потеря или выцветание слайда означает потерю финального изображения.</t>
        </is>
      </c>
      <c r="K176" s="62" t="inlineStr">
        <is>
          <t>Современная слайдовая плёнка и световой стол</t>
        </is>
      </c>
      <c r="L176" s="62" t="inlineStr">
        <is>
          <t>Будущие уроки о сканировании, хранении и отпечатке</t>
        </is>
      </c>
      <c r="M176" s="62" t="inlineStr">
        <is>
          <t>Применение / жанр</t>
        </is>
      </c>
      <c r="N176" s="62" t="n">
        <v>4</v>
      </c>
      <c r="O176" s="62" t="inlineStr">
        <is>
          <t>PL-017</t>
        </is>
      </c>
      <c r="P176" s="62" t="inlineStr">
        <is>
          <t>SRC-142</t>
        </is>
      </c>
      <c r="Q176" s="62" t="inlineStr">
        <is>
          <t>National Archives — What is the Best Way to Store Negatives and Transparencies?</t>
        </is>
      </c>
      <c r="R176" s="62" t="inlineStr">
        <is>
          <t>https://www.archives.gov/preservation/storage/negatives-transparencies.html</t>
        </is>
      </c>
      <c r="S176" s="62" t="n">
        <v>5</v>
      </c>
      <c r="T176" s="62" t="inlineStr">
        <is>
          <t>Финальный вывод: слайдовая плёнка красива, но требует дисциплины не только при съёмке, но и при хранении.</t>
        </is>
      </c>
      <c r="U176" s="62" t="inlineStr">
        <is>
          <t>Архивная коробка с рамками слайдов, перчатки, световой стол и холодное хранилище.</t>
        </is>
      </c>
      <c r="V176" s="62" t="inlineStr">
        <is>
          <t>#PL017 #slides #transparencies #archive #preservation</t>
        </is>
      </c>
      <c r="W176" s="62" t="n"/>
      <c r="X176" s="62" t="n"/>
      <c r="Y176" s="62" t="inlineStr">
        <is>
          <t>Слайдовая плёнка / хранение и архив</t>
        </is>
      </c>
      <c r="Z176" s="62" t="inlineStr">
        <is>
          <t>Применение / жанр</t>
        </is>
      </c>
      <c r="AA176" s="62" t="n"/>
    </row>
    <row r="177" ht="17" customHeight="1" s="59">
      <c r="A177" t="inlineStr">
        <is>
          <t>PL-HIST-0176</t>
        </is>
      </c>
      <c r="B177" t="inlineStr">
        <is>
          <t>XX–XXI век</t>
        </is>
      </c>
      <c r="C177" t="inlineStr">
        <is>
          <t>диапазон</t>
        </is>
      </c>
      <c r="D177" t="inlineStr">
        <is>
          <t>глобально</t>
        </is>
      </c>
      <c r="E177" t="inlineStr">
        <is>
          <t>распределённая практика</t>
        </is>
      </c>
      <c r="F177" t="inlineStr">
        <is>
          <t>Фотографы, производители плёнки, лаборатории</t>
        </is>
      </c>
      <c r="G177" t="inlineStr">
        <is>
          <t>ISO плёнки закрепляется как практический язык светочувствительности: число на коробке говорит, сколько света примерно нужно материалу.</t>
        </is>
      </c>
      <c r="H177" t="inlineStr">
        <is>
          <t>Фотохимия</t>
        </is>
      </c>
      <c r="I177" t="inlineStr">
        <is>
          <t>Film speed / ISO</t>
        </is>
      </c>
      <c r="J177" t="inlineStr">
        <is>
          <t>Новичок получает простой ориентир: низкий ISO требует больше света, высокий ISO помогает в темноте, но меняет характер изображения.</t>
        </is>
      </c>
      <c r="K177" t="inlineStr">
        <is>
          <t>Светочувствительный материал PL-011 и эмульсия PL-012</t>
        </is>
      </c>
      <c r="L177" t="inlineStr">
        <is>
          <t>ISO как основа экспозиции и выбора плёнки под свет</t>
        </is>
      </c>
      <c r="M177" t="inlineStr">
        <is>
          <t>Главная линия / практическое управление</t>
        </is>
      </c>
      <c r="N177" t="n">
        <v>5</v>
      </c>
      <c r="O177" t="inlineStr">
        <is>
          <t>PL-018</t>
        </is>
      </c>
      <c r="P177" t="inlineStr">
        <is>
          <t>SRC-146</t>
        </is>
      </c>
      <c r="Q177" t="inlineStr">
        <is>
          <t>ILFORD — Choosing your first ILFORD film</t>
        </is>
      </c>
      <c r="R177" t="inlineStr">
        <is>
          <t>https://www.ilfordphoto.com/choosing-your-first-ilford-film/</t>
        </is>
      </c>
      <c r="S177" t="n">
        <v>5</v>
      </c>
      <c r="T177" t="inlineStr">
        <is>
          <t>Флагман урока: ISO — это не «яркость фотографии», а чувствительность материала к свету.</t>
        </is>
      </c>
      <c r="U177" t="inlineStr">
        <is>
          <t>Коробки плёнки ISO 50, 100, 400 и 3200 на столе; рядом экспонометр и луч света.</t>
        </is>
      </c>
      <c r="V177" t="inlineStr">
        <is>
          <t>#PL018 #ISO #film-speed #exposure #film</t>
        </is>
      </c>
      <c r="Y177" t="inlineStr">
        <is>
          <t>ISO плёнки / светочувствительность</t>
        </is>
      </c>
      <c r="Z177" t="inlineStr">
        <is>
          <t>Ключевой исторический узел</t>
        </is>
      </c>
      <c r="AA177" t="inlineStr">
        <is>
          <t>да</t>
        </is>
      </c>
    </row>
    <row r="178" ht="17" customHeight="1" s="59">
      <c r="A178" t="inlineStr">
        <is>
          <t>PL-HIST-0177</t>
        </is>
      </c>
      <c r="B178" t="inlineStr">
        <is>
          <t>1980-е</t>
        </is>
      </c>
      <c r="C178" t="inlineStr">
        <is>
          <t>примерно</t>
        </is>
      </c>
      <c r="D178" t="inlineStr">
        <is>
          <t>международно</t>
        </is>
      </c>
      <c r="E178" t="inlineStr">
        <is>
          <t>Женева / международные стандарты</t>
        </is>
      </c>
      <c r="F178" t="inlineStr">
        <is>
          <t>International Organization for Standardization / ASA / DIN</t>
        </is>
      </c>
      <c r="G178" t="inlineStr">
        <is>
          <t>Старые системы ASA и DIN постепенно переходят в международную систему ISO, но линейная ASA-логика продолжает жить внутри ISO-числа.</t>
        </is>
      </c>
      <c r="H178" t="inlineStr">
        <is>
          <t>Фотохимия</t>
        </is>
      </c>
      <c r="I178" t="inlineStr">
        <is>
          <t>ASA / DIN → ISO film speed</t>
        </is>
      </c>
      <c r="J178" t="inlineStr">
        <is>
          <t>Фотографы из разных стран получают единый язык: ISO 100/21° означает одну и ту же практическую идею чувствительности.</t>
        </is>
      </c>
      <c r="K178" t="inlineStr">
        <is>
          <t>Разрозненные национальные шкалы светочувствительности</t>
        </is>
      </c>
      <c r="L178" t="inlineStr">
        <is>
          <t>Современная маркировка ISO на коробке плёнки и в камере</t>
        </is>
      </c>
      <c r="M178" t="inlineStr">
        <is>
          <t>Связь / переход</t>
        </is>
      </c>
      <c r="N178" t="n">
        <v>5</v>
      </c>
      <c r="O178" t="inlineStr">
        <is>
          <t>PL-018</t>
        </is>
      </c>
      <c r="P178" t="inlineStr">
        <is>
          <t>SRC-143</t>
        </is>
      </c>
      <c r="Q178" t="inlineStr">
        <is>
          <t>ISO — ISO 6:1993 Camera film speed</t>
        </is>
      </c>
      <c r="R178" t="inlineStr">
        <is>
          <t>https://www.iso.org/iso-6-camera-film-speed.html</t>
        </is>
      </c>
      <c r="S178" t="n">
        <v>5</v>
      </c>
      <c r="T178" t="inlineStr">
        <is>
          <t>Важно не перегружать историей стандартов: ученику достаточно понять, что ISO — это общий язык света.</t>
        </is>
      </c>
      <c r="U178" t="inlineStr">
        <is>
          <t>Шкалы ASA, DIN и ISO, сходящиеся в одну золотую линию на фоне коробки плёнки.</t>
        </is>
      </c>
      <c r="V178" t="inlineStr">
        <is>
          <t>#PL018 #ASA #DIN #ISO #standard</t>
        </is>
      </c>
      <c r="W178" t="inlineStr">
        <is>
          <t>При необходимости уточнить точные годы перехода ASA/DIN в ISO в национальных стандартах.</t>
        </is>
      </c>
      <c r="X178" t="inlineStr">
        <is>
          <t>46.2044, 6.1432</t>
        </is>
      </c>
      <c r="Y178" t="inlineStr">
        <is>
          <t>ISO плёнки / ASA-DIN-ISO</t>
        </is>
      </c>
      <c r="Z178" t="inlineStr">
        <is>
          <t>Терминология / язык</t>
        </is>
      </c>
    </row>
    <row r="179" ht="17" customHeight="1" s="59">
      <c r="A179" t="inlineStr">
        <is>
          <t>PL-HIST-0178</t>
        </is>
      </c>
      <c r="B179" t="inlineStr">
        <is>
          <t>1993</t>
        </is>
      </c>
      <c r="C179" t="inlineStr">
        <is>
          <t>год</t>
        </is>
      </c>
      <c r="D179" t="inlineStr">
        <is>
          <t>международно</t>
        </is>
      </c>
      <c r="E179" t="inlineStr">
        <is>
          <t>Женева</t>
        </is>
      </c>
      <c r="F179" t="inlineStr">
        <is>
          <t>International Organization for Standardization</t>
        </is>
      </c>
      <c r="G179" t="inlineStr">
        <is>
          <t>ISO 6 фиксирует метод определения ISO-светочувствительности для чёрно-белых негативных фотоплёнок и систем обработки.</t>
        </is>
      </c>
      <c r="H179" t="inlineStr">
        <is>
          <t>Фотохимия</t>
        </is>
      </c>
      <c r="I179" t="inlineStr">
        <is>
          <t>ISO 6 / black-and-white negative film speed</t>
        </is>
      </c>
      <c r="J179" t="inlineStr">
        <is>
          <t>Чёрно-белая плёнка получает стандартизированную точку отсчёта: чувствительность связана не только с эмульсией, но и с процессом проявки.</t>
        </is>
      </c>
      <c r="K179" t="inlineStr">
        <is>
          <t>Чёрно-белая плёнка PL-015</t>
        </is>
      </c>
      <c r="L179" t="inlineStr">
        <is>
          <t>ISO 5800 для цветного негатива</t>
        </is>
      </c>
      <c r="M179" t="inlineStr">
        <is>
          <t>Главная линия</t>
        </is>
      </c>
      <c r="N179" t="n">
        <v>4</v>
      </c>
      <c r="O179" t="inlineStr">
        <is>
          <t>PL-018</t>
        </is>
      </c>
      <c r="P179" t="inlineStr">
        <is>
          <t>SRC-143</t>
        </is>
      </c>
      <c r="Q179" t="inlineStr">
        <is>
          <t>ISO — ISO 6:1993 Camera film speed</t>
        </is>
      </c>
      <c r="R179" t="inlineStr">
        <is>
          <t>https://www.iso.org/iso-6-camera-film-speed.html</t>
        </is>
      </c>
      <c r="S179" t="n">
        <v>5</v>
      </c>
      <c r="T179" t="inlineStr">
        <is>
          <t>Сделать акцент: для ч/б плёнки ISO связан с рекомендованной обработкой, поэтому проявка может менять практический EI.</t>
        </is>
      </c>
      <c r="U179" t="inlineStr">
        <is>
          <t>Чёрно-белый негатив, проявочный бачок и карточка ISO 400/27°.</t>
        </is>
      </c>
      <c r="V179" t="inlineStr">
        <is>
          <t>#PL018 #ISO6 #black-and-white #negative #film-speed</t>
        </is>
      </c>
      <c r="X179" t="inlineStr">
        <is>
          <t>46.2044, 6.1432</t>
        </is>
      </c>
      <c r="Y179" t="inlineStr">
        <is>
          <t>ISO плёнки / чёрно-белый негатив</t>
        </is>
      </c>
      <c r="Z179" t="inlineStr">
        <is>
          <t>Технология / процесс</t>
        </is>
      </c>
    </row>
    <row r="180" ht="17" customHeight="1" s="59">
      <c r="A180" t="inlineStr">
        <is>
          <t>PL-HIST-0179</t>
        </is>
      </c>
      <c r="B180" t="inlineStr">
        <is>
          <t>1987 / 2001</t>
        </is>
      </c>
      <c r="C180" t="inlineStr">
        <is>
          <t>точная дата</t>
        </is>
      </c>
      <c r="D180" t="inlineStr">
        <is>
          <t>международно</t>
        </is>
      </c>
      <c r="E180" t="inlineStr">
        <is>
          <t>Женева</t>
        </is>
      </c>
      <c r="F180" t="inlineStr">
        <is>
          <t>International Organization for Standardization</t>
        </is>
      </c>
      <c r="G180" t="inlineStr">
        <is>
          <t>ISO 5800 описывает определение ISO-светочувствительности цветных негативных плёнок для статической фотографии.</t>
        </is>
      </c>
      <c r="H180" t="inlineStr">
        <is>
          <t>Фотохимия</t>
        </is>
      </c>
      <c r="I180" t="inlineStr">
        <is>
          <t>ISO 5800 / colour negative film speed</t>
        </is>
      </c>
      <c r="J180" t="inlineStr">
        <is>
          <t>Цветной негатив получает измеримый стандарт: коробочный ISO перестаёт быть рекламным числом и становится частью воспроизводимой системы.</t>
        </is>
      </c>
      <c r="K180" t="inlineStr">
        <is>
          <t>Цветная негативная плёнка PL-016</t>
        </is>
      </c>
      <c r="L180" t="inlineStr">
        <is>
          <t>Практический выбор ISO под свет и сюжет</t>
        </is>
      </c>
      <c r="M180" t="inlineStr">
        <is>
          <t>Главная линия</t>
        </is>
      </c>
      <c r="N180" t="n">
        <v>4</v>
      </c>
      <c r="O180" t="inlineStr">
        <is>
          <t>PL-018</t>
        </is>
      </c>
      <c r="P180" t="inlineStr">
        <is>
          <t>SRC-144</t>
        </is>
      </c>
      <c r="Q180" t="inlineStr">
        <is>
          <t>ISO — ISO 5800:1987 Colour negative films</t>
        </is>
      </c>
      <c r="R180" t="inlineStr">
        <is>
          <t>https://www.iso.org/standard/11948.html</t>
        </is>
      </c>
      <c r="S180" t="n">
        <v>5</v>
      </c>
      <c r="T180" t="inlineStr">
        <is>
          <t>Здесь удобно связать PL-016 и PL-018: цветной негатив — материал; ISO — его чувствительность.</t>
        </is>
      </c>
      <c r="U180" t="inlineStr">
        <is>
          <t>Цветной негатив с оранжевой маской, рядом маркировка ISO 400/27°.</t>
        </is>
      </c>
      <c r="V180" t="inlineStr">
        <is>
          <t>#PL018 #ISO5800 #color-negative #film-speed</t>
        </is>
      </c>
      <c r="X180" t="inlineStr">
        <is>
          <t>46.2044, 6.1432</t>
        </is>
      </c>
      <c r="Y180" t="inlineStr">
        <is>
          <t>ISO плёнки / цветной негатив</t>
        </is>
      </c>
      <c r="Z180" t="inlineStr">
        <is>
          <t>Технология / процесс</t>
        </is>
      </c>
    </row>
    <row r="181" ht="17" customHeight="1" s="59">
      <c r="A181" t="inlineStr">
        <is>
          <t>PL-HIST-0180</t>
        </is>
      </c>
      <c r="B181" t="inlineStr">
        <is>
          <t>2003</t>
        </is>
      </c>
      <c r="C181" t="inlineStr">
        <is>
          <t>год</t>
        </is>
      </c>
      <c r="D181" t="inlineStr">
        <is>
          <t>международно</t>
        </is>
      </c>
      <c r="E181" t="inlineStr">
        <is>
          <t>Женева</t>
        </is>
      </c>
      <c r="F181" t="inlineStr">
        <is>
          <t>International Organization for Standardization</t>
        </is>
      </c>
      <c r="G181" t="inlineStr">
        <is>
          <t>ISO 2240 задаёт метод определения светочувствительности цветных обращаемых плёнок — материалов, которые смотрят на просвет или проецируют как слайды.</t>
        </is>
      </c>
      <c r="H181" t="inlineStr">
        <is>
          <t>Фотохимия</t>
        </is>
      </c>
      <c r="I181" t="inlineStr">
        <is>
          <t>ISO 2240 / colour reversal film speed</t>
        </is>
      </c>
      <c r="J181" t="inlineStr">
        <is>
          <t>Слайдовая плёнка получает отдельную логику стандартизации, потому что результат — сразу позитивная прозрачность, а не печатный негатив.</t>
        </is>
      </c>
      <c r="K181" t="inlineStr">
        <is>
          <t>Слайдовая плёнка PL-017</t>
        </is>
      </c>
      <c r="L181" t="inlineStr">
        <is>
          <t>Экспозиционная широта слайда PL-020</t>
        </is>
      </c>
      <c r="M181" t="inlineStr">
        <is>
          <t>Главная линия</t>
        </is>
      </c>
      <c r="N181" t="n">
        <v>4</v>
      </c>
      <c r="O181" t="inlineStr">
        <is>
          <t>PL-018</t>
        </is>
      </c>
      <c r="P181" t="inlineStr">
        <is>
          <t>SRC-145</t>
        </is>
      </c>
      <c r="Q181" t="inlineStr">
        <is>
          <t>ISO — ISO 2240:2003 Colour reversal camera films</t>
        </is>
      </c>
      <c r="R181" t="inlineStr">
        <is>
          <t>https://www.iso.org/standard/34533.html</t>
        </is>
      </c>
      <c r="S181" t="n">
        <v>5</v>
      </c>
      <c r="T181" t="inlineStr">
        <is>
          <t>Мост к PL-020: у слайда ISO и экспозиция особенно критичны из-за узкого диапазона ошибки.</t>
        </is>
      </c>
      <c r="U181" t="inlineStr">
        <is>
          <t>Слайд в рамке на световом столе и подпись ISO 100/21° без лишней инфографики.</t>
        </is>
      </c>
      <c r="V181" t="inlineStr">
        <is>
          <t>#PL018 #ISO2240 #slide-film #reversal #ISO</t>
        </is>
      </c>
      <c r="X181" t="inlineStr">
        <is>
          <t>46.2044, 6.1432</t>
        </is>
      </c>
      <c r="Y181" t="inlineStr">
        <is>
          <t>ISO плёнки / слайдовая плёнка</t>
        </is>
      </c>
      <c r="Z181" t="inlineStr">
        <is>
          <t>Технология / процесс</t>
        </is>
      </c>
    </row>
    <row r="182" ht="17" customHeight="1" s="59">
      <c r="A182" t="inlineStr">
        <is>
          <t>PL-HIST-0181</t>
        </is>
      </c>
      <c r="B182" t="inlineStr">
        <is>
          <t>XX–XXI век</t>
        </is>
      </c>
      <c r="C182" t="inlineStr">
        <is>
          <t>диапазон</t>
        </is>
      </c>
      <c r="D182" t="inlineStr">
        <is>
          <t>США / глобально</t>
        </is>
      </c>
      <c r="E182" t="inlineStr">
        <is>
          <t>Рочестер / кинолаборатории</t>
        </is>
      </c>
      <c r="F182" t="inlineStr">
        <is>
          <t>Eastman Kodak Company / операторы / фотографы</t>
        </is>
      </c>
      <c r="G182" t="inlineStr">
        <is>
          <t>Exposure Index показывает практическую рабочую настройку чувствительности: EI не всегда нужно понимать как абсолютно неизменную скорость материала.</t>
        </is>
      </c>
      <c r="H182" t="inlineStr">
        <is>
          <t>Фотохимия</t>
        </is>
      </c>
      <c r="I182" t="inlineStr">
        <is>
          <t>Exposure Index / EI</t>
        </is>
      </c>
      <c r="J182" t="inlineStr">
        <is>
          <t>Появляется важное различие: box speed — рекомендация производителя, EI — выбранная фотографом рабочая настройка под задачу и обработку.</t>
        </is>
      </c>
      <c r="K182" t="inlineStr">
        <is>
          <t>ISO как стандартная маркировка</t>
        </is>
      </c>
      <c r="L182" t="inlineStr">
        <is>
          <t>Push/pull и тестирование конкретной плёнки</t>
        </is>
      </c>
      <c r="M182" t="inlineStr">
        <is>
          <t>Главная линия / практическое управление</t>
        </is>
      </c>
      <c r="N182" t="n">
        <v>5</v>
      </c>
      <c r="O182" t="inlineStr">
        <is>
          <t>PL-018</t>
        </is>
      </c>
      <c r="P182" t="inlineStr">
        <is>
          <t>SRC-148</t>
        </is>
      </c>
      <c r="Q182" t="inlineStr">
        <is>
          <t>Kodak — Frequently Asked Questions</t>
        </is>
      </c>
      <c r="R182" t="inlineStr">
        <is>
          <t>https://www.kodak.com/en/motion/page/frequently-asked-questions/</t>
        </is>
      </c>
      <c r="S182" t="n">
        <v>5</v>
      </c>
      <c r="T182" t="inlineStr">
        <is>
          <t>Объяснить просто: ISO написан на коробке, EI — как ты реально решил снимать этот материал.</t>
        </is>
      </c>
      <c r="U182" t="inlineStr">
        <is>
          <t>Коробка ISO 400, экспонометр выставлен на EI 800; рядом заметка «push +1».</t>
        </is>
      </c>
      <c r="V182" t="inlineStr">
        <is>
          <t>#PL018 #EI #exposure-index #box-speed #push</t>
        </is>
      </c>
      <c r="W182" t="inlineStr">
        <is>
          <t>Формулировать аккуратно: EI не отменяет стандартизированный ISO, а описывает практическую настройку.</t>
        </is>
      </c>
      <c r="X182" t="inlineStr">
        <is>
          <t>43.1566, -77.6088</t>
        </is>
      </c>
      <c r="Y182" t="inlineStr">
        <is>
          <t>ISO плёнки / box speed и EI</t>
        </is>
      </c>
      <c r="Z182" t="inlineStr">
        <is>
          <t>Терминология / язык</t>
        </is>
      </c>
    </row>
    <row r="183" ht="17" customHeight="1" s="59">
      <c r="A183" t="inlineStr">
        <is>
          <t>PL-HIST-0182</t>
        </is>
      </c>
      <c r="B183" t="inlineStr">
        <is>
          <t>XX век</t>
        </is>
      </c>
      <c r="C183" t="inlineStr">
        <is>
          <t>диапазон</t>
        </is>
      </c>
      <c r="D183" t="inlineStr">
        <is>
          <t>США</t>
        </is>
      </c>
      <c r="E183" t="inlineStr">
        <is>
          <t>Рочестер, Нью-Йорк</t>
        </is>
      </c>
      <c r="F183" t="inlineStr">
        <is>
          <t>Eastman Kodak Company</t>
        </is>
      </c>
      <c r="G183" t="inlineStr">
        <is>
          <t>Kodak формулирует экспозицию как баланс четырёх вещей: времени выдержки, отверстия объектива, яркости сцены и скорости / EI плёнки.</t>
        </is>
      </c>
      <c r="H183" t="inlineStr">
        <is>
          <t>Фотохимия</t>
        </is>
      </c>
      <c r="I183" t="inlineStr">
        <is>
          <t>Film speed in exposure calculation</t>
        </is>
      </c>
      <c r="J183" t="inlineStr">
        <is>
          <t>ISO становится частью экспозиционного треугольника: он не работает отдельно, а связан с выдержкой, диафрагмой и реальным светом сцены.</t>
        </is>
      </c>
      <c r="K183" t="inlineStr">
        <is>
          <t>EI как практическая настройка</t>
        </is>
      </c>
      <c r="L183" t="inlineStr">
        <is>
          <t>Модуль экспозиции PL-041–PL-050</t>
        </is>
      </c>
      <c r="M183" t="inlineStr">
        <is>
          <t>Связь / переход</t>
        </is>
      </c>
      <c r="N183" t="n">
        <v>5</v>
      </c>
      <c r="O183" t="inlineStr">
        <is>
          <t>PL-018</t>
        </is>
      </c>
      <c r="P183" t="inlineStr">
        <is>
          <t>SRC-147</t>
        </is>
      </c>
      <c r="Q183" t="inlineStr">
        <is>
          <t>Kodak — Essential Reference Guide for Filmmakers</t>
        </is>
      </c>
      <c r="R183" t="inlineStr">
        <is>
          <t>https://www.kodak.com/content/products-brochures/Film/kodak-essential-reference-guide-for-filmmakers.pdf</t>
        </is>
      </c>
      <c r="S183" t="n">
        <v>5</v>
      </c>
      <c r="T183" t="inlineStr">
        <is>
          <t>Это лучший мост в будущий модуль экспозиции: ISO — не магия, а один из параметров расчёта света.</t>
        </is>
      </c>
      <c r="U183" t="inlineStr">
        <is>
          <t>Схема: сцена → объектив → плёнка; вокруг четыре подписи: свет, диафрагма, выдержка, ISO/EI.</t>
        </is>
      </c>
      <c r="V183" t="inlineStr">
        <is>
          <t>#PL018 #exposure #aperture #shutter #film-speed</t>
        </is>
      </c>
      <c r="X183" t="inlineStr">
        <is>
          <t>43.1566, -77.6088</t>
        </is>
      </c>
      <c r="Y183" t="inlineStr">
        <is>
          <t>ISO плёнки / связь с экспозицией</t>
        </is>
      </c>
      <c r="Z183" t="inlineStr">
        <is>
          <t>Связь / переход</t>
        </is>
      </c>
    </row>
    <row r="184" ht="17" customHeight="1" s="59">
      <c r="A184" t="inlineStr">
        <is>
          <t>PL-HIST-0183</t>
        </is>
      </c>
      <c r="B184" t="inlineStr">
        <is>
          <t>XX–XXI век</t>
        </is>
      </c>
      <c r="C184" t="inlineStr">
        <is>
          <t>диапазон</t>
        </is>
      </c>
      <c r="D184" t="inlineStr">
        <is>
          <t>глобально</t>
        </is>
      </c>
      <c r="E184" t="inlineStr">
        <is>
          <t>фотомагазины и камеры</t>
        </is>
      </c>
      <c r="F184" t="inlineStr">
        <is>
          <t>Производители плёнки / фотографы</t>
        </is>
      </c>
      <c r="G184" t="inlineStr">
        <is>
          <t>Box speed становится бытовым интерфейсом плёнки: фотограф видит ISO 50, 100, 400 или 3200 и сразу понимает, в каком свете материалу комфортнее.</t>
        </is>
      </c>
      <c r="H184" t="inlineStr">
        <is>
          <t>Фотохимия</t>
        </is>
      </c>
      <c r="I184" t="inlineStr">
        <is>
          <t>Box speed / nominal sensitivity</t>
        </is>
      </c>
      <c r="J184" t="inlineStr">
        <is>
          <t>Выбор плёнки становится практическим: солнечный день, помещение, вечер, движение — всё это связано с ISO ещё до настройки камеры.</t>
        </is>
      </c>
      <c r="K184" t="inlineStr">
        <is>
          <t>Стандарты ISO</t>
        </is>
      </c>
      <c r="L184" t="inlineStr">
        <is>
          <t>Выбор низкой, средней и высокой чувствительности</t>
        </is>
      </c>
      <c r="M184" t="inlineStr">
        <is>
          <t>Распространение / коммерциализация</t>
        </is>
      </c>
      <c r="N184" t="n">
        <v>4</v>
      </c>
      <c r="O184" t="inlineStr">
        <is>
          <t>PL-018</t>
        </is>
      </c>
      <c r="P184" t="inlineStr">
        <is>
          <t>SRC-152</t>
        </is>
      </c>
      <c r="Q184" t="inlineStr">
        <is>
          <t>Kodak — Still Film Products</t>
        </is>
      </c>
      <c r="R184" t="inlineStr">
        <is>
          <t>https://www.kodak.com/en/still-film/products/</t>
        </is>
      </c>
      <c r="S184" t="n">
        <v>5</v>
      </c>
      <c r="T184" t="inlineStr">
        <is>
          <t>Можно показать как «этикетку света»: ISO на коробке — первое решение фотографа до съёмки.</t>
        </is>
      </c>
      <c r="U184" t="inlineStr">
        <is>
          <t>Полка фотомагазина с коробками плёнки разной чувствительности; крупно видны числа ISO.</t>
        </is>
      </c>
      <c r="V184" t="inlineStr">
        <is>
          <t>#PL018 #box-speed #film-choice #ISO #photostore</t>
        </is>
      </c>
      <c r="Y184" t="inlineStr">
        <is>
          <t>ISO плёнки / коробочный ISO</t>
        </is>
      </c>
      <c r="Z184" t="inlineStr">
        <is>
          <t>Распространение / коммерциализация</t>
        </is>
      </c>
    </row>
    <row r="185" ht="17" customHeight="1" s="59">
      <c r="A185" t="inlineStr">
        <is>
          <t>PL-HIST-0184</t>
        </is>
      </c>
      <c r="B185" t="inlineStr">
        <is>
          <t>XX–XXI век</t>
        </is>
      </c>
      <c r="C185" t="inlineStr">
        <is>
          <t>диапазон</t>
        </is>
      </c>
      <c r="D185" t="inlineStr">
        <is>
          <t>Великобритания / глобально</t>
        </is>
      </c>
      <c r="E185" t="inlineStr">
        <is>
          <t>Мобберли, Чешир / практика съёмки</t>
        </is>
      </c>
      <c r="F185" t="inlineStr">
        <is>
          <t>ILFORD PHOTO / фотографы</t>
        </is>
      </c>
      <c r="G185" t="inlineStr">
        <is>
          <t>ILFORD HP5 PLUS закрепляет практический образ ISO 400: универсальная высокочувствительная чёрно-белая плёнка для репортажа, улицы, путешествий и слабого света.</t>
        </is>
      </c>
      <c r="H185" t="inlineStr">
        <is>
          <t>Фотохимия</t>
        </is>
      </c>
      <c r="I185" t="inlineStr">
        <is>
          <t>ISO 400 high-speed black-and-white film</t>
        </is>
      </c>
      <c r="J185" t="inlineStr">
        <is>
          <t>ISO 400 становится стартовой универсальной точкой: достаточно чувствительно для жизни, но ещё контролируемо по зерну и контрасту.</t>
        </is>
      </c>
      <c r="K185" t="inlineStr">
        <is>
          <t>Box speed как выбор плёнки</t>
        </is>
      </c>
      <c r="L185" t="inlineStr">
        <is>
          <t>Push до EI 3200 и практическая гибкость</t>
        </is>
      </c>
      <c r="M185" t="inlineStr">
        <is>
          <t>Главная линия / визуальный язык</t>
        </is>
      </c>
      <c r="N185" t="n">
        <v>4</v>
      </c>
      <c r="O185" t="inlineStr">
        <is>
          <t>PL-018</t>
        </is>
      </c>
      <c r="P185" t="inlineStr">
        <is>
          <t>SRC-149</t>
        </is>
      </c>
      <c r="Q185" t="inlineStr">
        <is>
          <t>ILFORD — HP5 PLUS 35mm</t>
        </is>
      </c>
      <c r="R185" t="inlineStr">
        <is>
          <t>https://www.ilfordphoto.com/hp5-plus-35mm?___from_store=ilford_uk&amp;___store=ilford_brochure</t>
        </is>
      </c>
      <c r="S185" t="n">
        <v>5</v>
      </c>
      <c r="T185" t="inlineStr">
        <is>
          <t>Связать с твоим личным маршрутом входа в плёнку: ISO 400 — понятный первый выбор для переменного света.</t>
        </is>
      </c>
      <c r="U185" t="inlineStr">
        <is>
          <t>Кассета HP5 PLUS рядом с камерой; окно, пасмурный свет, заметка «ISO 400».</t>
        </is>
      </c>
      <c r="V185" t="inlineStr">
        <is>
          <t>#PL018 #HP5 #ISO400 #black-and-white #available-light</t>
        </is>
      </c>
      <c r="X185" t="inlineStr">
        <is>
          <t>53.3160, -2.3180</t>
        </is>
      </c>
      <c r="Y185" t="inlineStr">
        <is>
          <t>ISO плёнки / универсальный ISO 400</t>
        </is>
      </c>
      <c r="Z185" t="inlineStr">
        <is>
          <t>Применение / жанр</t>
        </is>
      </c>
    </row>
    <row r="186" ht="17" customHeight="1" s="59">
      <c r="A186" t="inlineStr">
        <is>
          <t>PL-HIST-0185</t>
        </is>
      </c>
      <c r="B186" t="inlineStr">
        <is>
          <t>XX–XXI век</t>
        </is>
      </c>
      <c r="C186" t="inlineStr">
        <is>
          <t>диапазон</t>
        </is>
      </c>
      <c r="D186" t="inlineStr">
        <is>
          <t>Великобритания / глобально</t>
        </is>
      </c>
      <c r="E186" t="inlineStr">
        <is>
          <t>Мобберли, Чешир / ночная съёмка</t>
        </is>
      </c>
      <c r="F186" t="inlineStr">
        <is>
          <t>ILFORD PHOTO / фотографы</t>
        </is>
      </c>
      <c r="G186" t="inlineStr">
        <is>
          <t>DELTA 3200 показывает верхнюю сторону ISO: высокая чувствительность даёт возможность снимать в слабом свете, но делает характер изображения более активным.</t>
        </is>
      </c>
      <c r="H186" t="inlineStr">
        <is>
          <t>Фотохимия</t>
        </is>
      </c>
      <c r="I186" t="inlineStr">
        <is>
          <t>EI 3200 high-speed film</t>
        </is>
      </c>
      <c r="J186" t="inlineStr">
        <is>
          <t>Фотограф получает инструмент для ночи, концертов и движения; ISO становится не только техникой, но и эстетическим выбором.</t>
        </is>
      </c>
      <c r="K186" t="inlineStr">
        <is>
          <t>ISO 400 как универсальный старт</t>
        </is>
      </c>
      <c r="L186" t="inlineStr">
        <is>
          <t>Зерно PL-019</t>
        </is>
      </c>
      <c r="M186" t="inlineStr">
        <is>
          <t>Главная линия / визуальный язык</t>
        </is>
      </c>
      <c r="N186" t="n">
        <v>4</v>
      </c>
      <c r="O186" t="inlineStr">
        <is>
          <t>PL-018</t>
        </is>
      </c>
      <c r="P186" t="inlineStr">
        <is>
          <t>SRC-150</t>
        </is>
      </c>
      <c r="Q186" t="inlineStr">
        <is>
          <t>ILFORD — DELTA 3200 PROFESSIONAL</t>
        </is>
      </c>
      <c r="R186" t="inlineStr">
        <is>
          <t>https://www.ilfordphoto.com/delta-3200-professional-bulk-length-film?___from_store=ilford_uk&amp;___store=ilford_brochure</t>
        </is>
      </c>
      <c r="S186" t="n">
        <v>5</v>
      </c>
      <c r="T186" t="inlineStr">
        <is>
          <t>Важно: высокий ISO — это не «хуже», а другой компромисс света, зерна и настроения.</t>
        </is>
      </c>
      <c r="U186" t="inlineStr">
        <is>
          <t>Ночная улица, плёнка DELTA 3200, свет фонаря и заметная фактура кадра.</t>
        </is>
      </c>
      <c r="V186" t="inlineStr">
        <is>
          <t>#PL018 #Delta3200 #high-speed-film #low-light #grain</t>
        </is>
      </c>
      <c r="X186" t="inlineStr">
        <is>
          <t>53.3160, -2.3180</t>
        </is>
      </c>
      <c r="Y186" t="inlineStr">
        <is>
          <t>ISO плёнки / высокая чувствительность</t>
        </is>
      </c>
      <c r="Z186" t="inlineStr">
        <is>
          <t>Применение / жанр</t>
        </is>
      </c>
    </row>
    <row r="187" ht="17" customHeight="1" s="59">
      <c r="A187" t="inlineStr">
        <is>
          <t>PL-HIST-0186</t>
        </is>
      </c>
      <c r="B187" t="inlineStr">
        <is>
          <t>XX–XXI век</t>
        </is>
      </c>
      <c r="C187" t="inlineStr">
        <is>
          <t>диапазон</t>
        </is>
      </c>
      <c r="D187" t="inlineStr">
        <is>
          <t>США / глобально</t>
        </is>
      </c>
      <c r="E187" t="inlineStr">
        <is>
          <t>лаборатории и съёмочные площадки</t>
        </is>
      </c>
      <c r="F187" t="inlineStr">
        <is>
          <t>Kodak / фотографы / лаборатории</t>
        </is>
      </c>
      <c r="G187" t="inlineStr">
        <is>
          <t>Push/pull закрепляет идею, что практическая чувствительность связана не только со съёмкой, но и с последующей обработкой.</t>
        </is>
      </c>
      <c r="H187" t="inlineStr">
        <is>
          <t>Фотохимия</t>
        </is>
      </c>
      <c r="I187" t="inlineStr">
        <is>
          <t>Push / Pull processing</t>
        </is>
      </c>
      <c r="J187" t="inlineStr">
        <is>
          <t>Если света не хватило или нужен другой характер, фотограф может намеренно экспонировать не по коробочному ISO и компенсировать это проявкой.</t>
        </is>
      </c>
      <c r="K187" t="inlineStr">
        <is>
          <t>EI как рабочая настройка</t>
        </is>
      </c>
      <c r="L187" t="inlineStr">
        <is>
          <t>Экспозиционная широта и проявка PL-020</t>
        </is>
      </c>
      <c r="M187" t="inlineStr">
        <is>
          <t>Главная линия / практическое управление</t>
        </is>
      </c>
      <c r="N187" t="n">
        <v>5</v>
      </c>
      <c r="O187" t="inlineStr">
        <is>
          <t>PL-018</t>
        </is>
      </c>
      <c r="P187" t="inlineStr">
        <is>
          <t>SRC-151</t>
        </is>
      </c>
      <c r="Q187" t="inlineStr">
        <is>
          <t>Kodak — Push / Pull Film Processing</t>
        </is>
      </c>
      <c r="R187" t="inlineStr">
        <is>
          <t>https://www.kodak.com/en/motion/page/push-pull-processing/</t>
        </is>
      </c>
      <c r="S187" t="n">
        <v>5</v>
      </c>
      <c r="T187" t="inlineStr">
        <is>
          <t>Финальный мост: ISO — это точка старта, но плёнка живёт в связке «экспонирование + проявление».</t>
        </is>
      </c>
      <c r="U187" t="inlineStr">
        <is>
          <t>Плёнка ISO 400, экспонометр EI 800, проявочный бак и карточка «push +1».</t>
        </is>
      </c>
      <c r="V187" t="inlineStr">
        <is>
          <t>#PL018 #push-pull #EI #processing #film-lab</t>
        </is>
      </c>
      <c r="W187" t="inlineStr">
        <is>
          <t>Не обещать, что push реально повышает физическую чувствительность; объяснять как компенсацию обработки.</t>
        </is>
      </c>
      <c r="X187" t="inlineStr">
        <is>
          <t>43.1566, -77.6088</t>
        </is>
      </c>
      <c r="Y187" t="inlineStr">
        <is>
          <t>ISO плёнки / push-pull</t>
        </is>
      </c>
      <c r="Z187" t="inlineStr">
        <is>
          <t>Технология / процесс</t>
        </is>
      </c>
    </row>
    <row r="188" ht="17" customHeight="1" s="59">
      <c r="A188" t="inlineStr">
        <is>
          <t>PL-HIST-0187</t>
        </is>
      </c>
      <c r="B188" t="inlineStr">
        <is>
          <t>XIX–XXI век</t>
        </is>
      </c>
      <c r="C188" t="inlineStr">
        <is>
          <t>диапазон</t>
        </is>
      </c>
      <c r="D188" t="inlineStr">
        <is>
          <t>глобально</t>
        </is>
      </c>
      <c r="E188" t="inlineStr">
        <is>
          <t>оптический эффект в эмульсии</t>
        </is>
      </c>
      <c r="F188" t="inlineStr">
        <is>
          <t>Химики фотографии, исследователи денситометрии, производители плёнки</t>
        </is>
      </c>
      <c r="G188" t="inlineStr">
        <is>
          <t>«Зерно» на снимке — не сам кристалл эмульсии, а оптический эффект: отдельные микрокристаллы серебра слишком малы, чтобы их различить глазом, а видимую фактуру создают более крупные, случайно расположенные скопления проявленного серебра (или облака красителя), которые перекрываются между собой.</t>
        </is>
      </c>
      <c r="H188" t="inlineStr">
        <is>
          <t>Фотохимия</t>
        </is>
      </c>
      <c r="I188" t="inlineStr">
        <is>
          <t>Grain clumping / RMS granularity</t>
        </is>
      </c>
      <c r="J188" t="inlineStr">
        <is>
          <t>Зерно перестаёт путаться с самим кристаллом эмульсии: то, что видит глаз, сканер или увеличитель, — статистическая неравномерность плотности от скоплений серебра, а не форма одной частицы. Поэтому зернистость можно измерить числом (RMS granularity), а не только оценить на глаз.</t>
        </is>
      </c>
      <c r="K188" t="inlineStr">
        <is>
          <t>Эмульсия PL-012</t>
        </is>
      </c>
      <c r="L188" t="inlineStr">
        <is>
          <t>Видимое зерно как язык чёрно-белой плёнки</t>
        </is>
      </c>
      <c r="M188" t="inlineStr">
        <is>
          <t>Главная линия</t>
        </is>
      </c>
      <c r="N188" t="n">
        <v>5</v>
      </c>
      <c r="O188" t="inlineStr">
        <is>
          <t>PL-019</t>
        </is>
      </c>
      <c r="P188" t="inlineStr">
        <is>
          <t>SRC-166</t>
        </is>
      </c>
      <c r="Q188" t="inlineStr">
        <is>
          <t>Wikipedia — Film grain</t>
        </is>
      </c>
      <c r="R188" t="inlineStr">
        <is>
          <t>https://en.wikipedia.org/wiki/Film_grain</t>
        </is>
      </c>
      <c r="S188" t="n">
        <v>4</v>
      </c>
      <c r="T188" t="inlineStr">
        <is>
          <t>Флагман урока: важно развести три вещи — микроскопический кристалл в эмульсии, проявленное металлическое серебро и видимое зерно на отпечатке/скане, которое является оптическим эффектом скоплений, а не самим кристаллом.</t>
        </is>
      </c>
      <c r="U188" t="inlineStr">
        <is>
          <t>Три масштаба одного кадра: невидимый кристалл под микроскопом, скопления проявленного серебра и видимое зерно на увеличенном отпечатке.</t>
        </is>
      </c>
      <c r="V188" t="inlineStr">
        <is>
          <t>#PL019 #grain #RMS-granularity #optical-effect #silver-clumping</t>
        </is>
      </c>
      <c r="Y188" t="inlineStr">
        <is>
          <t>Зерно / оптический эффект vs кристалл</t>
        </is>
      </c>
      <c r="Z188" t="inlineStr">
        <is>
          <t>Ключевой исторический узел</t>
        </is>
      </c>
      <c r="AA188" t="inlineStr">
        <is>
          <t>да</t>
        </is>
      </c>
    </row>
    <row r="189" ht="17" customHeight="1" s="59">
      <c r="A189" t="inlineStr">
        <is>
          <t>PL-HIST-0188</t>
        </is>
      </c>
      <c r="B189" t="inlineStr">
        <is>
          <t>XX–XXI век</t>
        </is>
      </c>
      <c r="C189" t="inlineStr">
        <is>
          <t>диапазон</t>
        </is>
      </c>
      <c r="D189" t="inlineStr">
        <is>
          <t>глобально</t>
        </is>
      </c>
      <c r="E189" t="inlineStr">
        <is>
          <t>съёмочная практика</t>
        </is>
      </c>
      <c r="F189" t="inlineStr">
        <is>
          <t>Фотографы / производители плёнки</t>
        </is>
      </c>
      <c r="G189" t="inlineStr">
        <is>
          <t>Связь ISO и зерна становится главным компромиссом материала: медленные плёнки обычно дают более тонкую фактуру, быстрые — больше свободы в слабом свете.</t>
        </is>
      </c>
      <c r="H189" t="inlineStr">
        <is>
          <t>Фотохимия</t>
        </is>
      </c>
      <c r="I189" t="inlineStr">
        <is>
          <t>Speed-grain tradeoff</t>
        </is>
      </c>
      <c r="J189" t="inlineStr">
        <is>
          <t>Фотограф начинает выбирать не только чувствительность, но и характер изображения: гладкость, фактура, резкость, атмосфера.</t>
        </is>
      </c>
      <c r="K189" t="inlineStr">
        <is>
          <t>ISO плёнки PL-018</t>
        </is>
      </c>
      <c r="L189" t="inlineStr">
        <is>
          <t>Медленная и высокочувствительная плёнка как разные визуальные решения</t>
        </is>
      </c>
      <c r="M189" t="inlineStr">
        <is>
          <t>Главная линия / визуальный язык</t>
        </is>
      </c>
      <c r="N189" t="n">
        <v>5</v>
      </c>
      <c r="O189" t="inlineStr">
        <is>
          <t>PL-019</t>
        </is>
      </c>
      <c r="P189" t="inlineStr">
        <is>
          <t>SRC-154</t>
        </is>
      </c>
      <c r="Q189" t="inlineStr">
        <is>
          <t>ILFORD — PAN F PLUS 35mm</t>
        </is>
      </c>
      <c r="R189" t="inlineStr">
        <is>
          <t>https://www.ilfordphoto.com/pan-f-plus-35mm?___from_store=ilford_uk&amp;___store=ilford_brochure</t>
        </is>
      </c>
      <c r="S189" t="n">
        <v>5</v>
      </c>
      <c r="T189" t="inlineStr">
        <is>
          <t>Формулировать без абсолютов: зерно зависит не только от ISO, но ISO — один из самых понятных факторов для новичка.</t>
        </is>
      </c>
      <c r="U189" t="inlineStr">
        <is>
          <t>Два увеличенных фрагмента одного сюжета: ISO 50 гладко, ISO 3200 фактурно.</t>
        </is>
      </c>
      <c r="V189" t="inlineStr">
        <is>
          <t>#PL019 #ISO #grain #film-speed #texture</t>
        </is>
      </c>
      <c r="W189" t="inlineStr">
        <is>
          <t>Не превращать в жёсткое правило: современные эмульсии могут быть быстрыми и сравнительно мелкозернистыми.</t>
        </is>
      </c>
      <c r="Y189" t="inlineStr">
        <is>
          <t>Зерно / компромисс ISO и фактуры</t>
        </is>
      </c>
      <c r="Z189" t="inlineStr">
        <is>
          <t>Связь / переход</t>
        </is>
      </c>
    </row>
    <row r="190" ht="17" customHeight="1" s="59">
      <c r="A190" t="inlineStr">
        <is>
          <t>PL-HIST-0189</t>
        </is>
      </c>
      <c r="B190" t="inlineStr">
        <is>
          <t>XX–XXI век</t>
        </is>
      </c>
      <c r="C190" t="inlineStr">
        <is>
          <t>диапазон</t>
        </is>
      </c>
      <c r="D190" t="inlineStr">
        <is>
          <t>Великобритания / глобально</t>
        </is>
      </c>
      <c r="E190" t="inlineStr">
        <is>
          <t>Мобберли, Чешир</t>
        </is>
      </c>
      <c r="F190" t="inlineStr">
        <is>
          <t>ILFORD PHOTO</t>
        </is>
      </c>
      <c r="G190" t="inlineStr">
        <is>
          <t>ILFORD PAN F PLUS показывает край медленной плёнки: ISO 50, высокая резкость и очень тонкое зерно для сцен, где света достаточно.</t>
        </is>
      </c>
      <c r="H190" t="inlineStr">
        <is>
          <t>Фотохимия</t>
        </is>
      </c>
      <c r="I190" t="inlineStr">
        <is>
          <t>Slow-speed fine grain black-and-white film</t>
        </is>
      </c>
      <c r="J190" t="inlineStr">
        <is>
          <t>Медленная плёнка становится выбором для детализации, спокойного света, штатива, студии, пейзажа и fine art-подхода.</t>
        </is>
      </c>
      <c r="K190" t="inlineStr">
        <is>
          <t>Зерно как оптический эффект скоплений серебра</t>
        </is>
      </c>
      <c r="L190" t="inlineStr">
        <is>
          <t>FP4 PLUS как более универсальный средний вариант</t>
        </is>
      </c>
      <c r="M190" t="inlineStr">
        <is>
          <t>Главная линия / визуальный язык</t>
        </is>
      </c>
      <c r="N190" t="n">
        <v>4</v>
      </c>
      <c r="O190" t="inlineStr">
        <is>
          <t>PL-019</t>
        </is>
      </c>
      <c r="P190" t="inlineStr">
        <is>
          <t>SRC-154</t>
        </is>
      </c>
      <c r="Q190" t="inlineStr">
        <is>
          <t>ILFORD — PAN F PLUS 35mm</t>
        </is>
      </c>
      <c r="R190" t="inlineStr">
        <is>
          <t>https://www.ilfordphoto.com/pan-f-plus-35mm?___from_store=ilford_uk&amp;___store=ilford_brochure</t>
        </is>
      </c>
      <c r="S190" t="n">
        <v>5</v>
      </c>
      <c r="T190" t="inlineStr">
        <is>
          <t>Практический вывод: низкий ISO любит свет и дисциплину, зато может дать более гладкую фактуру.</t>
        </is>
      </c>
      <c r="U190" t="inlineStr">
        <is>
          <t>Плёнка PAN F PLUS, штатив, студийный предмет или пейзаж в ярком дневном свете.</t>
        </is>
      </c>
      <c r="V190" t="inlineStr">
        <is>
          <t>#PL019 #PANF #ISO50 #fine-grain #detail</t>
        </is>
      </c>
      <c r="X190" t="inlineStr">
        <is>
          <t>53.3160, -2.3180</t>
        </is>
      </c>
      <c r="Y190" t="inlineStr">
        <is>
          <t>Зерно / медленная плёнка</t>
        </is>
      </c>
      <c r="Z190" t="inlineStr">
        <is>
          <t>Применение / жанр</t>
        </is>
      </c>
    </row>
    <row r="191" ht="17" customHeight="1" s="59">
      <c r="A191" t="inlineStr">
        <is>
          <t>PL-HIST-0190</t>
        </is>
      </c>
      <c r="B191" t="inlineStr">
        <is>
          <t>XX–XXI век</t>
        </is>
      </c>
      <c r="C191" t="inlineStr">
        <is>
          <t>диапазон</t>
        </is>
      </c>
      <c r="D191" t="inlineStr">
        <is>
          <t>Великобритания / глобально</t>
        </is>
      </c>
      <c r="E191" t="inlineStr">
        <is>
          <t>Мобберли, Чешир</t>
        </is>
      </c>
      <c r="F191" t="inlineStr">
        <is>
          <t>ILFORD PHOTO</t>
        </is>
      </c>
      <c r="G191" t="inlineStr">
        <is>
          <t>FP4 PLUS показывает среднюю чувствительность: ISO 125, очень мелкое зерно, резкость и широкая применимость без экстремального света.</t>
        </is>
      </c>
      <c r="H191" t="inlineStr">
        <is>
          <t>Фотохимия</t>
        </is>
      </c>
      <c r="I191" t="inlineStr">
        <is>
          <t>Medium-speed fine grain film</t>
        </is>
      </c>
      <c r="J191" t="inlineStr">
        <is>
          <t>Появляется понятный компромисс: не настолько медленно, как ISO 50, но всё ещё очень чисто и детально.</t>
        </is>
      </c>
      <c r="K191" t="inlineStr">
        <is>
          <t>Медленная плёнка ISO 50</t>
        </is>
      </c>
      <c r="L191" t="inlineStr">
        <is>
          <t>ISO 400 как универсальная высокая чувствительность</t>
        </is>
      </c>
      <c r="M191" t="inlineStr">
        <is>
          <t>Главная линия / практическое управление</t>
        </is>
      </c>
      <c r="N191" t="n">
        <v>4</v>
      </c>
      <c r="O191" t="inlineStr">
        <is>
          <t>PL-019</t>
        </is>
      </c>
      <c r="P191" t="inlineStr">
        <is>
          <t>SRC-155</t>
        </is>
      </c>
      <c r="Q191" t="inlineStr">
        <is>
          <t>ILFORD — FP4 PLUS Sheet Film</t>
        </is>
      </c>
      <c r="R191" t="inlineStr">
        <is>
          <t>https://www.ilfordphoto.com/fp4-plus-sheet-film?___from_store=ilford_uk&amp;___store=ilford_brochure</t>
        </is>
      </c>
      <c r="S191" t="n">
        <v>5</v>
      </c>
      <c r="T191" t="inlineStr">
        <is>
          <t>Для новичка FP4 можно объяснить как «точная спокойная плёнка»: требует света, но не такая строгая, как ISO 50.</t>
        </is>
      </c>
      <c r="U191" t="inlineStr">
        <is>
          <t>Кассета FP4 PLUS, светлый натюрморт и увеличитель/лупа на краю кадра.</t>
        </is>
      </c>
      <c r="V191" t="inlineStr">
        <is>
          <t>#PL019 #FP4 #ISO125 #fine-grain #sharpness</t>
        </is>
      </c>
      <c r="X191" t="inlineStr">
        <is>
          <t>53.3160, -2.3180</t>
        </is>
      </c>
      <c r="Y191" t="inlineStr">
        <is>
          <t>Зерно / средняя чувствительность</t>
        </is>
      </c>
      <c r="Z191" t="inlineStr">
        <is>
          <t>Применение / жанр</t>
        </is>
      </c>
    </row>
    <row r="192" ht="17" customHeight="1" s="59">
      <c r="A192" t="inlineStr">
        <is>
          <t>PL-HIST-0191</t>
        </is>
      </c>
      <c r="B192" t="inlineStr">
        <is>
          <t>XX–XXI век</t>
        </is>
      </c>
      <c r="C192" t="inlineStr">
        <is>
          <t>диапазон</t>
        </is>
      </c>
      <c r="D192" t="inlineStr">
        <is>
          <t>Великобритания / глобально</t>
        </is>
      </c>
      <c r="E192" t="inlineStr">
        <is>
          <t>Мобберли, Чешир</t>
        </is>
      </c>
      <c r="F192" t="inlineStr">
        <is>
          <t>ILFORD PHOTO</t>
        </is>
      </c>
      <c r="G192" t="inlineStr">
        <is>
          <t>HP5 PLUS показывает практический баланс ISO 400: достаточно света для репортажа и помещения, заметный плёночный характер и широкая экспозиционная гибкость.</t>
        </is>
      </c>
      <c r="H192" t="inlineStr">
        <is>
          <t>Фотохимия</t>
        </is>
      </c>
      <c r="I192" t="inlineStr">
        <is>
          <t>ISO 400 classic grain / all-purpose film</t>
        </is>
      </c>
      <c r="J192" t="inlineStr">
        <is>
          <t>Зерно становится частью живого изображения, а не только техническим ограничением; ISO 400 часто выбирают именно за универсальный характер.</t>
        </is>
      </c>
      <c r="K192" t="inlineStr">
        <is>
          <t>Средняя чувствительность ISO 125</t>
        </is>
      </c>
      <c r="L192" t="inlineStr">
        <is>
          <t>Высокая чувствительность и выразительное зерно</t>
        </is>
      </c>
      <c r="M192" t="inlineStr">
        <is>
          <t>Главная линия / визуальный язык</t>
        </is>
      </c>
      <c r="N192" t="n">
        <v>5</v>
      </c>
      <c r="O192" t="inlineStr">
        <is>
          <t>PL-019</t>
        </is>
      </c>
      <c r="P192" t="inlineStr">
        <is>
          <t>SRC-149</t>
        </is>
      </c>
      <c r="Q192" t="inlineStr">
        <is>
          <t>ILFORD — HP5 PLUS 35mm</t>
        </is>
      </c>
      <c r="R192" t="inlineStr">
        <is>
          <t>https://www.ilfordphoto.com/hp5-plus-35mm?___from_store=ilford_uk&amp;___store=ilford_brochure</t>
        </is>
      </c>
      <c r="S192" t="n">
        <v>5</v>
      </c>
      <c r="T192" t="inlineStr">
        <is>
          <t>Связать с реальными условиями съёмки: ISO 400 не идеален математически, но удобен в жизни.</t>
        </is>
      </c>
      <c r="U192" t="inlineStr">
        <is>
          <t>Уличный кадр на HP5: мягкий контраст, фактура, движение и свет из окна.</t>
        </is>
      </c>
      <c r="V192" t="inlineStr">
        <is>
          <t>#PL019 #HP5 #ISO400 #grain #documentary</t>
        </is>
      </c>
      <c r="X192" t="inlineStr">
        <is>
          <t>53.3160, -2.3180</t>
        </is>
      </c>
      <c r="Y192" t="inlineStr">
        <is>
          <t>Зерно / классический ISO 400</t>
        </is>
      </c>
      <c r="Z192" t="inlineStr">
        <is>
          <t>Применение / жанр</t>
        </is>
      </c>
    </row>
    <row r="193" ht="17" customHeight="1" s="59">
      <c r="A193" t="inlineStr">
        <is>
          <t>PL-HIST-0192</t>
        </is>
      </c>
      <c r="B193" t="inlineStr">
        <is>
          <t>XX–XXI век</t>
        </is>
      </c>
      <c r="C193" t="inlineStr">
        <is>
          <t>диапазон</t>
        </is>
      </c>
      <c r="D193" t="inlineStr">
        <is>
          <t>Великобритания / глобально</t>
        </is>
      </c>
      <c r="E193" t="inlineStr">
        <is>
          <t>Мобберли, Чешир</t>
        </is>
      </c>
      <c r="F193" t="inlineStr">
        <is>
          <t>ILFORD PHOTO</t>
        </is>
      </c>
      <c r="G193" t="inlineStr">
        <is>
          <t>DELTA Professional показывает, что форма кристаллов и технология эмульсии меняют вид зерна: более новая структура может дать чище тон и выше резкость.</t>
        </is>
      </c>
      <c r="H193" t="inlineStr">
        <is>
          <t>Фотохимия</t>
        </is>
      </c>
      <c r="I193" t="inlineStr">
        <is>
          <t>Core-Shell crystal technology / DELTA films</t>
        </is>
      </c>
      <c r="J193" t="inlineStr">
        <is>
          <t>Зерно перестаёт быть только вопросом ISO: технология кристаллов, эмульсия и разработка производителя формируют характер материала.</t>
        </is>
      </c>
      <c r="K193" t="inlineStr">
        <is>
          <t>Классические PLUS-плёнки</t>
        </is>
      </c>
      <c r="L193" t="inlineStr">
        <is>
          <t>Kodak T-GRAIN как параллельная технологическая линия</t>
        </is>
      </c>
      <c r="M193" t="inlineStr">
        <is>
          <t>Главная линия</t>
        </is>
      </c>
      <c r="N193" t="n">
        <v>5</v>
      </c>
      <c r="O193" t="inlineStr">
        <is>
          <t>PL-019</t>
        </is>
      </c>
      <c r="P193" t="inlineStr">
        <is>
          <t>SRC-157</t>
        </is>
      </c>
      <c r="Q193" t="inlineStr">
        <is>
          <t>ILFORD — Film FAQs</t>
        </is>
      </c>
      <c r="R193" t="inlineStr">
        <is>
          <t>https://www.ilfordphoto.com/faqs/ilford-film-faqs/?___from_store=ilford_uk&amp;___store=ilford_brochure</t>
        </is>
      </c>
      <c r="S193" t="n">
        <v>5</v>
      </c>
      <c r="T193" t="inlineStr">
        <is>
          <t>Сравнить PLUS и DELTA без оценки «лучше/хуже»: это разные эстетики и технологии.</t>
        </is>
      </c>
      <c r="U193" t="inlineStr">
        <is>
          <t>Две полоски негатива: традиционная кубическая фактура и более чистая modern-emulsion фактура.</t>
        </is>
      </c>
      <c r="V193" t="inlineStr">
        <is>
          <t>#PL019 #Delta #CoreShell #emulsion #grain-structure</t>
        </is>
      </c>
      <c r="X193" t="inlineStr">
        <is>
          <t>53.3160, -2.3180</t>
        </is>
      </c>
      <c r="Y193" t="inlineStr">
        <is>
          <t>Зерно / структура кристаллов</t>
        </is>
      </c>
      <c r="Z193" t="inlineStr">
        <is>
          <t>Технология / процесс</t>
        </is>
      </c>
    </row>
    <row r="194" ht="17" customHeight="1" s="59">
      <c r="A194" t="inlineStr">
        <is>
          <t>PL-HIST-0193</t>
        </is>
      </c>
      <c r="B194" t="inlineStr">
        <is>
          <t>XX век</t>
        </is>
      </c>
      <c r="C194" t="inlineStr">
        <is>
          <t>диапазон</t>
        </is>
      </c>
      <c r="D194" t="inlineStr">
        <is>
          <t>США</t>
        </is>
      </c>
      <c r="E194" t="inlineStr">
        <is>
          <t>Рочестер, Нью-Йорк</t>
        </is>
      </c>
      <c r="F194" t="inlineStr">
        <is>
          <t>Eastman Kodak Company</t>
        </is>
      </c>
      <c r="G194" t="inlineStr">
        <is>
          <t>Kodak T-GRAIN описывает таблетчатые кристаллы вместо традиционных серебряных кристаллов: такая форма помогает совмещать скорость и более мелкое зерно.</t>
        </is>
      </c>
      <c r="H194" t="inlineStr">
        <is>
          <t>Фотохимия</t>
        </is>
      </c>
      <c r="I194" t="inlineStr">
        <is>
          <t>KODAK T-GRAIN Emulsion</t>
        </is>
      </c>
      <c r="J194" t="inlineStr">
        <is>
          <t>Технология зерна становится инженерным инструментом: производитель меняет форму кристалла, чтобы изменить резкость, светопоглощение и вид изображения.</t>
        </is>
      </c>
      <c r="K194" t="inlineStr">
        <is>
          <t>ILFORD Core-Shell / новые эмульсии</t>
        </is>
      </c>
      <c r="L194" t="inlineStr">
        <is>
          <t>T-MAX как практический пример T-GRAIN</t>
        </is>
      </c>
      <c r="M194" t="inlineStr">
        <is>
          <t>Главная линия</t>
        </is>
      </c>
      <c r="N194" t="n">
        <v>5</v>
      </c>
      <c r="O194" t="inlineStr">
        <is>
          <t>PL-019</t>
        </is>
      </c>
      <c r="P194" t="inlineStr">
        <is>
          <t>SRC-158</t>
        </is>
      </c>
      <c r="Q194" t="inlineStr">
        <is>
          <t>Kodak — Glossary of Motion Picture Terms</t>
        </is>
      </c>
      <c r="R194" t="inlineStr">
        <is>
          <t>https://www.kodak.com/en/motion/page/glossary-of-motion-picture-terms/</t>
        </is>
      </c>
      <c r="S194" t="n">
        <v>5</v>
      </c>
      <c r="T194" t="inlineStr">
        <is>
          <t>Показать на схеме: кубик и плоская таблетка — не как химия для специалистов, а как понятная форма.</t>
        </is>
      </c>
      <c r="U194" t="inlineStr">
        <is>
          <t>Инфографика двух кристаллов: conventional grain и flat T-GRAIN, с мягким светом и увеличенным негативом.</t>
        </is>
      </c>
      <c r="V194" t="inlineStr">
        <is>
          <t>#PL019 #Tgrain #Kodak #emulsion #fine-grain</t>
        </is>
      </c>
      <c r="X194" t="inlineStr">
        <is>
          <t>43.1566, -77.6088</t>
        </is>
      </c>
      <c r="Y194" t="inlineStr">
        <is>
          <t>Зерно / T-GRAIN</t>
        </is>
      </c>
      <c r="Z194" t="inlineStr">
        <is>
          <t>Технология / процесс</t>
        </is>
      </c>
    </row>
    <row r="195" ht="17" customHeight="1" s="59">
      <c r="A195" t="inlineStr">
        <is>
          <t>PL-HIST-0194</t>
        </is>
      </c>
      <c r="B195" t="inlineStr">
        <is>
          <t>XX–XXI век</t>
        </is>
      </c>
      <c r="C195" t="inlineStr">
        <is>
          <t>диапазон</t>
        </is>
      </c>
      <c r="D195" t="inlineStr">
        <is>
          <t>США / глобально</t>
        </is>
      </c>
      <c r="E195" t="inlineStr">
        <is>
          <t>Рочестер / фотолаборатории</t>
        </is>
      </c>
      <c r="F195" t="inlineStr">
        <is>
          <t>Kodak Professional / фотографы</t>
        </is>
      </c>
      <c r="G195" t="inlineStr">
        <is>
          <t>T-MAX 100 показывает, как мелкозернистый материал используется для максимальной детализации, больших увеличений и чистой тональной работы.</t>
        </is>
      </c>
      <c r="H195" t="inlineStr">
        <is>
          <t>Фотохимия</t>
        </is>
      </c>
      <c r="I195" t="inlineStr">
        <is>
          <t>KODAK T-MAX 100 / fine grain film</t>
        </is>
      </c>
      <c r="J195" t="inlineStr">
        <is>
          <t>Мелкое зерно становится выбором для печати, сканирования и fine art-изображений, где важна гладкая фактура и детализация.</t>
        </is>
      </c>
      <c r="K195" t="inlineStr">
        <is>
          <t>T-GRAIN как инженерная технология</t>
        </is>
      </c>
      <c r="L195" t="inlineStr">
        <is>
          <t>Ультравысокая чувствительность как другой компромисс</t>
        </is>
      </c>
      <c r="M195" t="inlineStr">
        <is>
          <t>Главная линия / визуальный язык</t>
        </is>
      </c>
      <c r="N195" t="n">
        <v>4</v>
      </c>
      <c r="O195" t="inlineStr">
        <is>
          <t>PL-019</t>
        </is>
      </c>
      <c r="P195" t="inlineStr">
        <is>
          <t>SRC-159</t>
        </is>
      </c>
      <c r="Q195" t="inlineStr">
        <is>
          <t>Kodak Professional — T-MAX 100 Film</t>
        </is>
      </c>
      <c r="R195" t="inlineStr">
        <is>
          <t>https://www.kodakprofessional.com/photographers/film/black-white/kodak-professional-t-max-100-film/525</t>
        </is>
      </c>
      <c r="S195" t="n">
        <v>5</v>
      </c>
      <c r="T195" t="inlineStr">
        <is>
          <t>Это хороший мост к твоим fine art объектам: зерно влияет на масштаб печати и ощущение поверхности.</t>
        </is>
      </c>
      <c r="U195" t="inlineStr">
        <is>
          <t>Большой отпечаток с лупой, рядом негатив T-MAX 100 и шкала увеличения.</t>
        </is>
      </c>
      <c r="V195" t="inlineStr">
        <is>
          <t>#PL019 #TMAX100 #fine-grain #print #fine-art</t>
        </is>
      </c>
      <c r="X195" t="inlineStr">
        <is>
          <t>43.1566, -77.6088</t>
        </is>
      </c>
      <c r="Y195" t="inlineStr">
        <is>
          <t>Зерно / мелкозернистая плёнка</t>
        </is>
      </c>
      <c r="Z195" t="inlineStr">
        <is>
          <t>Применение / жанр</t>
        </is>
      </c>
    </row>
    <row r="196" ht="17" customHeight="1" s="59">
      <c r="A196" t="inlineStr">
        <is>
          <t>PL-HIST-0195</t>
        </is>
      </c>
      <c r="B196" t="inlineStr">
        <is>
          <t>XX–XXI век</t>
        </is>
      </c>
      <c r="C196" t="inlineStr">
        <is>
          <t>диапазон</t>
        </is>
      </c>
      <c r="D196" t="inlineStr">
        <is>
          <t>США / глобально</t>
        </is>
      </c>
      <c r="E196" t="inlineStr">
        <is>
          <t>Рочестер / ночная и концертная съёмка</t>
        </is>
      </c>
      <c r="F196" t="inlineStr">
        <is>
          <t>Kodak Professional / фотографы</t>
        </is>
      </c>
      <c r="G196" t="inlineStr">
        <is>
          <t>T-MAX P3200 показывает, что высокая чувствительность может быть отдельным художественным инструментом: зерно, контраст и движение становятся частью языка.</t>
        </is>
      </c>
      <c r="H196" t="inlineStr">
        <is>
          <t>Фотохимия</t>
        </is>
      </c>
      <c r="I196" t="inlineStr">
        <is>
          <t>KODAK T-MAX P3200 / ultra-high speed film</t>
        </is>
      </c>
      <c r="J196" t="inlineStr">
        <is>
          <t>Высокая чувствительность даёт съёмку там, где медленная плёнка невозможна; фотограф платит за это активной фактурой и более сложной экспозицией.</t>
        </is>
      </c>
      <c r="K196" t="inlineStr">
        <is>
          <t>Мелкозернистая T-MAX 100</t>
        </is>
      </c>
      <c r="L196" t="inlineStr">
        <is>
          <t>Проявка и push-практика</t>
        </is>
      </c>
      <c r="M196" t="inlineStr">
        <is>
          <t>Главная линия / визуальный язык</t>
        </is>
      </c>
      <c r="N196" t="n">
        <v>4</v>
      </c>
      <c r="O196" t="inlineStr">
        <is>
          <t>PL-019</t>
        </is>
      </c>
      <c r="P196" t="inlineStr">
        <is>
          <t>SRC-160</t>
        </is>
      </c>
      <c r="Q196" t="inlineStr">
        <is>
          <t>Kodak Professional — T-MAX P3200 Technical Data</t>
        </is>
      </c>
      <c r="R196" t="inlineStr">
        <is>
          <t>https://www.kodakprofessional.com/sites/default/files/wysiwyg/pro/resources/f4001_tmax_3200_0.pdf</t>
        </is>
      </c>
      <c r="S196" t="n">
        <v>5</v>
      </c>
      <c r="T196" t="inlineStr">
        <is>
          <t>Не говорить «зерно — плохо»: для репортажа, сцены и ночи оно часто усиливает ощущение жизни.</t>
        </is>
      </c>
      <c r="U196" t="inlineStr">
        <is>
          <t>Ночной портрет, зернистая фактура, кассета T-MAX P3200 и свет вывески.</t>
        </is>
      </c>
      <c r="V196" t="inlineStr">
        <is>
          <t>#PL019 #TMAXP3200 #high-speed #grain #low-light</t>
        </is>
      </c>
      <c r="X196" t="inlineStr">
        <is>
          <t>43.1566, -77.6088</t>
        </is>
      </c>
      <c r="Y196" t="inlineStr">
        <is>
          <t>Зерно / высокая чувствительность</t>
        </is>
      </c>
      <c r="Z196" t="inlineStr">
        <is>
          <t>Применение / жанр</t>
        </is>
      </c>
    </row>
    <row r="197" ht="17" customHeight="1" s="59">
      <c r="A197" t="inlineStr">
        <is>
          <t>PL-HIST-0196</t>
        </is>
      </c>
      <c r="B197" t="inlineStr">
        <is>
          <t>XX–XXI век</t>
        </is>
      </c>
      <c r="C197" t="inlineStr">
        <is>
          <t>диапазон</t>
        </is>
      </c>
      <c r="D197" t="inlineStr">
        <is>
          <t>США / глобально</t>
        </is>
      </c>
      <c r="E197" t="inlineStr">
        <is>
          <t>Рочестер / цветная фотоплёнка</t>
        </is>
      </c>
      <c r="F197" t="inlineStr">
        <is>
          <t>Kodak / фотографы</t>
        </is>
      </c>
      <c r="G197" t="inlineStr">
        <is>
          <t>На цветной плёнке зернистость ощущается иначе: цветное изображение строится через слои и красители, а низкочувствительные плёнки вроде EKTAR 100 ориентированы на гладкость и насыщенный цвет.</t>
        </is>
      </c>
      <c r="H197" t="inlineStr">
        <is>
          <t>Цвет</t>
        </is>
      </c>
      <c r="I197" t="inlineStr">
        <is>
          <t>Color negative fine grain / dye image</t>
        </is>
      </c>
      <c r="J197" t="inlineStr">
        <is>
          <t>Зерно становится важным не только в ч/б, но и в цвете: оно влияет на сканы, печать, кожу, небо и большие увеличения.</t>
        </is>
      </c>
      <c r="K197" t="inlineStr">
        <is>
          <t>Чёрно-белое зерно как серебряная фактура</t>
        </is>
      </c>
      <c r="L197" t="inlineStr">
        <is>
          <t>Экспозиционная широта цветного негатива PL-020</t>
        </is>
      </c>
      <c r="M197" t="inlineStr">
        <is>
          <t>Главная линия / визуальный язык</t>
        </is>
      </c>
      <c r="N197" t="n">
        <v>4</v>
      </c>
      <c r="O197" t="inlineStr">
        <is>
          <t>PL-019</t>
        </is>
      </c>
      <c r="P197" t="inlineStr">
        <is>
          <t>SRC-161</t>
        </is>
      </c>
      <c r="Q197" t="inlineStr">
        <is>
          <t>Kodak — EKTAR 100 Film</t>
        </is>
      </c>
      <c r="R197" t="inlineStr">
        <is>
          <t>https://www.kodak.com/en/still-film/product/professional/ektar-100-film/</t>
        </is>
      </c>
      <c r="S197" t="n">
        <v>5</v>
      </c>
      <c r="T197" t="inlineStr">
        <is>
          <t>Связать с печатью: гладкое цветное зерно важно для больших интерьерных отпечатков.</t>
        </is>
      </c>
      <c r="U197" t="inlineStr">
        <is>
          <t>Крупный отпечаток цветного пейзажа, коробка EKTAR 100, лупа на участке неба.</t>
        </is>
      </c>
      <c r="V197" t="inlineStr">
        <is>
          <t>#PL019 #Ektar100 #color-negative #fine-grain #print</t>
        </is>
      </c>
      <c r="X197" t="inlineStr">
        <is>
          <t>43.1566, -77.6088</t>
        </is>
      </c>
      <c r="Y197" t="inlineStr">
        <is>
          <t>Зерно / цветная плёнка</t>
        </is>
      </c>
      <c r="Z197" t="inlineStr">
        <is>
          <t>Применение / жанр</t>
        </is>
      </c>
    </row>
    <row r="198" ht="17" customHeight="1" s="59">
      <c r="A198" t="inlineStr">
        <is>
          <t>PL-HIST-0197</t>
        </is>
      </c>
      <c r="B198" t="inlineStr">
        <is>
          <t>XX–XXI век</t>
        </is>
      </c>
      <c r="C198" t="inlineStr">
        <is>
          <t>диапазон</t>
        </is>
      </c>
      <c r="D198" t="inlineStr">
        <is>
          <t>Великобритания / глобально</t>
        </is>
      </c>
      <c r="E198" t="inlineStr">
        <is>
          <t>лаборатории и сканирование</t>
        </is>
      </c>
      <c r="F198" t="inlineStr">
        <is>
          <t>ILFORD PHOTO / лаборатории / фотографы</t>
        </is>
      </c>
      <c r="G198" t="inlineStr">
        <is>
          <t>Проявитель и сканирование меняют вид зерна: одни проявители уменьшают зернистость, а резкое цифровое шарпление может сделать зерно заметнее.</t>
        </is>
      </c>
      <c r="H198" t="inlineStr">
        <is>
          <t>Фотохимия</t>
        </is>
      </c>
      <c r="I198" t="inlineStr">
        <is>
          <t>Developer choice and scanning grain</t>
        </is>
      </c>
      <c r="J198" t="inlineStr">
        <is>
          <t>Фотограф понимает, что зерно формируется не только в камере: проявка, сканер, резкость и печать тоже влияют на итоговую фактуру.</t>
        </is>
      </c>
      <c r="K198" t="inlineStr">
        <is>
          <t>Выбор плёнки по зерну</t>
        </is>
      </c>
      <c r="L198" t="inlineStr">
        <is>
          <t>Экспозиционная широта и обработка PL-020</t>
        </is>
      </c>
      <c r="M198" t="inlineStr">
        <is>
          <t>Главная линия / практическое управление</t>
        </is>
      </c>
      <c r="N198" t="n">
        <v>5</v>
      </c>
      <c r="O198" t="inlineStr">
        <is>
          <t>PL-019</t>
        </is>
      </c>
      <c r="P198" t="inlineStr">
        <is>
          <t>SRC-156</t>
        </is>
      </c>
      <c r="Q198" t="inlineStr">
        <is>
          <t>ILFORD — Introduction to ILFORD Film Developers</t>
        </is>
      </c>
      <c r="R198" t="inlineStr">
        <is>
          <t>https://www.ilfordphoto.com/beginners-guide-film-developers/?___from_store=ilford_uk</t>
        </is>
      </c>
      <c r="S198" t="n">
        <v>5</v>
      </c>
      <c r="T198" t="inlineStr">
        <is>
          <t>Финальная мысль: зерно — это цепочка «плёнка + экспозиция + проявка + скан/печать».</t>
        </is>
      </c>
      <c r="U198" t="inlineStr">
        <is>
          <t>Один негатив и три варианта скана/печати: мягко, резко, зернисто; рядом проявочные бутылки.</t>
        </is>
      </c>
      <c r="V198" t="inlineStr">
        <is>
          <t>#PL019 #developer #scanning #grain #print</t>
        </is>
      </c>
      <c r="W198" t="inlineStr">
        <is>
          <t>Добавить при необходимости отдельный источник по цифровому шуму, чтобы точно развести noise и grain.</t>
        </is>
      </c>
      <c r="X198" t="inlineStr">
        <is>
          <t>53.3160, -2.3180</t>
        </is>
      </c>
      <c r="Y198" t="inlineStr">
        <is>
          <t>Зерно / проявка и сканирование</t>
        </is>
      </c>
      <c r="Z198" t="inlineStr">
        <is>
          <t>Технология / процесс</t>
        </is>
      </c>
    </row>
    <row r="199" ht="17" customHeight="1" s="59">
      <c r="A199" t="inlineStr">
        <is>
          <t>PL-HIST-0198</t>
        </is>
      </c>
      <c r="B199" t="inlineStr">
        <is>
          <t>XX век</t>
        </is>
      </c>
      <c r="C199" t="inlineStr">
        <is>
          <t>диапазон</t>
        </is>
      </c>
      <c r="D199" t="inlineStr">
        <is>
          <t>США</t>
        </is>
      </c>
      <c r="E199" t="inlineStr">
        <is>
          <t>Рочестер, Нью-Йорк</t>
        </is>
      </c>
      <c r="F199" t="inlineStr">
        <is>
          <t>Eastman Kodak Company / сенситометрия</t>
        </is>
      </c>
      <c r="G199" t="inlineStr">
        <is>
          <t>Экспозиционную широту можно объяснить через характеристическую кривую: плёнка записывает свет не бесконечно, а в пределах полезного диапазона.</t>
        </is>
      </c>
      <c r="H199" t="inlineStr">
        <is>
          <t>Фотохимия</t>
        </is>
      </c>
      <c r="I199" t="inlineStr">
        <is>
          <t>Exposure latitude / characteristic curve</t>
        </is>
      </c>
      <c r="J199" t="inlineStr">
        <is>
          <t>Фотограф начинает видеть экспозицию как диапазон допуска: часть ошибок материал выдерживает, часть уже теряет тени или света.</t>
        </is>
      </c>
      <c r="K199" t="inlineStr">
        <is>
          <t>ISO плёнки PL-018 и зерно PL-019</t>
        </is>
      </c>
      <c r="L199" t="inlineStr">
        <is>
          <t>Тень, средние тона и света на кривой плёнки</t>
        </is>
      </c>
      <c r="M199" t="inlineStr">
        <is>
          <t>Главная линия</t>
        </is>
      </c>
      <c r="N199" t="n">
        <v>5</v>
      </c>
      <c r="O199" t="inlineStr">
        <is>
          <t>PL-020</t>
        </is>
      </c>
      <c r="P199" t="inlineStr">
        <is>
          <t>SRC-162</t>
        </is>
      </c>
      <c r="Q199" t="inlineStr">
        <is>
          <t>Kodak — Basic Photographic Sensitometry Workbook</t>
        </is>
      </c>
      <c r="R199" t="inlineStr">
        <is>
          <t>https://www.kodak.com/content/products-brochures/Film/Basic-Photographic-Sensitometry-Workbook.pdf</t>
        </is>
      </c>
      <c r="S199" t="n">
        <v>5</v>
      </c>
      <c r="T199" t="inlineStr">
        <is>
          <t>Флагман урока: широта — это не «сколько можно ошибаться», а сколько света плёнка способна перевести в полезный тон.</t>
        </is>
      </c>
      <c r="U199" t="inlineStr">
        <is>
          <t>Простая H-D кривая: toe, straight line, shoulder; рядом один негатив с тенями и светами.</t>
        </is>
      </c>
      <c r="V199" t="inlineStr">
        <is>
          <t>#PL020 #exposure-latitude #sensitometry #characteristic-curve #film</t>
        </is>
      </c>
      <c r="W199" t="inlineStr">
        <is>
          <t>Объяснить без математической перегрузки: кривая нужна как образ, не как полноценная сенситометрическая лекция.</t>
        </is>
      </c>
      <c r="X199" t="inlineStr">
        <is>
          <t>43.1566, -77.6088</t>
        </is>
      </c>
      <c r="Y199" t="inlineStr">
        <is>
          <t>Экспозиционная широта / характеристическая кривая</t>
        </is>
      </c>
      <c r="Z199" t="inlineStr">
        <is>
          <t>Ключевой исторический узел</t>
        </is>
      </c>
      <c r="AA199" t="inlineStr">
        <is>
          <t>да</t>
        </is>
      </c>
    </row>
    <row r="200" ht="17" customHeight="1" s="59">
      <c r="A200" t="inlineStr">
        <is>
          <t>PL-HIST-0199</t>
        </is>
      </c>
      <c r="B200" t="inlineStr">
        <is>
          <t>XX век</t>
        </is>
      </c>
      <c r="C200" t="inlineStr">
        <is>
          <t>диапазон</t>
        </is>
      </c>
      <c r="D200" t="inlineStr">
        <is>
          <t>США</t>
        </is>
      </c>
      <c r="E200" t="inlineStr">
        <is>
          <t>Рочестер, Нью-Йорк</t>
        </is>
      </c>
      <c r="F200" t="inlineStr">
        <is>
          <t>Eastman Kodak Company</t>
        </is>
      </c>
      <c r="G200" t="inlineStr">
        <is>
          <t>Характеристическая кривая делится на три зоны: toe, straight-line и shoulder — тени, рабочие средние тона и область перегруза светов.</t>
        </is>
      </c>
      <c r="H200" t="inlineStr">
        <is>
          <t>Фотохимия</t>
        </is>
      </c>
      <c r="I200" t="inlineStr">
        <is>
          <t>Toe / straight line / shoulder</t>
        </is>
      </c>
      <c r="J200" t="inlineStr">
        <is>
          <t>Появляется простой язык для ошибок экспозиции: недодержка проваливается в toe, нормальная экспозиция живёт на прямом участке, передержка упирается в shoulder.</t>
        </is>
      </c>
      <c r="K200" t="inlineStr">
        <is>
          <t>Широта как общий диапазон</t>
        </is>
      </c>
      <c r="L200" t="inlineStr">
        <is>
          <t>Потеря теней и светов</t>
        </is>
      </c>
      <c r="M200" t="inlineStr">
        <is>
          <t>Главная линия</t>
        </is>
      </c>
      <c r="N200" t="n">
        <v>5</v>
      </c>
      <c r="O200" t="inlineStr">
        <is>
          <t>PL-020</t>
        </is>
      </c>
      <c r="P200" t="inlineStr">
        <is>
          <t>SRC-162</t>
        </is>
      </c>
      <c r="Q200" t="inlineStr">
        <is>
          <t>Kodak — Basic Photographic Sensitometry Workbook</t>
        </is>
      </c>
      <c r="R200" t="inlineStr">
        <is>
          <t>https://www.kodak.com/content/products-brochures/Film/Basic-Photographic-Sensitometry-Workbook.pdf</t>
        </is>
      </c>
      <c r="S200" t="n">
        <v>5</v>
      </c>
      <c r="T200" t="inlineStr">
        <is>
          <t>Хорошо показать на одной карточке: слева темный кадр, центр нормальный, справа передержка.</t>
        </is>
      </c>
      <c r="U200" t="inlineStr">
        <is>
          <t>Три фрагмента негатива на одной кривой: тени, середина, света.</t>
        </is>
      </c>
      <c r="V200" t="inlineStr">
        <is>
          <t>#PL020 #toe #shoulder #curve #exposure</t>
        </is>
      </c>
      <c r="X200" t="inlineStr">
        <is>
          <t>43.1566, -77.6088</t>
        </is>
      </c>
      <c r="Y200" t="inlineStr">
        <is>
          <t>Экспозиционная широта / toe-straight-shoulder</t>
        </is>
      </c>
      <c r="Z200" t="inlineStr">
        <is>
          <t>Терминология / язык</t>
        </is>
      </c>
    </row>
    <row r="201" ht="17" customHeight="1" s="59">
      <c r="A201" t="inlineStr">
        <is>
          <t>PL-HIST-0200</t>
        </is>
      </c>
      <c r="B201" t="inlineStr">
        <is>
          <t>XX век</t>
        </is>
      </c>
      <c r="C201" t="inlineStr">
        <is>
          <t>диапазон</t>
        </is>
      </c>
      <c r="D201" t="inlineStr">
        <is>
          <t>США</t>
        </is>
      </c>
      <c r="E201" t="inlineStr">
        <is>
          <t>Рочестер, Нью-Йорк</t>
        </is>
      </c>
      <c r="F201" t="inlineStr">
        <is>
          <t>Eastman Kodak Company</t>
        </is>
      </c>
      <c r="G201" t="inlineStr">
        <is>
          <t>Toe кривой объясняет, почему тени боятся недодержки: если света слишком мало, детали в тенях уже нечем проявить или вытянуть без грубой потери качества.</t>
        </is>
      </c>
      <c r="H201" t="inlineStr">
        <is>
          <t>Фотохимия</t>
        </is>
      </c>
      <c r="I201" t="inlineStr">
        <is>
          <t>Underexposure latitude / shadow detail</t>
        </is>
      </c>
      <c r="J201" t="inlineStr">
        <is>
          <t>Новичок понимает практическое правило плёнки: недостаток света опасен для теней, особенно если сюжет важен в тёмных областях.</t>
        </is>
      </c>
      <c r="K201" t="inlineStr">
        <is>
          <t>Характеристическая кривая</t>
        </is>
      </c>
      <c r="L201" t="inlineStr">
        <is>
          <t>Нормальная экспозиция по серой карте</t>
        </is>
      </c>
      <c r="M201" t="inlineStr">
        <is>
          <t>Главная линия / практическое управление</t>
        </is>
      </c>
      <c r="N201" t="n">
        <v>5</v>
      </c>
      <c r="O201" t="inlineStr">
        <is>
          <t>PL-020</t>
        </is>
      </c>
      <c r="P201" t="inlineStr">
        <is>
          <t>SRC-158</t>
        </is>
      </c>
      <c r="Q201" t="inlineStr">
        <is>
          <t>Kodak — Glossary of Motion Picture Terms</t>
        </is>
      </c>
      <c r="R201" t="inlineStr">
        <is>
          <t>https://www.kodak.com/en/motion/page/glossary-of-motion-picture-terms/</t>
        </is>
      </c>
      <c r="S201" t="n">
        <v>5</v>
      </c>
      <c r="T201" t="inlineStr">
        <is>
          <t>Формула для урока: недодержка убивает информацию в тенях, а не просто делает кадр «темнее».</t>
        </is>
      </c>
      <c r="U201" t="inlineStr">
        <is>
          <t>Один негатив с прозрачными тенями и рядом увеличенный участок без деталей.</t>
        </is>
      </c>
      <c r="V201" t="inlineStr">
        <is>
          <t>#PL020 #underexposure #shadows #toe #latitude</t>
        </is>
      </c>
      <c r="X201" t="inlineStr">
        <is>
          <t>43.1566, -77.6088</t>
        </is>
      </c>
      <c r="Y201" t="inlineStr">
        <is>
          <t>Экспозиционная широта / недодержка и тени</t>
        </is>
      </c>
      <c r="Z201" t="inlineStr">
        <is>
          <t>Применение / жанр</t>
        </is>
      </c>
    </row>
    <row r="202" ht="17" customHeight="1" s="59">
      <c r="A202" t="inlineStr">
        <is>
          <t>PL-HIST-0201</t>
        </is>
      </c>
      <c r="B202" t="inlineStr">
        <is>
          <t>XX век</t>
        </is>
      </c>
      <c r="C202" t="inlineStr">
        <is>
          <t>диапазон</t>
        </is>
      </c>
      <c r="D202" t="inlineStr">
        <is>
          <t>США</t>
        </is>
      </c>
      <c r="E202" t="inlineStr">
        <is>
          <t>Рочестер, Нью-Йорк</t>
        </is>
      </c>
      <c r="F202" t="inlineStr">
        <is>
          <t>Eastman Kodak Company</t>
        </is>
      </c>
      <c r="G202" t="inlineStr">
        <is>
          <t>Shoulder и D-Max показывают предел плотности: после некоторого уровня дополнительный свет уже не даёт пропорционального роста деталей.</t>
        </is>
      </c>
      <c r="H202" t="inlineStr">
        <is>
          <t>Фотохимия</t>
        </is>
      </c>
      <c r="I202" t="inlineStr">
        <is>
          <t>Overexposure / shoulder / D-Max</t>
        </is>
      </c>
      <c r="J202" t="inlineStr">
        <is>
          <t>Фотограф понимает, что передержка меняет света и контраст: иногда плёнка терпит её мягко, а иногда важные светлые детали сжимаются.</t>
        </is>
      </c>
      <c r="K202" t="inlineStr">
        <is>
          <t>Toe и тени</t>
        </is>
      </c>
      <c r="L202" t="inlineStr">
        <is>
          <t>Сравнение негатива и слайда</t>
        </is>
      </c>
      <c r="M202" t="inlineStr">
        <is>
          <t>Главная линия / практическое управление</t>
        </is>
      </c>
      <c r="N202" t="n">
        <v>5</v>
      </c>
      <c r="O202" t="inlineStr">
        <is>
          <t>PL-020</t>
        </is>
      </c>
      <c r="P202" t="inlineStr">
        <is>
          <t>SRC-158</t>
        </is>
      </c>
      <c r="Q202" t="inlineStr">
        <is>
          <t>Kodak — Glossary of Motion Picture Terms</t>
        </is>
      </c>
      <c r="R202" t="inlineStr">
        <is>
          <t>https://www.kodak.com/en/motion/page/glossary-of-motion-picture-terms/</t>
        </is>
      </c>
      <c r="S202" t="n">
        <v>5</v>
      </c>
      <c r="T202" t="inlineStr">
        <is>
          <t>Сделать аккуратно: у негатива передержка часто терпимее, но она всё равно меняет тональность и печать/скан.</t>
        </is>
      </c>
      <c r="U202" t="inlineStr">
        <is>
          <t>Светлая сцена: белое платье или облака; рядом плотный негатив и участок кривой shoulder.</t>
        </is>
      </c>
      <c r="V202" t="inlineStr">
        <is>
          <t>#PL020 #overexposure #highlights #shoulder #Dmax</t>
        </is>
      </c>
      <c r="X202" t="inlineStr">
        <is>
          <t>43.1566, -77.6088</t>
        </is>
      </c>
      <c r="Y202" t="inlineStr">
        <is>
          <t>Экспозиционная широта / передержка и света</t>
        </is>
      </c>
      <c r="Z202" t="inlineStr">
        <is>
          <t>Применение / жанр</t>
        </is>
      </c>
    </row>
    <row r="203" ht="17" customHeight="1" s="59">
      <c r="A203" t="inlineStr">
        <is>
          <t>PL-HIST-0202</t>
        </is>
      </c>
      <c r="B203" t="inlineStr">
        <is>
          <t>XX–XXI век</t>
        </is>
      </c>
      <c r="C203" t="inlineStr">
        <is>
          <t>диапазон</t>
        </is>
      </c>
      <c r="D203" t="inlineStr">
        <is>
          <t>США / глобально</t>
        </is>
      </c>
      <c r="E203" t="inlineStr">
        <is>
          <t>Рочестер / современные фотографы</t>
        </is>
      </c>
      <c r="F203" t="inlineStr">
        <is>
          <t>Kodak Professional / фотографы</t>
        </is>
      </c>
      <c r="G203" t="inlineStr">
        <is>
          <t>Слайдовая плёнка показывает узкую экспозиционную широту: цветной позитив на самой плёнке почти не прощает ошибки, особенно в светах.</t>
        </is>
      </c>
      <c r="H203" t="inlineStr">
        <is>
          <t>Цвет</t>
        </is>
      </c>
      <c r="I203" t="inlineStr">
        <is>
          <t>Color reversal narrow exposure range</t>
        </is>
      </c>
      <c r="J203" t="inlineStr">
        <is>
          <t>Становится понятно, почему со слайдом экспонометрия строже: ошибка видна сразу на оригинальной прозрачности.</t>
        </is>
      </c>
      <c r="K203" t="inlineStr">
        <is>
          <t>Слайдовая плёнка PL-017</t>
        </is>
      </c>
      <c r="L203" t="inlineStr">
        <is>
          <t>Цветной негатив как более гибкий материал</t>
        </is>
      </c>
      <c r="M203" t="inlineStr">
        <is>
          <t>Главная линия / практическое управление</t>
        </is>
      </c>
      <c r="N203" t="n">
        <v>5</v>
      </c>
      <c r="O203" t="inlineStr">
        <is>
          <t>PL-020</t>
        </is>
      </c>
      <c r="P203" t="inlineStr">
        <is>
          <t>SRC-163</t>
        </is>
      </c>
      <c r="Q203" t="inlineStr">
        <is>
          <t>Kodak Professional — EKTACHROME E100 FAQs 2024</t>
        </is>
      </c>
      <c r="R203" t="inlineStr">
        <is>
          <t>https://www.kodakprofessional.com/sites/default/files/wysiwyg/E100%20FAQs%20PDF%202024.pdf</t>
        </is>
      </c>
      <c r="S203" t="n">
        <v>5</v>
      </c>
      <c r="T203" t="inlineStr">
        <is>
          <t>Идеальная связка: слайд учит дисциплине экспозиции, негатив учит гибкости.</t>
        </is>
      </c>
      <c r="U203" t="inlineStr">
        <is>
          <t>Проектор и два слайда: один точный, второй с выбитыми светами.</t>
        </is>
      </c>
      <c r="V203" t="inlineStr">
        <is>
          <t>#PL020 #slide-film #Ektachrome #latitude #exposure</t>
        </is>
      </c>
      <c r="X203" t="inlineStr">
        <is>
          <t>43.1566, -77.6088</t>
        </is>
      </c>
      <c r="Y203" t="inlineStr">
        <is>
          <t>Экспозиционная широта / слайдовая плёнка</t>
        </is>
      </c>
      <c r="Z203" t="inlineStr">
        <is>
          <t>Применение / жанр</t>
        </is>
      </c>
    </row>
    <row r="204" ht="17" customHeight="1" s="59">
      <c r="A204" t="inlineStr">
        <is>
          <t>PL-HIST-0203</t>
        </is>
      </c>
      <c r="B204" t="inlineStr">
        <is>
          <t>XX–XXI век</t>
        </is>
      </c>
      <c r="C204" t="inlineStr">
        <is>
          <t>диапазон</t>
        </is>
      </c>
      <c r="D204" t="inlineStr">
        <is>
          <t>США / глобально</t>
        </is>
      </c>
      <c r="E204" t="inlineStr">
        <is>
          <t>Рочестер / фотолаборатории</t>
        </is>
      </c>
      <c r="F204" t="inlineStr">
        <is>
          <t>Kodak / фотографы</t>
        </is>
      </c>
      <c r="G204" t="inlineStr">
        <is>
          <t>Цветной негатив закрепляется как материал с большой практической гибкостью: он лучше переносит вариации экспозиции и рассчитан на последующую печать или сканирование.</t>
        </is>
      </c>
      <c r="H204" t="inlineStr">
        <is>
          <t>Цвет</t>
        </is>
      </c>
      <c r="I204" t="inlineStr">
        <is>
          <t>Color negative exposure latitude</t>
        </is>
      </c>
      <c r="J204" t="inlineStr">
        <is>
          <t>Цветной негатив становится удобным для повседневной фотографии: он допускает несовершенный свет, быстрые решения и лабораторную интерпретацию.</t>
        </is>
      </c>
      <c r="K204" t="inlineStr">
        <is>
          <t>Слайдовая узкая широта</t>
        </is>
      </c>
      <c r="L204" t="inlineStr">
        <is>
          <t>Практика экспонирования «по теням» и сканирования</t>
        </is>
      </c>
      <c r="M204" t="inlineStr">
        <is>
          <t>Главная линия / практическое управление</t>
        </is>
      </c>
      <c r="N204" t="n">
        <v>5</v>
      </c>
      <c r="O204" t="inlineStr">
        <is>
          <t>PL-020</t>
        </is>
      </c>
      <c r="P204" t="inlineStr">
        <is>
          <t>SRC-164</t>
        </is>
      </c>
      <c r="Q204" t="inlineStr">
        <is>
          <t>Kodak — EKTACOLOR PRO 400 Film</t>
        </is>
      </c>
      <c r="R204" t="inlineStr">
        <is>
          <t>https://www.kodak.com/en/still-film/product/professional/ektacolor/ektacolor-pro-400-film/</t>
        </is>
      </c>
      <c r="S204" t="n">
        <v>5</v>
      </c>
      <c r="T204" t="inlineStr">
        <is>
          <t>Подчеркнуть отличие: негатив не «лучше» слайда, просто у него другая задача и другой допуск.</t>
        </is>
      </c>
      <c r="U204" t="inlineStr">
        <is>
          <t>Цветной негатив, контактный лист и сканер; рядом шкала -2/-1/0/+1/+2.</t>
        </is>
      </c>
      <c r="V204" t="inlineStr">
        <is>
          <t>#PL020 #color-negative #latitude #C41 #scanning</t>
        </is>
      </c>
      <c r="X204" t="inlineStr">
        <is>
          <t>43.1566, -77.6088</t>
        </is>
      </c>
      <c r="Y204" t="inlineStr">
        <is>
          <t>Экспозиционная широта / цветной негатив</t>
        </is>
      </c>
      <c r="Z204" t="inlineStr">
        <is>
          <t>Применение / жанр</t>
        </is>
      </c>
    </row>
    <row r="205" ht="17" customHeight="1" s="59">
      <c r="A205" t="inlineStr">
        <is>
          <t>PL-HIST-0204</t>
        </is>
      </c>
      <c r="B205" t="inlineStr">
        <is>
          <t>XX–XXI век</t>
        </is>
      </c>
      <c r="C205" t="inlineStr">
        <is>
          <t>диапазон</t>
        </is>
      </c>
      <c r="D205" t="inlineStr">
        <is>
          <t>Великобритания / глобально</t>
        </is>
      </c>
      <c r="E205" t="inlineStr">
        <is>
          <t>Мобберли, Чешир</t>
        </is>
      </c>
      <c r="F205" t="inlineStr">
        <is>
          <t>ILFORD PHOTO / фотографы</t>
        </is>
      </c>
      <c r="G205" t="inlineStr">
        <is>
          <t>HP5 PLUS показывает, что чёрно-белая негативная плёнка может иметь широкую экспозиционную широту и оставаться полезной для новичков, репортажа и сложного света.</t>
        </is>
      </c>
      <c r="H205" t="inlineStr">
        <is>
          <t>Негатив-позитив</t>
        </is>
      </c>
      <c r="I205" t="inlineStr">
        <is>
          <t>B&amp;W negative exposure latitude</t>
        </is>
      </c>
      <c r="J205" t="inlineStr">
        <is>
          <t>Чёрно-белый негатив становится тренировочным материалом: он позволяет ошибаться, анализировать и учиться видеть свет без цвета.</t>
        </is>
      </c>
      <c r="K205" t="inlineStr">
        <is>
          <t>Чёрно-белая плёнка PL-015</t>
        </is>
      </c>
      <c r="L205" t="inlineStr">
        <is>
          <t>FP4 PLUS и push/pull-практика</t>
        </is>
      </c>
      <c r="M205" t="inlineStr">
        <is>
          <t>Главная линия / практическое управление</t>
        </is>
      </c>
      <c r="N205" t="n">
        <v>5</v>
      </c>
      <c r="O205" t="inlineStr">
        <is>
          <t>PL-020</t>
        </is>
      </c>
      <c r="P205" t="inlineStr">
        <is>
          <t>SRC-149</t>
        </is>
      </c>
      <c r="Q205" t="inlineStr">
        <is>
          <t>ILFORD — HP5 PLUS 35mm</t>
        </is>
      </c>
      <c r="R205" t="inlineStr">
        <is>
          <t>https://www.ilfordphoto.com/hp5-plus-35mm?___from_store=ilford_uk&amp;___store=ilford_brochure</t>
        </is>
      </c>
      <c r="S205" t="n">
        <v>5</v>
      </c>
      <c r="T205" t="inlineStr">
        <is>
          <t>Связать с новичками: HP5/ISO 400 хорош как учебная плёнка именно из-за терпимости и универсальности.</t>
        </is>
      </c>
      <c r="U205" t="inlineStr">
        <is>
          <t>Одна сцена в окне: три негатива HP5 с разной экспозицией и один итоговый отпечаток.</t>
        </is>
      </c>
      <c r="V205" t="inlineStr">
        <is>
          <t>#PL020 #HP5 #black-and-white #latitude #learning</t>
        </is>
      </c>
      <c r="X205" t="inlineStr">
        <is>
          <t>53.3160, -2.3180</t>
        </is>
      </c>
      <c r="Y205" t="inlineStr">
        <is>
          <t>Экспозиционная широта / чёрно-белый негатив</t>
        </is>
      </c>
      <c r="Z205" t="inlineStr">
        <is>
          <t>Применение / жанр</t>
        </is>
      </c>
    </row>
    <row r="206" ht="17" customHeight="1" s="59">
      <c r="A206" t="inlineStr">
        <is>
          <t>PL-HIST-0205</t>
        </is>
      </c>
      <c r="B206" t="inlineStr">
        <is>
          <t>XX–XXI век</t>
        </is>
      </c>
      <c r="C206" t="inlineStr">
        <is>
          <t>диапазон</t>
        </is>
      </c>
      <c r="D206" t="inlineStr">
        <is>
          <t>Великобритания / глобально</t>
        </is>
      </c>
      <c r="E206" t="inlineStr">
        <is>
          <t>Мобберли, Чешир</t>
        </is>
      </c>
      <c r="F206" t="inlineStr">
        <is>
          <t>ILFORD PHOTO / фотографы</t>
        </is>
      </c>
      <c r="G206" t="inlineStr">
        <is>
          <t>FP4 PLUS показывает более спокойную сторону широты: средняя чувствительность ISO 125, очень мелкое зерно и возможность работать выше или ниже номинала при соответствующей обработке.</t>
        </is>
      </c>
      <c r="H206" t="inlineStr">
        <is>
          <t>Негатив-позитив</t>
        </is>
      </c>
      <c r="I206" t="inlineStr">
        <is>
          <t>Exposure latitude around ISO 125</t>
        </is>
      </c>
      <c r="J206" t="inlineStr">
        <is>
          <t>Широта становится не только спасением ошибки, но и способом управлять контрастом, зерном и тональной пластикой.</t>
        </is>
      </c>
      <c r="K206" t="inlineStr">
        <is>
          <t>HP5 как универсальная плёнка</t>
        </is>
      </c>
      <c r="L206" t="inlineStr">
        <is>
          <t>Push/pull как осознанная обработка</t>
        </is>
      </c>
      <c r="M206" t="inlineStr">
        <is>
          <t>Главная линия / практическое управление</t>
        </is>
      </c>
      <c r="N206" t="n">
        <v>4</v>
      </c>
      <c r="O206" t="inlineStr">
        <is>
          <t>PL-020</t>
        </is>
      </c>
      <c r="P206" t="inlineStr">
        <is>
          <t>SRC-155</t>
        </is>
      </c>
      <c r="Q206" t="inlineStr">
        <is>
          <t>ILFORD — FP4 PLUS Sheet Film</t>
        </is>
      </c>
      <c r="R206" t="inlineStr">
        <is>
          <t>https://www.ilfordphoto.com/fp4-plus-sheet-film?___from_store=ilford_uk&amp;___store=ilford_brochure</t>
        </is>
      </c>
      <c r="S206" t="n">
        <v>5</v>
      </c>
      <c r="T206" t="inlineStr">
        <is>
          <t>Показать, что даже низко/среднечувствительная плёнка не обязательно «хрупкая», но требует понимания света.</t>
        </is>
      </c>
      <c r="U206" t="inlineStr">
        <is>
          <t>FP4 PLUS, серый клин и таблица экспозиции с аккуратными отметками -1/0/+1.</t>
        </is>
      </c>
      <c r="V206" t="inlineStr">
        <is>
          <t>#PL020 #FP4 #ISO125 #latitude #tone</t>
        </is>
      </c>
      <c r="X206" t="inlineStr">
        <is>
          <t>53.3160, -2.3180</t>
        </is>
      </c>
      <c r="Y206" t="inlineStr">
        <is>
          <t>Экспозиционная широта / средняя чувствительность</t>
        </is>
      </c>
      <c r="Z206" t="inlineStr">
        <is>
          <t>Технология / процесс</t>
        </is>
      </c>
    </row>
    <row r="207" ht="17" customHeight="1" s="59">
      <c r="A207" t="inlineStr">
        <is>
          <t>PL-HIST-0206</t>
        </is>
      </c>
      <c r="B207" t="inlineStr">
        <is>
          <t>XX–XXI век</t>
        </is>
      </c>
      <c r="C207" t="inlineStr">
        <is>
          <t>диапазон</t>
        </is>
      </c>
      <c r="D207" t="inlineStr">
        <is>
          <t>США / глобально</t>
        </is>
      </c>
      <c r="E207" t="inlineStr">
        <is>
          <t>лаборатории</t>
        </is>
      </c>
      <c r="F207" t="inlineStr">
        <is>
          <t>Kodak / лаборатории / фотографы</t>
        </is>
      </c>
      <c r="G207" t="inlineStr">
        <is>
          <t>Push/pull processing показывает, что широта связана с обработкой: нестандартную экспозицию можно частично компенсировать изменением процесса.</t>
        </is>
      </c>
      <c r="H207" t="inlineStr">
        <is>
          <t>Фотохимия</t>
        </is>
      </c>
      <c r="I207" t="inlineStr">
        <is>
          <t>Push/Pull as exposure compensation</t>
        </is>
      </c>
      <c r="J207" t="inlineStr">
        <is>
          <t>Плёнка становится управляемой системой: результат зависит не только от того, сколько света попало, но и от того, как негатив проявили.</t>
        </is>
      </c>
      <c r="K207" t="inlineStr">
        <is>
          <t>ISO и EI PL-018</t>
        </is>
      </c>
      <c r="L207" t="inlineStr">
        <is>
          <t>Проявка, сканирование и печать PL-081–PL-090</t>
        </is>
      </c>
      <c r="M207" t="inlineStr">
        <is>
          <t>Главная линия / практическое управление</t>
        </is>
      </c>
      <c r="N207" t="n">
        <v>5</v>
      </c>
      <c r="O207" t="inlineStr">
        <is>
          <t>PL-020</t>
        </is>
      </c>
      <c r="P207" t="inlineStr">
        <is>
          <t>SRC-151</t>
        </is>
      </c>
      <c r="Q207" t="inlineStr">
        <is>
          <t>Kodak — Push / Pull Film Processing</t>
        </is>
      </c>
      <c r="R207" t="inlineStr">
        <is>
          <t>https://www.kodak.com/en/motion/page/push-pull-processing/</t>
        </is>
      </c>
      <c r="S207" t="n">
        <v>5</v>
      </c>
      <c r="T207" t="inlineStr">
        <is>
          <t>Сказать честно: push/pull не возвращает чудесно потерянную информацию, но помогает получить рабочий результат и нужный контраст.</t>
        </is>
      </c>
      <c r="U207" t="inlineStr">
        <is>
          <t>Проявочный бак, карточки push +1 / pull -1 и три полоски негатива разной плотности.</t>
        </is>
      </c>
      <c r="V207" t="inlineStr">
        <is>
          <t>#PL020 #push-pull #processing #latitude #EI</t>
        </is>
      </c>
      <c r="W207" t="inlineStr">
        <is>
          <t>Не обещать полное спасение сильно ошибочной экспозиции; диапазон зависит от плёнки, сцены и лаборатории.</t>
        </is>
      </c>
      <c r="X207" t="inlineStr">
        <is>
          <t>43.1566, -77.6088</t>
        </is>
      </c>
      <c r="Y207" t="inlineStr">
        <is>
          <t>Экспозиционная широта / push-pull</t>
        </is>
      </c>
      <c r="Z207" t="inlineStr">
        <is>
          <t>Технология / процесс</t>
        </is>
      </c>
    </row>
    <row r="208" ht="17" customHeight="1" s="59">
      <c r="A208" t="inlineStr">
        <is>
          <t>PL-HIST-0207</t>
        </is>
      </c>
      <c r="B208" t="inlineStr">
        <is>
          <t>XX–XXI век</t>
        </is>
      </c>
      <c r="C208" t="inlineStr">
        <is>
          <t>диапазон</t>
        </is>
      </c>
      <c r="D208" t="inlineStr">
        <is>
          <t>США / глобально</t>
        </is>
      </c>
      <c r="E208" t="inlineStr">
        <is>
          <t>съёмочная площадка / фотостудия</t>
        </is>
      </c>
      <c r="F208" t="inlineStr">
        <is>
          <t>Kodak / операторы / фотографы</t>
        </is>
      </c>
      <c r="G208" t="inlineStr">
        <is>
          <t>Серая карта и нормальная экспозиция помогают получить full-range negative: негатив, в котором есть опорная точка для последующей печати, сканирования или грейдинга.</t>
        </is>
      </c>
      <c r="H208" t="inlineStr">
        <is>
          <t>Фотохимия</t>
        </is>
      </c>
      <c r="I208" t="inlineStr">
        <is>
          <t>Gray card / normal exposure / full-range negative</t>
        </is>
      </c>
      <c r="J208" t="inlineStr">
        <is>
          <t>Широта не отменяет дисциплину: правильная опорная экспозиция даёт больше свободы после съёмки, чем случайное угадывание.</t>
        </is>
      </c>
      <c r="K208" t="inlineStr">
        <is>
          <t>Push/pull и обработка</t>
        </is>
      </c>
      <c r="L208" t="inlineStr">
        <is>
          <t>Модуль экспонометра PL-049</t>
        </is>
      </c>
      <c r="M208" t="inlineStr">
        <is>
          <t>Связь / переход</t>
        </is>
      </c>
      <c r="N208" t="n">
        <v>4</v>
      </c>
      <c r="O208" t="inlineStr">
        <is>
          <t>PL-020</t>
        </is>
      </c>
      <c r="P208" t="inlineStr">
        <is>
          <t>SRC-165</t>
        </is>
      </c>
      <c r="Q208" t="inlineStr">
        <is>
          <t>Kodak — Gray Card for the Cinematographer</t>
        </is>
      </c>
      <c r="R208" t="inlineStr">
        <is>
          <t>https://www.kodak.com/en/motion/page/for-the-cinematographer/</t>
        </is>
      </c>
      <c r="S208" t="n">
        <v>5</v>
      </c>
      <c r="T208" t="inlineStr">
        <is>
          <t>Мост в будущую экспозицию: экспонометр и серая карта нужны не ради правил, а ради управляемого негатива.</t>
        </is>
      </c>
      <c r="U208" t="inlineStr">
        <is>
          <t>Фотограф держит серую карту перед сценой; рядом экспонометр и негативная полоса.</t>
        </is>
      </c>
      <c r="V208" t="inlineStr">
        <is>
          <t>#PL020 #gray-card #metering #full-range-negative #exposure</t>
        </is>
      </c>
      <c r="X208" t="inlineStr">
        <is>
          <t>43.1566, -77.6088</t>
        </is>
      </c>
      <c r="Y208" t="inlineStr">
        <is>
          <t>Экспозиционная широта / серая карта</t>
        </is>
      </c>
      <c r="Z208" t="inlineStr">
        <is>
          <t>Связь / переход</t>
        </is>
      </c>
    </row>
    <row r="209" ht="17" customHeight="1" s="59">
      <c r="A209" t="inlineStr">
        <is>
          <t>PL-HIST-0208</t>
        </is>
      </c>
      <c r="B209" t="inlineStr">
        <is>
          <t>XX–XXI век</t>
        </is>
      </c>
      <c r="C209" t="inlineStr">
        <is>
          <t>диапазон</t>
        </is>
      </c>
      <c r="D209" t="inlineStr">
        <is>
          <t>глобально</t>
        </is>
      </c>
      <c r="E209" t="inlineStr">
        <is>
          <t>практика съёмки и печати</t>
        </is>
      </c>
      <c r="F209" t="inlineStr">
        <is>
          <t>Фотографы, лаборатории, сканировщики</t>
        </is>
      </c>
      <c r="G209" t="inlineStr">
        <is>
          <t>Практический вывод PL-020: экспозиционная широта — это запас материала, но не повод снимать бездумно; она влияет на тени, света, зерно, контраст и итоговую печать.</t>
        </is>
      </c>
      <c r="H209" t="inlineStr">
        <is>
          <t>Фотохимия</t>
        </is>
      </c>
      <c r="I209" t="inlineStr">
        <is>
          <t>Practical exposure latitude workflow</t>
        </is>
      </c>
      <c r="J209" t="inlineStr">
        <is>
          <t>Фотограф начинает мыслить финальным изображением: что сохранить в тенях, что допустить в светах, как негатив потом будет сканироваться или печататься.</t>
        </is>
      </c>
      <c r="K209" t="inlineStr">
        <is>
          <t>Сенситометрия и типы плёнок</t>
        </is>
      </c>
      <c r="L209" t="inlineStr">
        <is>
          <t>Переход к плёночным камерам PL-021 и будущей экспозиции</t>
        </is>
      </c>
      <c r="M209" t="inlineStr">
        <is>
          <t>Связь / переход</t>
        </is>
      </c>
      <c r="N209" t="n">
        <v>5</v>
      </c>
      <c r="O209" t="inlineStr">
        <is>
          <t>PL-020</t>
        </is>
      </c>
      <c r="P209" t="inlineStr">
        <is>
          <t>SRC-162</t>
        </is>
      </c>
      <c r="Q209" t="inlineStr">
        <is>
          <t>Kodak — Basic Photographic Sensitometry Workbook</t>
        </is>
      </c>
      <c r="R209" t="inlineStr">
        <is>
          <t>https://www.kodak.com/content/products-brochures/Film/Basic-Photographic-Sensitometry-Workbook.pdf</t>
        </is>
      </c>
      <c r="S209" t="n">
        <v>5</v>
      </c>
      <c r="T209" t="inlineStr">
        <is>
          <t>Финал Модуля 2: мы поняли материал. Дальше логично перейти к камере, которая этот материал экспонирует.</t>
        </is>
      </c>
      <c r="U209" t="inlineStr">
        <is>
          <t>Одна сцена и три решения: сохранить тени, сохранить света, средняя экспозиция; рядом готовый отпечаток.</t>
        </is>
      </c>
      <c r="V209" t="inlineStr">
        <is>
          <t>#PL020 #exposure-latitude #tone #print #film-workflow</t>
        </is>
      </c>
      <c r="Y209" t="inlineStr">
        <is>
          <t>Экспозиционная широта / практический выбор</t>
        </is>
      </c>
      <c r="Z209" t="inlineStr">
        <is>
          <t>Связь / переход</t>
        </is>
      </c>
    </row>
    <row r="210" ht="17" customHeight="1" s="59"/>
    <row r="211" ht="17" customHeight="1" s="59"/>
    <row r="212" ht="17" customHeight="1" s="59"/>
    <row r="213" ht="17" customHeight="1" s="59"/>
    <row r="214" ht="17" customHeight="1" s="59"/>
    <row r="215" ht="17" customHeight="1" s="59"/>
    <row r="216" ht="17" customHeight="1" s="59"/>
    <row r="217" ht="17" customHeight="1" s="59"/>
    <row r="218" ht="17" customHeight="1" s="59"/>
    <row r="219" ht="17" customHeight="1" s="59"/>
    <row r="220" ht="17" customHeight="1" s="59"/>
    <row r="221" ht="17" customHeight="1" s="59"/>
    <row r="222" ht="17" customHeight="1" s="59"/>
    <row r="223" ht="17" customHeight="1" s="59"/>
    <row r="224" ht="17" customHeight="1" s="59"/>
    <row r="225" ht="17" customHeight="1" s="59"/>
    <row r="226" ht="17" customHeight="1" s="59"/>
    <row r="227" ht="17" customHeight="1" s="59"/>
    <row r="228" ht="17" customHeight="1" s="59"/>
    <row r="229" ht="17" customHeight="1" s="59"/>
    <row r="230" ht="17" customHeight="1" s="59"/>
    <row r="231" ht="17" customHeight="1" s="59"/>
    <row r="232" ht="17" customHeight="1" s="59"/>
    <row r="233" ht="17" customHeight="1" s="59"/>
    <row r="234" ht="17" customHeight="1" s="59"/>
    <row r="235" ht="17" customHeight="1" s="59"/>
    <row r="236" ht="17" customHeight="1" s="59"/>
    <row r="237" ht="17" customHeight="1" s="59"/>
    <row r="238" ht="17" customHeight="1" s="59"/>
    <row r="239" ht="17" customHeight="1" s="59"/>
    <row r="240" ht="17" customHeight="1" s="59"/>
    <row r="241" ht="17" customHeight="1" s="59"/>
    <row r="242" ht="17" customHeight="1" s="59"/>
    <row r="243" ht="17" customHeight="1" s="59"/>
    <row r="244" ht="17" customHeight="1" s="59"/>
    <row r="245" ht="17" customHeight="1" s="59"/>
    <row r="246" ht="17" customHeight="1" s="59"/>
    <row r="247" ht="17" customHeight="1" s="59"/>
    <row r="248" ht="17" customHeight="1" s="59"/>
    <row r="249" ht="17" customHeight="1" s="59"/>
    <row r="250" ht="17" customHeight="1" s="59"/>
    <row r="251" ht="17" customHeight="1" s="59"/>
    <row r="252" ht="17" customHeight="1" s="59"/>
    <row r="253" ht="17" customHeight="1" s="59"/>
    <row r="254" ht="17" customHeight="1" s="59"/>
    <row r="255" ht="17" customHeight="1" s="59"/>
    <row r="256" ht="17" customHeight="1" s="59"/>
    <row r="257" ht="17" customHeight="1" s="59"/>
    <row r="258" ht="17" customHeight="1" s="59"/>
    <row r="259" ht="17" customHeight="1" s="59"/>
    <row r="260" ht="17" customHeight="1" s="59"/>
    <row r="261" ht="17" customHeight="1" s="59"/>
    <row r="262" ht="17" customHeight="1" s="59"/>
    <row r="263" ht="17" customHeight="1" s="59"/>
    <row r="264" ht="17" customHeight="1" s="59"/>
    <row r="265" ht="17" customHeight="1" s="59"/>
    <row r="266" ht="17" customHeight="1" s="59"/>
    <row r="267" ht="17" customHeight="1" s="59"/>
    <row r="268" ht="17" customHeight="1" s="59"/>
    <row r="269" ht="17" customHeight="1" s="59"/>
    <row r="270" ht="17" customHeight="1" s="59"/>
    <row r="271" ht="17" customHeight="1" s="59"/>
    <row r="272" ht="17" customHeight="1" s="59"/>
    <row r="273" ht="17" customHeight="1" s="59"/>
    <row r="274" ht="17" customHeight="1" s="59"/>
    <row r="275" ht="17" customHeight="1" s="59"/>
    <row r="276" ht="17" customHeight="1" s="59"/>
    <row r="277" ht="17" customHeight="1" s="59"/>
    <row r="278" ht="17" customHeight="1" s="59"/>
    <row r="279" ht="17" customHeight="1" s="59"/>
    <row r="280" ht="17" customHeight="1" s="59"/>
    <row r="281" ht="17" customHeight="1" s="59"/>
    <row r="282" ht="17" customHeight="1" s="59"/>
    <row r="283" ht="17" customHeight="1" s="59"/>
    <row r="284" ht="17" customHeight="1" s="59"/>
    <row r="285" ht="17" customHeight="1" s="59"/>
    <row r="286" ht="17" customHeight="1" s="59"/>
    <row r="287" ht="17" customHeight="1" s="59"/>
    <row r="288" ht="17" customHeight="1" s="59"/>
    <row r="289" ht="17" customHeight="1" s="59"/>
    <row r="290" ht="17" customHeight="1" s="59"/>
    <row r="291" ht="17" customHeight="1" s="59"/>
    <row r="292" ht="17" customHeight="1" s="59"/>
    <row r="293" ht="17" customHeight="1" s="59"/>
    <row r="294" ht="17" customHeight="1" s="59"/>
    <row r="295" ht="17" customHeight="1" s="59"/>
    <row r="296" ht="17" customHeight="1" s="59"/>
    <row r="297" ht="17" customHeight="1" s="59"/>
    <row r="298" ht="17" customHeight="1" s="59"/>
    <row r="299" ht="17" customHeight="1" s="59"/>
    <row r="300" ht="17" customHeight="1" s="59"/>
    <row r="301" ht="17" customHeight="1" s="59"/>
    <row r="302" ht="17" customHeight="1" s="59"/>
    <row r="303" ht="17" customHeight="1" s="59"/>
    <row r="304" ht="17" customHeight="1" s="59"/>
    <row r="305" ht="17" customHeight="1" s="59"/>
    <row r="306" ht="17" customHeight="1" s="59"/>
    <row r="307" ht="17" customHeight="1" s="59"/>
    <row r="308" ht="17" customHeight="1" s="59"/>
    <row r="309" ht="17" customHeight="1" s="59"/>
    <row r="310" ht="17" customHeight="1" s="59"/>
    <row r="311" ht="17" customHeight="1" s="59"/>
    <row r="312" ht="17" customHeight="1" s="59"/>
    <row r="313" ht="17" customHeight="1" s="59"/>
    <row r="314" ht="17" customHeight="1" s="59"/>
    <row r="315" ht="17" customHeight="1" s="59"/>
    <row r="316" ht="17" customHeight="1" s="59"/>
    <row r="317" ht="17" customHeight="1" s="59"/>
    <row r="318" ht="17" customHeight="1" s="59"/>
    <row r="319" ht="17" customHeight="1" s="59"/>
    <row r="320" ht="17" customHeight="1" s="59"/>
    <row r="321" ht="17" customHeight="1" s="59"/>
    <row r="322" ht="17" customHeight="1" s="59"/>
    <row r="323" ht="17" customHeight="1" s="59"/>
    <row r="324" ht="17" customHeight="1" s="59"/>
    <row r="325" ht="17" customHeight="1" s="59"/>
    <row r="326" ht="17" customHeight="1" s="59"/>
    <row r="327" ht="17" customHeight="1" s="59"/>
    <row r="328" ht="17" customHeight="1" s="59"/>
    <row r="329" ht="17" customHeight="1" s="59"/>
    <row r="330" ht="17" customHeight="1" s="59"/>
    <row r="331" ht="17" customHeight="1" s="59"/>
    <row r="332" ht="17" customHeight="1" s="59"/>
    <row r="333" ht="17" customHeight="1" s="59"/>
    <row r="334" ht="17" customHeight="1" s="59"/>
    <row r="335" ht="17" customHeight="1" s="59"/>
    <row r="336" ht="17" customHeight="1" s="59"/>
    <row r="337" ht="17" customHeight="1" s="59"/>
    <row r="338" ht="17" customHeight="1" s="59"/>
    <row r="339" ht="17" customHeight="1" s="59"/>
    <row r="340" ht="17" customHeight="1" s="59"/>
    <row r="341" ht="17" customHeight="1" s="59"/>
    <row r="342" ht="17" customHeight="1" s="59"/>
    <row r="343" ht="17" customHeight="1" s="59"/>
    <row r="344" ht="17" customHeight="1" s="59"/>
    <row r="345" ht="17" customHeight="1" s="59"/>
    <row r="346" ht="17" customHeight="1" s="59"/>
    <row r="347" ht="17" customHeight="1" s="59"/>
    <row r="348" ht="17" customHeight="1" s="59"/>
    <row r="349" ht="17" customHeight="1" s="59"/>
    <row r="350" ht="17" customHeight="1" s="59"/>
    <row r="351" ht="17" customHeight="1" s="59"/>
    <row r="352" ht="17" customHeight="1" s="59"/>
    <row r="353" ht="17" customHeight="1" s="59"/>
    <row r="354" ht="17" customHeight="1" s="59"/>
    <row r="355" ht="17" customHeight="1" s="59"/>
    <row r="356" ht="17" customHeight="1" s="59"/>
    <row r="357" ht="17" customHeight="1" s="59"/>
    <row r="358" ht="17" customHeight="1" s="59"/>
    <row r="359" ht="17" customHeight="1" s="59"/>
    <row r="360" ht="17" customHeight="1" s="59"/>
    <row r="361" ht="17" customHeight="1" s="59"/>
    <row r="362" ht="17" customHeight="1" s="59"/>
    <row r="363" ht="17" customHeight="1" s="59"/>
    <row r="364" ht="17" customHeight="1" s="59"/>
    <row r="365" ht="17" customHeight="1" s="59"/>
    <row r="366" ht="17" customHeight="1" s="59"/>
    <row r="367" ht="17" customHeight="1" s="59"/>
    <row r="368" ht="17" customHeight="1" s="59"/>
    <row r="369" ht="17" customHeight="1" s="59"/>
    <row r="370" ht="17" customHeight="1" s="59"/>
    <row r="371" ht="17" customHeight="1" s="59"/>
    <row r="372" ht="17" customHeight="1" s="59"/>
    <row r="373" ht="17" customHeight="1" s="59"/>
    <row r="374" ht="17" customHeight="1" s="59"/>
    <row r="375" ht="17" customHeight="1" s="59"/>
    <row r="376" ht="17" customHeight="1" s="59"/>
    <row r="377" ht="17" customHeight="1" s="59"/>
    <row r="378" ht="17" customHeight="1" s="59"/>
    <row r="379" ht="17" customHeight="1" s="59"/>
    <row r="380" ht="17" customHeight="1" s="59"/>
    <row r="381" ht="17" customHeight="1" s="59"/>
    <row r="382" ht="17" customHeight="1" s="59"/>
    <row r="383" ht="17" customHeight="1" s="59"/>
    <row r="384" ht="17" customHeight="1" s="59"/>
    <row r="385" ht="17" customHeight="1" s="59"/>
    <row r="386" ht="17" customHeight="1" s="59"/>
    <row r="387" ht="17" customHeight="1" s="59"/>
    <row r="388" ht="17" customHeight="1" s="59"/>
    <row r="389" ht="17" customHeight="1" s="59"/>
    <row r="390" ht="17" customHeight="1" s="59"/>
    <row r="391" ht="17" customHeight="1" s="59"/>
    <row r="392" ht="17" customHeight="1" s="59"/>
    <row r="393" ht="17" customHeight="1" s="59"/>
    <row r="394" ht="17" customHeight="1" s="59"/>
    <row r="395" ht="17" customHeight="1" s="59"/>
    <row r="396" ht="17" customHeight="1" s="59"/>
    <row r="397" ht="17" customHeight="1" s="59"/>
    <row r="398" ht="17" customHeight="1" s="59"/>
    <row r="399" ht="17" customHeight="1" s="59"/>
    <row r="400" ht="17" customHeight="1" s="59"/>
    <row r="401" ht="17" customHeight="1" s="59"/>
    <row r="402" ht="17" customHeight="1" s="59"/>
    <row r="403" ht="17" customHeight="1" s="59"/>
    <row r="404" ht="17" customHeight="1" s="59"/>
    <row r="405" ht="17" customHeight="1" s="59"/>
    <row r="406" ht="17" customHeight="1" s="59"/>
    <row r="407" ht="17" customHeight="1" s="59"/>
    <row r="408" ht="17" customHeight="1" s="59"/>
    <row r="409" ht="17" customHeight="1" s="59"/>
    <row r="410" ht="17" customHeight="1" s="59"/>
    <row r="411" ht="17" customHeight="1" s="59"/>
    <row r="412" ht="17" customHeight="1" s="59"/>
    <row r="413" ht="17" customHeight="1" s="59"/>
    <row r="414" ht="17" customHeight="1" s="59"/>
    <row r="415" ht="17" customHeight="1" s="59"/>
    <row r="416" ht="17" customHeight="1" s="59"/>
    <row r="417" ht="17" customHeight="1" s="59"/>
    <row r="418" ht="17" customHeight="1" s="59"/>
    <row r="419" ht="17" customHeight="1" s="59"/>
    <row r="420" ht="17" customHeight="1" s="59"/>
    <row r="421" ht="17" customHeight="1" s="59"/>
    <row r="422" ht="17" customHeight="1" s="59"/>
    <row r="423" ht="17" customHeight="1" s="59"/>
    <row r="424" ht="17" customHeight="1" s="59"/>
    <row r="425" ht="17" customHeight="1" s="59"/>
    <row r="426" ht="17" customHeight="1" s="59"/>
    <row r="427" ht="17" customHeight="1" s="59"/>
    <row r="428" ht="17" customHeight="1" s="59"/>
    <row r="429" ht="17" customHeight="1" s="59"/>
    <row r="430" ht="17" customHeight="1" s="59"/>
    <row r="431" ht="17" customHeight="1" s="59"/>
    <row r="432" ht="17" customHeight="1" s="59"/>
    <row r="433" ht="17" customHeight="1" s="59"/>
    <row r="434" ht="17" customHeight="1" s="59"/>
    <row r="435" ht="17" customHeight="1" s="59"/>
    <row r="436" ht="17" customHeight="1" s="59"/>
    <row r="437" ht="17" customHeight="1" s="59"/>
    <row r="438" ht="17" customHeight="1" s="59"/>
    <row r="439" ht="17" customHeight="1" s="59"/>
    <row r="440" ht="17" customHeight="1" s="59"/>
    <row r="441" ht="17" customHeight="1" s="59"/>
    <row r="442" ht="17" customHeight="1" s="59"/>
    <row r="443" ht="17" customHeight="1" s="59"/>
    <row r="444" ht="17" customHeight="1" s="59"/>
    <row r="445" ht="17" customHeight="1" s="59"/>
    <row r="446" ht="17" customHeight="1" s="59"/>
    <row r="447" ht="17" customHeight="1" s="59"/>
    <row r="448" ht="17" customHeight="1" s="59"/>
    <row r="449" ht="17" customHeight="1" s="59"/>
    <row r="450" ht="17" customHeight="1" s="59"/>
    <row r="451" ht="17" customHeight="1" s="59"/>
    <row r="452" ht="17" customHeight="1" s="59"/>
    <row r="453" ht="17" customHeight="1" s="59"/>
    <row r="454" ht="17" customHeight="1" s="59"/>
    <row r="455" ht="17" customHeight="1" s="59"/>
    <row r="456" ht="17" customHeight="1" s="59"/>
    <row r="457" ht="17" customHeight="1" s="59"/>
    <row r="458" ht="17" customHeight="1" s="59"/>
    <row r="459" ht="17" customHeight="1" s="59"/>
    <row r="460" ht="17" customHeight="1" s="59"/>
    <row r="461" ht="17" customHeight="1" s="59"/>
    <row r="462" ht="17" customHeight="1" s="59"/>
    <row r="463" ht="17" customHeight="1" s="59"/>
    <row r="464" ht="17" customHeight="1" s="59"/>
    <row r="465" ht="17" customHeight="1" s="59"/>
    <row r="466" ht="17" customHeight="1" s="59"/>
    <row r="467" ht="17" customHeight="1" s="59"/>
    <row r="468" ht="17" customHeight="1" s="59"/>
    <row r="469" ht="17" customHeight="1" s="59"/>
    <row r="470" ht="17" customHeight="1" s="59"/>
    <row r="471" ht="17" customHeight="1" s="59"/>
    <row r="472" ht="17" customHeight="1" s="59"/>
    <row r="473" ht="17" customHeight="1" s="59"/>
    <row r="474" ht="17" customHeight="1" s="59"/>
    <row r="475" ht="17" customHeight="1" s="59"/>
    <row r="476" ht="17" customHeight="1" s="59"/>
    <row r="477" ht="17" customHeight="1" s="59"/>
    <row r="478" ht="17" customHeight="1" s="59"/>
    <row r="479" ht="17" customHeight="1" s="59"/>
    <row r="480" ht="17" customHeight="1" s="59"/>
    <row r="481" ht="17" customHeight="1" s="59"/>
    <row r="482" ht="17" customHeight="1" s="59"/>
    <row r="483" ht="17" customHeight="1" s="59"/>
    <row r="484" ht="17" customHeight="1" s="59"/>
    <row r="485" ht="17" customHeight="1" s="59"/>
    <row r="486" ht="17" customHeight="1" s="59"/>
    <row r="487" ht="17" customHeight="1" s="59"/>
    <row r="488" ht="17" customHeight="1" s="59"/>
    <row r="489" ht="17" customHeight="1" s="59"/>
    <row r="490" ht="17" customHeight="1" s="59"/>
    <row r="491" ht="17" customHeight="1" s="59"/>
    <row r="492" ht="17" customHeight="1" s="59"/>
    <row r="493" ht="17" customHeight="1" s="59"/>
    <row r="494" ht="17" customHeight="1" s="59"/>
    <row r="495" ht="17" customHeight="1" s="59"/>
    <row r="496" ht="17" customHeight="1" s="59"/>
    <row r="497" ht="17" customHeight="1" s="59"/>
    <row r="498" ht="17" customHeight="1" s="59"/>
    <row r="499" ht="17" customHeight="1" s="59"/>
    <row r="500" ht="17" customHeight="1" s="59"/>
  </sheetData>
  <conditionalFormatting sqref="N2:N49">
    <cfRule type="colorScale" priority="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S2:S49">
    <cfRule type="colorScale" priority="3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9">
    <dataValidation sqref="AA2:AA500" showDropDown="0" showInputMessage="0" showErrorMessage="0" allowBlank="0" type="list">
      <formula1>"да"</formula1>
    </dataValidation>
    <dataValidation sqref="C2:C500" showDropDown="0" showInputMessage="0" showErrorMessage="0" allowBlank="0" type="list">
      <formula1>'06_Lists'!$A$2:$A$6</formula1>
    </dataValidation>
    <dataValidation sqref="M2:M500" showDropDown="0" showInputMessage="0" showErrorMessage="0" allowBlank="0" type="list">
      <formula1>'06_Lists'!$B$2:$B$11</formula1>
    </dataValidation>
    <dataValidation sqref="O2:O500" showDropDown="0" showInputMessage="0" showErrorMessage="0" allowBlank="0" type="list">
      <formula1>'06_Lists'!$C$2:$C$18</formula1>
    </dataValidation>
    <dataValidation sqref="H2:H500" showDropDown="0" showInputMessage="0" showErrorMessage="0" allowBlank="0" type="list">
      <formula1>'06_Lists'!$D$2:$D$14</formula1>
    </dataValidation>
    <dataValidation sqref="N2:N500" showDropDown="0" showInputMessage="0" showErrorMessage="0" allowBlank="0" type="list">
      <formula1>'06_Lists'!$E$2:$E$6</formula1>
    </dataValidation>
    <dataValidation sqref="S2:S500" showDropDown="0" showInputMessage="0" showErrorMessage="0" allowBlank="0" type="list">
      <formula1>'06_Lists'!$F$2:$F$6</formula1>
    </dataValidation>
    <dataValidation sqref="Z2:Z500" showDropDown="0" showInputMessage="0" showErrorMessage="0" allowBlank="0" type="list">
      <formula1>'06_Lists'!$G$2:$G$12</formula1>
    </dataValidation>
    <dataValidation sqref="Y2:Y500" showDropDown="0" showInputMessage="0" showErrorMessage="0" allowBlank="0" type="list">
      <formula1>'06_Lists'!$H$2:$H$119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10" defaultColWidth="8.6640625" defaultRowHeight="13"/>
  <cols>
    <col width="28" customWidth="1" style="59" min="1" max="1"/>
    <col width="44" customWidth="1" style="59" min="2" max="2"/>
    <col width="22" customWidth="1" style="59" min="3" max="3"/>
    <col width="20" customWidth="1" style="59" min="4" max="4"/>
    <col width="42" customWidth="1" style="59" min="5" max="5"/>
  </cols>
  <sheetData>
    <row r="1" ht="37" customHeight="1" s="59">
      <c r="A1" s="66" t="inlineStr">
        <is>
          <t>Ветка</t>
        </is>
      </c>
      <c r="B1" s="66" t="inlineStr">
        <is>
          <t>Что включает</t>
        </is>
      </c>
      <c r="C1" s="66" t="inlineStr">
        <is>
          <t>Для каких уроков</t>
        </is>
      </c>
      <c r="D1" s="66" t="inlineStr">
        <is>
          <t>Визуальный цвет/код</t>
        </is>
      </c>
      <c r="E1" s="66" t="inlineStr">
        <is>
          <t>Комментарий</t>
        </is>
      </c>
    </row>
    <row r="2" ht="42" customHeight="1" s="59">
      <c r="A2" s="63" t="inlineStr">
        <is>
          <t>Оптика / камера-обскура</t>
        </is>
      </c>
      <c r="B2" s="63" t="inlineStr">
        <is>
          <t>свет, тёмная комната, pinhole, линзы</t>
        </is>
      </c>
      <c r="C2" s="63" t="inlineStr">
        <is>
          <t>PL-001</t>
        </is>
      </c>
      <c r="D2" s="63" t="inlineStr">
        <is>
          <t>синий</t>
        </is>
      </c>
      <c r="E2" s="63" t="inlineStr">
        <is>
          <t>Это предпосылка фотографии, не сама фотография.</t>
        </is>
      </c>
    </row>
    <row r="3" ht="42" customHeight="1" s="59">
      <c r="A3" s="63" t="inlineStr">
        <is>
          <t>Оптические инструменты</t>
        </is>
      </c>
      <c r="B3" s="63" t="inlineStr">
        <is>
          <t>camera lucida, stereoscope, portable camera obscura, compact 35mm cameras, Leica I, Leica system, rangefinder lineage</t>
        </is>
      </c>
      <c r="C3" s="63" t="inlineStr">
        <is>
          <t>PL-001 / PL-009 / PL-010 / будущие PL</t>
        </is>
      </c>
      <c r="D3" s="63" t="inlineStr">
        <is>
          <t>голубой</t>
        </is>
      </c>
      <c r="E3" s="63" t="inlineStr">
        <is>
          <t>Помогает объяснить, что люди стремились к точному изображению до химии.</t>
        </is>
      </c>
    </row>
    <row r="4" ht="21" customHeight="1" s="59">
      <c r="A4" s="63" t="inlineStr">
        <is>
          <t>Фотохимия</t>
        </is>
      </c>
      <c r="B4" s="63" t="inlineStr">
        <is>
          <t>серебряные соли, желатиновые эмульсии, скрытое изображение, проявление, чувствительность, ISO / film speed, EI, push/pull, спектральная чувствительность, зерно, цветные слои, color couplers, C-41, E-6, reversal-процесс, экспозиционная широта, сенситометрия / характеристическая кривая</t>
        </is>
      </c>
      <c r="C4" s="63" t="inlineStr">
        <is>
          <t>PL-002 / PL-006 / PL-011 / PL-012 / PL-015 / PL-016 / PL-017 / PL-018 / PL-019 / PL-020</t>
        </is>
      </c>
      <c r="D4" s="63" t="inlineStr">
        <is>
          <t>жёлтый</t>
        </is>
      </c>
      <c r="E4" s="63" t="inlineStr">
        <is>
          <t>Химическая половина рождения фотографии: от серебряного изображения к чувствительности, зерну, цвету и экспозиционному диапазону материала.</t>
        </is>
      </c>
    </row>
    <row r="5" ht="21" customHeight="1" s="59">
      <c r="A5" s="63" t="inlineStr">
        <is>
          <t>Гелиография</t>
        </is>
      </c>
      <c r="B5" s="63" t="inlineStr">
        <is>
          <t>Ньепс, битум, первое сохранившееся изображение</t>
        </is>
      </c>
      <c r="C5" s="63" t="inlineStr">
        <is>
          <t>PL-002</t>
        </is>
      </c>
      <c r="D5" s="63" t="inlineStr">
        <is>
          <t>золотой</t>
        </is>
      </c>
      <c r="E5" s="63" t="inlineStr">
        <is>
          <t>Путь к постоянному изображению.</t>
        </is>
      </c>
    </row>
    <row r="6" ht="42" customHeight="1" s="59">
      <c r="A6" s="63" t="inlineStr">
        <is>
          <t>Дагеротип</t>
        </is>
      </c>
      <c r="B6" s="63" t="inlineStr">
        <is>
          <t>прямой позитив на серебряной пластине</t>
        </is>
      </c>
      <c r="C6" s="63" t="inlineStr">
        <is>
          <t>PL-003</t>
        </is>
      </c>
      <c r="D6" s="63" t="inlineStr">
        <is>
          <t>серебряный</t>
        </is>
      </c>
      <c r="E6" s="63" t="inlineStr">
        <is>
          <t>Резкость и публичный эффект, но уникальный экземпляр.</t>
        </is>
      </c>
    </row>
    <row r="7" ht="42" customHeight="1" s="59">
      <c r="A7" s="63" t="inlineStr">
        <is>
          <t>Фотогенный рисунок / фотограмма</t>
        </is>
      </c>
      <c r="B7" s="63" t="inlineStr">
        <is>
          <t>контактные изображения объектов на бумаге</t>
        </is>
      </c>
      <c r="C7" s="63" t="inlineStr">
        <is>
          <t>PL-004</t>
        </is>
      </c>
      <c r="D7" s="63" t="inlineStr">
        <is>
          <t>зелёный</t>
        </is>
      </c>
      <c r="E7" s="63" t="inlineStr">
        <is>
          <t>Британская линия Тальбота.</t>
        </is>
      </c>
    </row>
    <row r="8" ht="21" customHeight="1" s="59">
      <c r="A8" s="63" t="inlineStr">
        <is>
          <t>Негатив-позитив</t>
        </is>
      </c>
      <c r="B8" s="63" t="inlineStr">
        <is>
          <t>бумажный негатив, калотип, стеклянный негатив, сухая пластина, плёночный негатив, чёрно-белый негатив, цветной негатив, позитивный отпечаток, экспозиционная широта негативных материалов</t>
        </is>
      </c>
      <c r="C8" s="63" t="inlineStr">
        <is>
          <t>PL-004 / PL-006 / PL-013 / PL-014 / PL-015 / PL-016 / PL-020</t>
        </is>
      </c>
      <c r="D8" s="63" t="inlineStr">
        <is>
          <t>зелёный тёмный</t>
        </is>
      </c>
      <c r="E8" s="63" t="inlineStr">
        <is>
          <t>Главная идея, которая победила исторически: негатив становится матрицей для будущего позитива и допускает интерпретацию при печати/сканировании.</t>
        </is>
      </c>
    </row>
    <row r="9" ht="21" customHeight="1" s="59">
      <c r="A9" s="63" t="inlineStr">
        <is>
          <t>Печать / тиражирование</t>
        </is>
      </c>
      <c r="B9" s="63" t="inlineStr">
        <is>
          <t>salt print, albumen print, gelatin silver print, POP/DOP, chromogenic print, фотокнига, лабораторная и сервисная печать, цветная печать с негатива, влияние зерна и экспозиции на скан/отпечаток</t>
        </is>
      </c>
      <c r="C9" s="63" t="inlineStr">
        <is>
          <t>PL-004 / PL-013 / PL-014 / PL-015 / PL-016 / PL-019 / PL-020</t>
        </is>
      </c>
      <c r="D9" s="63" t="inlineStr">
        <is>
          <t>оранжевый</t>
        </is>
      </c>
      <c r="E9" s="63" t="inlineStr">
        <is>
          <t>Ветка распространения изображений: от единичного отпечатка к массовому фотосервису и авторскому управлению финальной фактурой.</t>
        </is>
      </c>
    </row>
    <row r="10" ht="21" customHeight="1" s="59">
      <c r="A10" s="63" t="inlineStr">
        <is>
          <t>Печать / тиражирование</t>
        </is>
      </c>
      <c r="B10" s="63" t="inlineStr">
        <is>
          <t>salt print, albumen print, gelatin silver print, POP/DOP, chromogenic print, фотокнига, лабораторная и сервисная печать, цветная печать с негатива</t>
        </is>
      </c>
      <c r="C10" s="63" t="inlineStr">
        <is>
          <t>PL-004 / PL-013 / PL-014 / PL-015 / PL-016</t>
        </is>
      </c>
      <c r="D10" s="63" t="inlineStr">
        <is>
          <t>оранжевый</t>
        </is>
      </c>
      <c r="E10" s="63" t="inlineStr">
        <is>
          <t>Ветка распространения изображений: от единичного отпечатка к массовому фотосервису.</t>
        </is>
      </c>
    </row>
    <row r="11" ht="21" customHeight="1" s="59">
      <c r="A11" s="63" t="inlineStr">
        <is>
          <t>Уникальный позитив</t>
        </is>
      </c>
      <c r="B11" s="63" t="inlineStr">
        <is>
          <t>ранний цвет, Autochrome, Kodachrome, Kodacolor, Ektachrome, цветная негативная и слайдовая плёнка, chromogenic print, C-41, E-6, узкая широта слайдового позитива</t>
        </is>
      </c>
      <c r="C11" s="63" t="inlineStr">
        <is>
          <t>PL-014 / PL-016 / PL-017 / PL-020 / будущие PL</t>
        </is>
      </c>
      <c r="D11" s="63" t="inlineStr">
        <is>
          <t>серый</t>
        </is>
      </c>
      <c r="E11" s="63" t="inlineStr">
        <is>
          <t>Важные, но технологически ограниченные ветки; слайдовая прозрачность особенно хорошо показывает цену ошибки экспозиции.</t>
        </is>
      </c>
    </row>
    <row r="12" ht="21" customHeight="1" s="59">
      <c r="A12" s="63" t="inlineStr">
        <is>
          <t>Цвет</t>
        </is>
      </c>
      <c r="B12" s="63" t="inlineStr">
        <is>
          <t>цветные негативы, слайды, прозрачности, projected positive, Kodachrome, Ektachrome, EKTAR, EKTACOLOR, цветное зерно/красители, широта цветного негатива и слайда</t>
        </is>
      </c>
      <c r="C12" s="63" t="inlineStr">
        <is>
          <t>PL-016 / PL-017 / PL-019 / PL-020 / будущие PL</t>
        </is>
      </c>
      <c r="D12" s="63" t="inlineStr">
        <is>
          <t>радужный</t>
        </is>
      </c>
      <c r="E12" s="63" t="inlineStr">
        <is>
          <t>Цветная фотография как отдельная технологическая и визуальная линия: материал, проявка, просмотр, печать и экспозиционный допуск.</t>
        </is>
      </c>
    </row>
    <row r="13" ht="21" customHeight="1" s="59">
      <c r="A13" s="63" t="inlineStr">
        <is>
          <t>Цвет</t>
        </is>
      </c>
      <c r="B13" s="63" t="inlineStr">
        <is>
          <t>lantern slides, слайды, прозрачности, projected positive, публичный и семейный показ</t>
        </is>
      </c>
      <c r="C13" s="63" t="inlineStr">
        <is>
          <t>PL-017 / будущие PL</t>
        </is>
      </c>
      <c r="D13" s="63" t="inlineStr">
        <is>
          <t>радужный</t>
        </is>
      </c>
      <c r="E13" s="63" t="inlineStr">
        <is>
          <t>Цветная фотография как отдельная технологическая и визуальная линия.</t>
        </is>
      </c>
    </row>
    <row r="14" ht="21" customHeight="1" s="59">
      <c r="A14" s="63" t="inlineStr">
        <is>
          <t>Проекция / распространение</t>
        </is>
      </c>
      <c r="B14" s="63" t="inlineStr">
        <is>
          <t>lantern slides, публичный показ</t>
        </is>
      </c>
      <c r="C14" s="63" t="inlineStr">
        <is>
          <t>будущие PL</t>
        </is>
      </c>
      <c r="D14" s="63" t="inlineStr">
        <is>
          <t>бирюзовый</t>
        </is>
      </c>
      <c r="E14" s="63" t="inlineStr">
        <is>
          <t>Мост к обучению, лекциям, презентациям.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10" defaultColWidth="8.6640625" defaultRowHeight="13"/>
  <cols>
    <col width="9.6640625" customWidth="1" style="59" min="1" max="1"/>
    <col width="27.33203125" customWidth="1" style="59" min="2" max="2"/>
    <col width="42" customWidth="1" style="59" min="3" max="3"/>
    <col width="76.1640625" customWidth="1" style="59" min="4" max="4"/>
    <col width="11.33203125" customWidth="1" style="59" min="5" max="5"/>
    <col width="28" customWidth="1" style="59" min="6" max="6"/>
  </cols>
  <sheetData>
    <row r="1" ht="37" customHeight="1" s="59">
      <c r="A1" s="60" t="inlineStr">
        <is>
          <t>Урок</t>
        </is>
      </c>
      <c r="B1" s="60" t="inlineStr">
        <is>
          <t>Главная тема</t>
        </is>
      </c>
      <c r="C1" s="60" t="inlineStr">
        <is>
          <t>Исторические узлы</t>
        </is>
      </c>
      <c r="D1" s="60" t="inlineStr">
        <is>
          <t>Что должен понять новичок</t>
        </is>
      </c>
      <c r="E1" s="60" t="inlineStr">
        <is>
          <t>Статус</t>
        </is>
      </c>
      <c r="F1" s="62" t="inlineStr">
        <is>
          <t>Ссылка на урок (Telegram)</t>
        </is>
      </c>
    </row>
    <row r="2" ht="42" customHeight="1" s="59">
      <c r="A2" s="63" t="inlineStr">
        <is>
          <t>PL-001</t>
        </is>
      </c>
      <c r="B2" s="63" t="inlineStr">
        <is>
          <t>Камера-обскура и оптика</t>
        </is>
      </c>
      <c r="C2" s="63" t="inlineStr">
        <is>
          <t>PL-HIST-0001…0008, 0013, 0028</t>
        </is>
      </c>
      <c r="D2" s="63" t="inlineStr">
        <is>
          <t>Свет умеет строить изображение, но ещё не сохраняет его.</t>
        </is>
      </c>
      <c r="E2" s="63" t="inlineStr">
        <is>
          <t>основа готова</t>
        </is>
      </c>
      <c r="F2" s="62" t="inlineStr">
        <is>
          <t>https://t.me/photolab_vf_pro/4/40</t>
        </is>
      </c>
    </row>
    <row r="3" ht="42" customHeight="1" s="59">
      <c r="A3" s="63" t="inlineStr">
        <is>
          <t>PL-002</t>
        </is>
      </c>
      <c r="B3" s="63" t="inlineStr">
        <is>
          <t>Ньепс и первая фиксация</t>
        </is>
      </c>
      <c r="C3" s="63" t="inlineStr">
        <is>
          <t>PL-HIST-0009…0016</t>
        </is>
      </c>
      <c r="D3" s="63" t="inlineStr">
        <is>
          <t>Недостаточно увидеть изображение — его нужно зафиксировать.</t>
        </is>
      </c>
      <c r="E3" s="63" t="inlineStr">
        <is>
          <t>основа готова</t>
        </is>
      </c>
      <c r="F3" s="62" t="inlineStr">
        <is>
          <t>https://t.me/photolab_vf_pro/4/54</t>
        </is>
      </c>
    </row>
    <row r="4" ht="42" customHeight="1" s="59">
      <c r="A4" s="63" t="inlineStr">
        <is>
          <t>PL-003</t>
        </is>
      </c>
      <c r="B4" s="63" t="inlineStr">
        <is>
          <t>Дагеротип</t>
        </is>
      </c>
      <c r="C4" s="63" t="inlineStr">
        <is>
          <t>PL-HIST-0017…0023, 0027</t>
        </is>
      </c>
      <c r="D4" s="63" t="inlineStr">
        <is>
          <t>Фотография стала публичной, резкой и убедительной, но изображение было уникальным.</t>
        </is>
      </c>
      <c r="E4" s="63" t="inlineStr">
        <is>
          <t>основа готова</t>
        </is>
      </c>
      <c r="F4" s="62" t="inlineStr">
        <is>
          <t>https://t.me/photolab_vf_pro/4/59</t>
        </is>
      </c>
    </row>
    <row r="5" ht="42" customHeight="1" s="59">
      <c r="A5" s="63" t="inlineStr">
        <is>
          <t>PL-004</t>
        </is>
      </c>
      <c r="B5" s="63" t="inlineStr">
        <is>
          <t>Тальбот, калотип, негатив-позитив</t>
        </is>
      </c>
      <c r="C5" s="63" t="inlineStr">
        <is>
          <t>PL-HIST-0019…0026, 0029…0035</t>
        </is>
      </c>
      <c r="D5" s="63" t="inlineStr">
        <is>
          <t>Идея копирования победила: один негатив может дать много отпечатков.</t>
        </is>
      </c>
      <c r="E5" s="63" t="inlineStr">
        <is>
          <t>основа готова</t>
        </is>
      </c>
      <c r="F5" s="62" t="inlineStr">
        <is>
          <t>https://t.me/photolab_vf_pro/4/64</t>
        </is>
      </c>
    </row>
    <row r="6" ht="42" customHeight="1" s="59">
      <c r="A6" s="63" t="inlineStr">
        <is>
          <t>PL-005</t>
        </is>
      </c>
      <c r="B6" s="63" t="inlineStr">
        <is>
          <t>Мокрый коллодий</t>
        </is>
      </c>
      <c r="C6" s="63" t="inlineStr">
        <is>
          <t>PL-HIST-0041…0048</t>
        </is>
      </c>
      <c r="D6" s="63" t="inlineStr">
        <is>
          <t>Резкость дагеротипа и тираж калотипа встретились на стеклянной влажной пластине.</t>
        </is>
      </c>
      <c r="E6" s="63" t="inlineStr">
        <is>
          <t>основа готова</t>
        </is>
      </c>
      <c r="F6" s="62" t="inlineStr">
        <is>
          <t>https://t.me/photolab_vf_pro/4/69</t>
        </is>
      </c>
    </row>
    <row r="7" ht="42" customHeight="1" s="59">
      <c r="A7" s="63" t="inlineStr">
        <is>
          <t>PL-006</t>
        </is>
      </c>
      <c r="B7" s="63" t="inlineStr">
        <is>
          <t>Сухие желатиновые пластины</t>
        </is>
      </c>
      <c r="C7" s="63" t="inlineStr">
        <is>
          <t>PL-HIST-0049…0058</t>
        </is>
      </c>
      <c r="D7" s="63" t="inlineStr">
        <is>
          <t>Фотография освобождается от немедленной полевой химии: пластину можно купить, хранить, экспонировать и проявлять позже.</t>
        </is>
      </c>
      <c r="E7" s="63" t="inlineStr">
        <is>
          <t>основа заполнена</t>
        </is>
      </c>
      <c r="F7" s="62" t="inlineStr">
        <is>
          <t>https://t.me/photolab_vf_pro/4/75</t>
        </is>
      </c>
    </row>
    <row r="8" ht="17" customHeight="1" s="59">
      <c r="A8" s="62" t="inlineStr">
        <is>
          <t>PL-007</t>
        </is>
      </c>
      <c r="B8" s="62" t="inlineStr">
        <is>
          <t>Рулонная плёнка и Kodak</t>
        </is>
      </c>
      <c r="C8" s="62" t="inlineStr">
        <is>
          <t>PL-HIST-0059…0068</t>
        </is>
      </c>
      <c r="D8" s="62" t="inlineStr">
        <is>
          <t>Фотография освобождается от стеклянной пластины: рулонный носитель, Kodak и сервис обработки делают съёмку проще и ближе к массовому пользователю.</t>
        </is>
      </c>
      <c r="E8" s="62" t="inlineStr">
        <is>
          <t>основа заполнена</t>
        </is>
      </c>
      <c r="F8" s="62" t="inlineStr">
        <is>
          <t>https://t.me/photolab_vf_pro/4/105</t>
        </is>
      </c>
    </row>
    <row r="9" ht="28" customHeight="1" s="59">
      <c r="A9" s="62" t="inlineStr">
        <is>
          <t>PL-008</t>
        </is>
      </c>
      <c r="B9" s="62" t="inlineStr">
        <is>
          <t>Brownie и snapshot-культура</t>
        </is>
      </c>
      <c r="C9" s="62" t="inlineStr">
        <is>
          <t>PL-HIST-0069…0078</t>
        </is>
      </c>
      <c r="D9" s="62" t="inlineStr">
        <is>
          <t>Фотография становится дешёвой и повседневной: обычные люди начинают снимать семью, поездки, детей и частную жизнь.</t>
        </is>
      </c>
      <c r="E9" s="62" t="inlineStr">
        <is>
          <t>основа заполнена</t>
        </is>
      </c>
      <c r="F9" s="62" t="inlineStr">
        <is>
          <t>https://t.me/photolab_vf_pro/4/110</t>
        </is>
      </c>
    </row>
    <row r="10" ht="28" customHeight="1" s="59">
      <c r="A10" s="62" t="inlineStr">
        <is>
          <t>PL-009</t>
        </is>
      </c>
      <c r="B10" s="62" t="inlineStr">
        <is>
          <t>35 мм</t>
        </is>
      </c>
      <c r="C10" s="62" t="inlineStr">
        <is>
          <t>PL-HIST-0079…0088</t>
        </is>
      </c>
      <c r="D10" s="62" t="inlineStr">
        <is>
          <t>35 мм родился в кино, но стал языком компактной фотографии: киноплёнка превратилась в маленький кадр 24×36 и открыла путь Leica.</t>
        </is>
      </c>
      <c r="E10" s="62" t="inlineStr">
        <is>
          <t>основа заполнена</t>
        </is>
      </c>
      <c r="F10" s="62" t="inlineStr">
        <is>
          <t>https://t.me/photolab_vf_pro/4/118</t>
        </is>
      </c>
    </row>
    <row r="11" ht="42" customHeight="1" s="59">
      <c r="A11" s="62" t="inlineStr">
        <is>
          <t>PL-010</t>
        </is>
      </c>
      <c r="B11" s="62" t="inlineStr">
        <is>
          <t>Leica I</t>
        </is>
      </c>
      <c r="C11" s="62" t="inlineStr">
        <is>
          <t>PL-HIST-0089…0098</t>
        </is>
      </c>
      <c r="D11" s="62" t="inlineStr">
        <is>
          <t>Leica I сделала 35 мм не просто форматом плёнки, а языком мобильной фотографии: маленькая камера стала серьёзным инструментом репортажа, улицы и повседневного наблюдения.</t>
        </is>
      </c>
      <c r="E11" s="62" t="inlineStr">
        <is>
          <t>основа заполнена</t>
        </is>
      </c>
      <c r="F11" s="62" t="inlineStr">
        <is>
          <t>https://t.me/photolab_vf_pro/4/131</t>
        </is>
      </c>
    </row>
    <row r="12" ht="42" customHeight="1" s="59">
      <c r="A12" s="62" t="inlineStr">
        <is>
          <t>PL-011</t>
        </is>
      </c>
      <c r="B12" s="62" t="inlineStr">
        <is>
          <t>Плёнка как светочувствительный материал</t>
        </is>
      </c>
      <c r="C12" s="62" t="inlineStr">
        <is>
          <t>PL-HIST-0099…0109</t>
        </is>
      </c>
      <c r="D12" s="62" t="inlineStr">
        <is>
          <t>Плёнка — это не просто катушка, а многослойный светочувствительный материал: гибкая основа, эмульсия, серебряные соли, скрытое изображение и служебные слои.</t>
        </is>
      </c>
      <c r="E12" s="62" t="inlineStr">
        <is>
          <t>основа заполнена</t>
        </is>
      </c>
      <c r="F12" s="62" t="inlineStr">
        <is>
          <t>https://t.me/photolab_vf_pro/4/145</t>
        </is>
      </c>
    </row>
    <row r="13" ht="28" customHeight="1" s="59">
      <c r="A13" s="62" t="inlineStr">
        <is>
          <t>PL-012</t>
        </is>
      </c>
      <c r="B13" s="62" t="inlineStr">
        <is>
          <t>Эмульсия: как свет становится изображением</t>
        </is>
      </c>
      <c r="C13" s="62" t="inlineStr">
        <is>
          <t>PL-HIST-0110…0120</t>
        </is>
      </c>
      <c r="D13" s="62" t="inlineStr">
        <is>
          <t>Эмульсия — это рабочий светочувствительный слой: желатин удерживает кристаллы галогенидов серебра, свет создаёт скрытое изображение, проявитель делает его видимым, а фиксаж закрепляет результат.</t>
        </is>
      </c>
      <c r="E13" s="62" t="inlineStr">
        <is>
          <t>основа заполнена</t>
        </is>
      </c>
      <c r="F13" s="62" t="inlineStr">
        <is>
          <t>https://t.me/photolab_vf_pro/4/151</t>
        </is>
      </c>
    </row>
    <row r="14">
      <c r="A14" s="62" t="inlineStr">
        <is>
          <t>PL-013</t>
        </is>
      </c>
      <c r="B14" s="62" t="inlineStr">
        <is>
          <t>Негатив и позитив</t>
        </is>
      </c>
      <c r="C14" s="62" t="inlineStr">
        <is>
          <t>PL-HIST-0121…0131</t>
        </is>
      </c>
      <c r="D14" s="62" t="inlineStr">
        <is>
          <t>Негатив — это не «испорченная фотография», а промежуточная матрица: из неё можно получить читаемый позитив, тиражировать изображение и управлять печатью.</t>
        </is>
      </c>
      <c r="E14" s="62" t="inlineStr">
        <is>
          <t>основа заполнена</t>
        </is>
      </c>
      <c r="F14" s="62" t="inlineStr">
        <is>
          <t>https://t.me/photolab_vf_pro/4/162</t>
        </is>
      </c>
    </row>
    <row r="15">
      <c r="A15" s="62" t="inlineStr">
        <is>
          <t>PL-014</t>
        </is>
      </c>
      <c r="B15" s="62" t="inlineStr">
        <is>
          <t>Позитив</t>
        </is>
      </c>
      <c r="C15" s="62" t="inlineStr">
        <is>
          <t>PL-HIST-0132…0142</t>
        </is>
      </c>
      <c r="D15" s="62" t="inlineStr">
        <is>
          <t>Позитив — это читаемая финальная форма изображения: бумажный отпечаток, прозрачность, слайд или мгновенная фотография, которую уже видит зритель.</t>
        </is>
      </c>
      <c r="E15" s="62" t="inlineStr">
        <is>
          <t>основа заполнена</t>
        </is>
      </c>
      <c r="F15" s="62" t="inlineStr">
        <is>
          <t>https://t.me/photolab_vf_pro/4/168</t>
        </is>
      </c>
    </row>
    <row r="16">
      <c r="A16" s="62" t="inlineStr">
        <is>
          <t>PL-015</t>
        </is>
      </c>
      <c r="B16" s="62" t="inlineStr">
        <is>
          <t>Чёрно-белая плёнка</t>
        </is>
      </c>
      <c r="C16" s="62" t="inlineStr">
        <is>
          <t>PL-HIST-0143…0153</t>
        </is>
      </c>
      <c r="D16" s="62" t="inlineStr">
        <is>
          <t>Чёрно-белая плёнка — это не просто отсутствие цвета, а отдельный материал и язык: серебро, тон, контраст, зерно, проявка и управляемый характер изображения.</t>
        </is>
      </c>
      <c r="E16" s="62" t="inlineStr">
        <is>
          <t>основа заполнена</t>
        </is>
      </c>
      <c r="F16" s="62" t="inlineStr">
        <is>
          <t>https://t.me/photolab_vf_pro/4/173</t>
        </is>
      </c>
    </row>
    <row r="17">
      <c r="A17" t="inlineStr">
        <is>
          <t>PL-016</t>
        </is>
      </c>
      <c r="B17" t="inlineStr">
        <is>
          <t>Цветная негативная плёнка</t>
        </is>
      </c>
      <c r="C17" t="inlineStr">
        <is>
          <t>PL-HIST-0154…0164</t>
        </is>
      </c>
      <c r="D17" t="inlineStr">
        <is>
          <t>Цветной негатив — это не готовая картинка, а цветная матрица: несколько слоёв, красители, оранжевая маска и процесс C-41 превращают сцену в материал для печати или сканирования.</t>
        </is>
      </c>
      <c r="E17" t="inlineStr">
        <is>
          <t>основа заполнена</t>
        </is>
      </c>
      <c r="F17" t="inlineStr">
        <is>
          <t>https://t.me/photolab_vf_pro/4/181</t>
        </is>
      </c>
    </row>
    <row r="18">
      <c r="A18" s="62" t="inlineStr">
        <is>
          <t>PL-017</t>
        </is>
      </c>
      <c r="B18" s="62" t="inlineStr">
        <is>
          <t>Слайдовая плёнка</t>
        </is>
      </c>
      <c r="C18" s="62" t="inlineStr">
        <is>
          <t>PL-HIST-0165…0175</t>
        </is>
      </c>
      <c r="D18" s="62" t="inlineStr">
        <is>
          <t>Слайдовая плёнка — это позитивная прозрачность: реверсивный процесс даёт готовое изображение прямо на плёнке, поэтому цвет, проекция и экспозиция требуют большей точности.</t>
        </is>
      </c>
      <c r="E18" s="62" t="inlineStr">
        <is>
          <t>основа заполнена</t>
        </is>
      </c>
      <c r="F18" s="62" t="inlineStr">
        <is>
          <t>https://t.me/photolab_vf_pro</t>
        </is>
      </c>
    </row>
    <row r="19">
      <c r="A19" s="62" t="inlineStr">
        <is>
          <t>PL-018</t>
        </is>
      </c>
      <c r="B19" s="62" t="inlineStr">
        <is>
          <t>ISO плёнки</t>
        </is>
      </c>
      <c r="C19" s="62" t="inlineStr">
        <is>
          <t>PL-HIST-0176…0186</t>
        </is>
      </c>
      <c r="D19" s="62" t="inlineStr">
        <is>
          <t>ISO — это язык светочувствительности плёнки: число на коробке помогает выбрать материал под свет, связать его с выдержкой/диафрагмой и понять разницу между box speed, EI и push/pull.</t>
        </is>
      </c>
      <c r="E19" s="62" t="inlineStr">
        <is>
          <t>основа заполнена</t>
        </is>
      </c>
      <c r="F19" s="62" t="inlineStr">
        <is>
          <t>https://t.me/photolab_vf_pro</t>
        </is>
      </c>
    </row>
    <row r="20">
      <c r="A20" t="inlineStr">
        <is>
          <t>PL-019</t>
        </is>
      </c>
      <c r="B20" t="inlineStr">
        <is>
          <t>Зерно</t>
        </is>
      </c>
      <c r="C20" t="inlineStr">
        <is>
          <t>PL-HIST-0187…0197</t>
        </is>
      </c>
      <c r="D20" t="inlineStr">
        <is>
          <t>Зерно — это не цифровой шум и не просто дефект, а материальная фактура плёнки: кристаллы, эмульсия, ISO, проявитель, сканирование и печать формируют характер изображения.</t>
        </is>
      </c>
      <c r="E20" t="inlineStr">
        <is>
          <t>основа заполнена</t>
        </is>
      </c>
      <c r="F20" t="inlineStr">
        <is>
          <t>https://t.me/photolab_vf_pro</t>
        </is>
      </c>
    </row>
    <row r="21">
      <c r="A21" t="inlineStr">
        <is>
          <t>PL-020</t>
        </is>
      </c>
      <c r="B21" t="inlineStr">
        <is>
          <t>Экспозиционная широта</t>
        </is>
      </c>
      <c r="C21" t="inlineStr">
        <is>
          <t>PL-HIST-0198…0208</t>
        </is>
      </c>
      <c r="D21" t="inlineStr">
        <is>
          <t>Экспозиционная широта — это запас материала: плёнка может выдержать часть ошибок экспозиции, но тени, света, контраст, зерно и печать всё равно меняются.</t>
        </is>
      </c>
      <c r="E21" t="inlineStr">
        <is>
          <t>основа заполнена</t>
        </is>
      </c>
      <c r="F21" t="inlineStr">
        <is>
          <t>https://t.me/photolab_vf_pro</t>
        </is>
      </c>
    </row>
    <row r="22">
      <c r="A22" t="inlineStr">
        <is>
          <t>будущие PL</t>
        </is>
      </c>
      <c r="B22" t="inlineStr">
        <is>
          <t>Расширение после PL-020</t>
        </is>
      </c>
      <c r="C22" t="inlineStr">
        <is>
          <t>Плёночные камеры, механика, автоматика, дальномерные и зеркальные системы</t>
        </is>
      </c>
      <c r="D22" t="inlineStr">
        <is>
          <t>После материала плёнки курс переходит к устройству камер: как камера держит плёнку, открывает путь свету и помогает управлять кадром.</t>
        </is>
      </c>
      <c r="E22" t="inlineStr">
        <is>
          <t>планируется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7"/>
  <sheetViews>
    <sheetView workbookViewId="0">
      <selection activeCell="A1" sqref="A1"/>
    </sheetView>
  </sheetViews>
  <sheetFormatPr baseColWidth="10" defaultColWidth="8.6640625" defaultRowHeight="13"/>
  <cols>
    <col width="14" customWidth="1" style="59" min="1" max="1"/>
    <col width="42" customWidth="1" style="59" min="2" max="2"/>
    <col width="70" customWidth="1" style="59" min="3" max="3"/>
    <col width="42" customWidth="1" style="59" min="4" max="4"/>
    <col width="30" customWidth="1" style="59" min="5" max="5"/>
  </cols>
  <sheetData>
    <row r="1" ht="37" customHeight="1" s="59">
      <c r="A1" s="66" t="inlineStr">
        <is>
          <t>Источник ID</t>
        </is>
      </c>
      <c r="B1" s="66" t="inlineStr">
        <is>
          <t>Название</t>
        </is>
      </c>
      <c r="C1" s="66" t="inlineStr">
        <is>
          <t>URL</t>
        </is>
      </c>
      <c r="D1" s="66" t="inlineStr">
        <is>
          <t>Используется для</t>
        </is>
      </c>
      <c r="E1" s="66" t="inlineStr">
        <is>
          <t>Примечание</t>
        </is>
      </c>
    </row>
    <row r="2" ht="42" customHeight="1" s="59">
      <c r="A2" s="4" t="inlineStr">
        <is>
          <t>SRC-001</t>
        </is>
      </c>
      <c r="B2" s="4" t="inlineStr">
        <is>
          <t>AramcoWorld — Ibn al-Haytham: Testing is Believing</t>
        </is>
      </c>
      <c r="C2" s="4" t="inlineStr">
        <is>
          <t>https://www.aramcoworld.com/en/articles/2023/ibn-al-haytham-testing-is-believing</t>
        </is>
      </c>
      <c r="D2" s="4" t="inlineStr">
        <is>
          <t>Ибн аль-Хайсам, камера-обскура, прямолинейное распространение света</t>
        </is>
      </c>
      <c r="E2" s="4" t="inlineStr">
        <is>
          <t>вводный источник</t>
        </is>
      </c>
    </row>
    <row r="3" ht="42" customHeight="1" s="59">
      <c r="A3" s="4" t="inlineStr">
        <is>
          <t>SRC-002</t>
        </is>
      </c>
      <c r="B3" s="4" t="inlineStr">
        <is>
          <t>IMSS / Museo Galileo — Camera Obscura</t>
        </is>
      </c>
      <c r="C3" s="4" t="inlineStr">
        <is>
          <t>https://redi.imss.fi.it/inventions/index.php/Camera_Obscura</t>
        </is>
      </c>
      <c r="D3" s="4" t="inlineStr">
        <is>
          <t>Cardano, Della Porta, линза в камере-обскуре</t>
        </is>
      </c>
      <c r="E3" s="4" t="inlineStr">
        <is>
          <t>музейный образовательный источник</t>
        </is>
      </c>
    </row>
    <row r="4" ht="42" customHeight="1" s="59">
      <c r="A4" s="4" t="inlineStr">
        <is>
          <t>SRC-003</t>
        </is>
      </c>
      <c r="B4" s="4" t="inlineStr">
        <is>
          <t>Max Planck Institute — Camera Obscura PDF</t>
        </is>
      </c>
      <c r="C4" s="4" t="inlineStr">
        <is>
          <t>https://www.mpiwg-berlin.mpg.de/sites/default/files/Preprints/P307.pdf</t>
        </is>
      </c>
      <c r="D4" s="4" t="inlineStr">
        <is>
          <t>Kepler, термин camera obscura, развитие оптических приборов</t>
        </is>
      </c>
      <c r="E4" s="4" t="inlineStr">
        <is>
          <t>академический PDF</t>
        </is>
      </c>
    </row>
    <row r="5" ht="42" customHeight="1" s="59">
      <c r="A5" s="4" t="inlineStr">
        <is>
          <t>SRC-004</t>
        </is>
      </c>
      <c r="B5" s="4" t="inlineStr">
        <is>
          <t>Public Domain Review — Johann Zahn's Oculus Artificialis</t>
        </is>
      </c>
      <c r="C5" s="4" t="inlineStr">
        <is>
          <t>https://publicdomainreview.org/collection/images-from-johann-zahn-s-oculus-artificialis-1685</t>
        </is>
      </c>
      <c r="D5" s="4" t="inlineStr">
        <is>
          <t>Johann Zahn, portable camera obscura</t>
        </is>
      </c>
      <c r="E5" s="4" t="inlineStr">
        <is>
          <t>источник по историческим изображениям</t>
        </is>
      </c>
    </row>
    <row r="6" ht="42" customHeight="1" s="59">
      <c r="A6" s="4" t="inlineStr">
        <is>
          <t>SRC-005</t>
        </is>
      </c>
      <c r="B6" s="4" t="inlineStr">
        <is>
          <t>Swiss Camera Museum — Johann Heinrich Schulze</t>
        </is>
      </c>
      <c r="C6" s="4" t="inlineStr">
        <is>
          <t>https://www.cameramuseum.ch/en/discover/permanent-exhibition/the-origins-of-photography/the-precursors-johann-heinrich-schulze/</t>
        </is>
      </c>
      <c r="D6" s="4" t="inlineStr">
        <is>
          <t>Schulze, светочувствительность серебряных солей</t>
        </is>
      </c>
      <c r="E6" s="4" t="inlineStr">
        <is>
          <t>музейный источник</t>
        </is>
      </c>
    </row>
    <row r="7" ht="21" customHeight="1" s="59">
      <c r="A7" s="4" t="inlineStr">
        <is>
          <t>SRC-006</t>
        </is>
      </c>
      <c r="B7" s="4" t="inlineStr">
        <is>
          <t>Science History Institute — Silver and Sunlight</t>
        </is>
      </c>
      <c r="C7" s="4" t="inlineStr">
        <is>
          <t>https://www.sciencehistory.org/stories/magazine/silver-and-sunlight/</t>
        </is>
      </c>
      <c r="D7" s="4" t="inlineStr">
        <is>
          <t>Scheele, silver chloride, ammonia</t>
        </is>
      </c>
      <c r="E7" s="4" t="inlineStr">
        <is>
          <t>научно-исторический источник</t>
        </is>
      </c>
    </row>
    <row r="8" ht="42" customHeight="1" s="59">
      <c r="A8" s="4" t="inlineStr">
        <is>
          <t>SRC-007</t>
        </is>
      </c>
      <c r="B8" s="4" t="inlineStr">
        <is>
          <t>Swiss Camera Museum — Thomas Wedgwood</t>
        </is>
      </c>
      <c r="C8" s="4" t="inlineStr">
        <is>
          <t>https://www.cameramuseum.ch/en/discover/permanent-exhibition/the-origins-of-photography/the-precursors-thomas-wedgwood/</t>
        </is>
      </c>
      <c r="D8" s="4" t="inlineStr">
        <is>
          <t>Wedgwood, silver nitrate, early camera obscura attempts</t>
        </is>
      </c>
      <c r="E8" s="4" t="inlineStr">
        <is>
          <t>музейный источник</t>
        </is>
      </c>
    </row>
    <row r="9" ht="42" customHeight="1" s="59">
      <c r="A9" s="4" t="inlineStr">
        <is>
          <t>SRC-008</t>
        </is>
      </c>
      <c r="B9" s="4" t="inlineStr">
        <is>
          <t>Bodleian — Talbot Catalogue: Photogenic Drawing</t>
        </is>
      </c>
      <c r="C9" s="4" t="inlineStr">
        <is>
          <t>https://talbot.bodleian.ox.ac.uk/2017/02/17/an-account-of-the-processes-employed-in-photogenic-drawing/</t>
        </is>
      </c>
      <c r="D9" s="4" t="inlineStr">
        <is>
          <t>Talbot, Wedgwood/Davy, photogenic drawing</t>
        </is>
      </c>
      <c r="E9" s="4" t="inlineStr">
        <is>
          <t>архивный/исследовательский источник</t>
        </is>
      </c>
    </row>
    <row r="10" ht="21" customHeight="1" s="59">
      <c r="A10" s="4" t="inlineStr">
        <is>
          <t>SRC-009</t>
        </is>
      </c>
      <c r="B10" s="4" t="inlineStr">
        <is>
          <t>Smithsonian NMAH — Camera Lucida</t>
        </is>
      </c>
      <c r="C10" s="4" t="inlineStr">
        <is>
          <t>https://americanhistory.si.edu/collections/object/nmah_1184286</t>
        </is>
      </c>
      <c r="D10" s="4" t="inlineStr">
        <is>
          <t>Wollaston, Camera Lucida, 1806/1807</t>
        </is>
      </c>
      <c r="E10" s="4" t="inlineStr">
        <is>
          <t>музейная карточка предмета</t>
        </is>
      </c>
    </row>
    <row r="11" ht="42" customHeight="1" s="59">
      <c r="A11" s="4" t="inlineStr">
        <is>
          <t>SRC-010</t>
        </is>
      </c>
      <c r="B11" s="4" t="inlineStr">
        <is>
          <t>Harry Ransom Center — The Niépce Heliograph</t>
        </is>
      </c>
      <c r="C11" s="4" t="inlineStr">
        <is>
          <t>https://www.hrc.utexas.edu/niepce-heliograph/</t>
        </is>
      </c>
      <c r="D11" s="4" t="inlineStr">
        <is>
          <t>Niépce, View from the Window at Le Gras, heliography</t>
        </is>
      </c>
      <c r="E11" s="4" t="inlineStr">
        <is>
          <t>ключевой источник</t>
        </is>
      </c>
    </row>
    <row r="12" ht="42" customHeight="1" s="59">
      <c r="A12" s="4" t="inlineStr">
        <is>
          <t>SRC-011</t>
        </is>
      </c>
      <c r="B12" s="4" t="inlineStr">
        <is>
          <t>Maison Nicéphore Niépce — First experiments</t>
        </is>
      </c>
      <c r="C12" s="4" t="inlineStr">
        <is>
          <t>https://bicentennial-of-photography.org/niepce-and-the-invention-of-photography-niepce-s-first-experiments/</t>
        </is>
      </c>
      <c r="D12" s="4" t="inlineStr">
        <is>
          <t>Niépce 1816, исчезающие negative images</t>
        </is>
      </c>
      <c r="E12" s="4" t="inlineStr">
        <is>
          <t>музей/юбилейный проект</t>
        </is>
      </c>
    </row>
    <row r="13" ht="42" customHeight="1" s="59">
      <c r="A13" s="4" t="inlineStr">
        <is>
          <t>SRC-012</t>
        </is>
      </c>
      <c r="B13" s="4" t="inlineStr">
        <is>
          <t>Harvard Library — History of Photography Timeline</t>
        </is>
      </c>
      <c r="C13" s="4" t="inlineStr">
        <is>
          <t>https://photographpreservationprogram.hsites.harvard.edu/harvards-history-photography-timeline-text-only</t>
        </is>
      </c>
      <c r="D13" s="4" t="inlineStr">
        <is>
          <t>1826, 1839, Talbot, calotype, cyanotype, early medical photography, lantern slides</t>
        </is>
      </c>
      <c r="E13" s="4" t="inlineStr">
        <is>
          <t>университетская таймлайн-опора</t>
        </is>
      </c>
    </row>
    <row r="14" ht="42" customHeight="1" s="59">
      <c r="A14" s="4" t="inlineStr">
        <is>
          <t>SRC-013</t>
        </is>
      </c>
      <c r="B14" s="4" t="inlineStr">
        <is>
          <t>The Met — Daguerre and the Invention of Photography</t>
        </is>
      </c>
      <c r="C14" s="4" t="inlineStr">
        <is>
          <t>https://www.metmuseum.org/essays/daguerre-1787-1851-and-the-invention-of-photography</t>
        </is>
      </c>
      <c r="D14" s="4" t="inlineStr">
        <is>
          <t>Daguerre, Académie des Sciences, 1839</t>
        </is>
      </c>
      <c r="E14" s="4" t="inlineStr">
        <is>
          <t>музейный эссе-источник</t>
        </is>
      </c>
    </row>
    <row r="15" ht="42" customHeight="1" s="59">
      <c r="A15" s="4" t="inlineStr">
        <is>
          <t>SRC-014</t>
        </is>
      </c>
      <c r="B15" s="4" t="inlineStr">
        <is>
          <t>Library of Congress — Daguerreotype Medium</t>
        </is>
      </c>
      <c r="C15" s="4" t="inlineStr">
        <is>
          <t>https://www.loc.gov/collections/daguerreotypes/articles-and-essays/the-daguerreotype-medium</t>
        </is>
      </c>
      <c r="D15" s="4" t="inlineStr">
        <is>
          <t>daguerreotype as direct-positive process</t>
        </is>
      </c>
      <c r="E15" s="4" t="inlineStr">
        <is>
          <t>архивный источник</t>
        </is>
      </c>
    </row>
    <row r="16" ht="42" customHeight="1" s="59">
      <c r="A16" s="4" t="inlineStr">
        <is>
          <t>SRC-015</t>
        </is>
      </c>
      <c r="B16" s="4" t="inlineStr">
        <is>
          <t>Library of Congress — Calotype and Daguerreotype</t>
        </is>
      </c>
      <c r="C16" s="4" t="inlineStr">
        <is>
          <t>https://blogs.loc.gov/teachers/2018/09/pre-civil-war-photographic-technologies-the-calotype-and-daguerreotype/</t>
        </is>
      </c>
      <c r="D16" s="4" t="inlineStr">
        <is>
          <t>calotype as first negative-positive process</t>
        </is>
      </c>
      <c r="E16" s="4" t="inlineStr">
        <is>
          <t>архивный образовательный источник</t>
        </is>
      </c>
    </row>
    <row r="17" ht="42" customHeight="1" s="59">
      <c r="A17" s="4" t="inlineStr">
        <is>
          <t>SRC-016</t>
        </is>
      </c>
      <c r="B17" s="4" t="inlineStr">
        <is>
          <t>The Met — William Henry Fox Talbot</t>
        </is>
      </c>
      <c r="C17" s="4" t="inlineStr">
        <is>
          <t>https://www.metmuseum.org/essays/william-henry-fox-talbot-1800-1877-and-the-invention-of-photography</t>
        </is>
      </c>
      <c r="D17" s="4" t="inlineStr">
        <is>
          <t>Talbot, latent image, calotype, hypo, Pencil of Nature</t>
        </is>
      </c>
      <c r="E17" s="4" t="inlineStr">
        <is>
          <t>музейный эссе-источник</t>
        </is>
      </c>
    </row>
    <row r="18" ht="21" customHeight="1" s="59">
      <c r="A18" s="4" t="inlineStr">
        <is>
          <t>SRC-017</t>
        </is>
      </c>
      <c r="B18" s="4" t="inlineStr">
        <is>
          <t>Getty — Sir John F. W. Herschel</t>
        </is>
      </c>
      <c r="C18" s="4" t="inlineStr">
        <is>
          <t>https://www.getty.edu/art/collection/person/103KHK</t>
        </is>
      </c>
      <c r="D18" s="4" t="inlineStr">
        <is>
          <t>Herschel, terminology, cyanotype context</t>
        </is>
      </c>
      <c r="E18" s="4" t="inlineStr">
        <is>
          <t>музейная биография</t>
        </is>
      </c>
    </row>
    <row r="19" ht="42" customHeight="1" s="59">
      <c r="A19" s="4" t="inlineStr">
        <is>
          <t>SRC-018</t>
        </is>
      </c>
      <c r="B19" s="4" t="inlineStr">
        <is>
          <t>HNOC — Cyanotype Process</t>
        </is>
      </c>
      <c r="C19" s="4" t="inlineStr">
        <is>
          <t>https://hnoc.org/virtual-exhibitions/from_daguerreotype_to_digital/cyanotype-process</t>
        </is>
      </c>
      <c r="D19" s="4" t="inlineStr">
        <is>
          <t>Herschel, cyanotype 1842</t>
        </is>
      </c>
      <c r="E19" s="4" t="inlineStr">
        <is>
          <t>музейный образовательный источник</t>
        </is>
      </c>
    </row>
    <row r="20" ht="42" customHeight="1" s="59">
      <c r="A20" s="4" t="inlineStr">
        <is>
          <t>SRC-019</t>
        </is>
      </c>
      <c r="B20" s="4" t="inlineStr">
        <is>
          <t>Natural History Museum — Anna Atkins's cyanotypes</t>
        </is>
      </c>
      <c r="C20" s="4" t="inlineStr">
        <is>
          <t>https://www.nhm.ac.uk/discover/anna-atkins-cyanotypes-the-first-book-of-photographs.html</t>
        </is>
      </c>
      <c r="D20" s="4" t="inlineStr">
        <is>
          <t>Anna Atkins, Photographs of British Algae</t>
        </is>
      </c>
      <c r="E20" s="4" t="inlineStr">
        <is>
          <t>музейный источник</t>
        </is>
      </c>
    </row>
    <row r="21" ht="42" customHeight="1" s="59">
      <c r="A21" s="4" t="inlineStr">
        <is>
          <t>SRC-020</t>
        </is>
      </c>
      <c r="B21" s="4" t="inlineStr">
        <is>
          <t>V&amp;A — Photography Processes and Techniques</t>
        </is>
      </c>
      <c r="C21" s="4" t="inlineStr">
        <is>
          <t>https://www.vam.ac.uk/info/collection-selection-boxes-photography-processes-and-techniques</t>
        </is>
      </c>
      <c r="D21" s="4" t="inlineStr">
        <is>
          <t>salt print, albumen print, wet collodion process</t>
        </is>
      </c>
      <c r="E21" s="4" t="inlineStr">
        <is>
          <t>музейный источник</t>
        </is>
      </c>
    </row>
    <row r="22" ht="42" customHeight="1" s="59">
      <c r="A22" s="4" t="inlineStr">
        <is>
          <t>SRC-021</t>
        </is>
      </c>
      <c r="B22" s="4" t="inlineStr">
        <is>
          <t>National Science and Media Museum — Frederick Scott Archer</t>
        </is>
      </c>
      <c r="C22" s="4" t="inlineStr">
        <is>
          <t>https://blog.scienceandmediamuseum.org.uk/photography-a-z-frederick-scott-archer-wet-collodion-process/</t>
        </is>
      </c>
      <c r="D22" s="4" t="inlineStr">
        <is>
          <t>Archer, wet collodion, 1851, process details</t>
        </is>
      </c>
      <c r="E22" s="4" t="inlineStr">
        <is>
          <t>музейный блог</t>
        </is>
      </c>
    </row>
    <row r="23" ht="42" customHeight="1" s="59">
      <c r="A23" s="4" t="inlineStr">
        <is>
          <t>SRC-022</t>
        </is>
      </c>
      <c r="B23" s="4" t="inlineStr">
        <is>
          <t>Library of Congress — Ambrotypes and Tintypes</t>
        </is>
      </c>
      <c r="C23" s="4" t="inlineStr">
        <is>
          <t>https://www.loc.gov/collections/liljenquist-civil-war-photographs/articles-and-essays/ambrotypes-and-tintypes/</t>
        </is>
      </c>
      <c r="D23" s="4" t="inlineStr">
        <is>
          <t>ambrotype, tintype, Cutting patent, 1854</t>
        </is>
      </c>
      <c r="E23" s="4" t="inlineStr">
        <is>
          <t>архивный источник</t>
        </is>
      </c>
    </row>
    <row r="24" ht="21" customHeight="1" s="59">
      <c r="A24" s="4" t="inlineStr">
        <is>
          <t>SRC-023</t>
        </is>
      </c>
      <c r="B24" s="4" t="inlineStr">
        <is>
          <t>National Gallery of Canada — The Calotype Process</t>
        </is>
      </c>
      <c r="C24" s="4" t="inlineStr">
        <is>
          <t>https://www.gallery.ca/photo-blog/the-calotype-process</t>
        </is>
      </c>
      <c r="D24" s="4" t="inlineStr">
        <is>
          <t>photogenic drawing 1834, calotype context</t>
        </is>
      </c>
      <c r="E24" s="4" t="inlineStr">
        <is>
          <t>музейный источник</t>
        </is>
      </c>
    </row>
    <row r="25" ht="42" customHeight="1" s="59">
      <c r="A25" s="4" t="inlineStr">
        <is>
          <t>SRC-024</t>
        </is>
      </c>
      <c r="B25" s="4" t="inlineStr">
        <is>
          <t>Royal Society / Google Arts &amp; Culture — Stereoscopy</t>
        </is>
      </c>
      <c r="C25" s="4" t="inlineStr">
        <is>
          <t>https://artsandculture.google.com/story/stereoscopy-the-birth-of-3d-technology-the-royal-society/pwWRTNS-hqDN5g</t>
        </is>
      </c>
      <c r="D25" s="4" t="inlineStr">
        <is>
          <t>Wheatstone, stereoscopy 1838</t>
        </is>
      </c>
      <c r="E25" s="4" t="inlineStr">
        <is>
          <t>общественно-научный источник</t>
        </is>
      </c>
    </row>
    <row r="26" ht="42" customHeight="1" s="59">
      <c r="A26" s="4" t="inlineStr">
        <is>
          <t>SRC-025</t>
        </is>
      </c>
      <c r="B26" s="4" t="inlineStr">
        <is>
          <t>Getty Conservation Institute — Atlas: Salt Print PDF</t>
        </is>
      </c>
      <c r="C26" s="4" t="inlineStr">
        <is>
          <t>https://www.getty.edu/conservation/publications_resources/pdf_publications/pdf/atlas_saltprint.pdf</t>
        </is>
      </c>
      <c r="D26" s="4" t="inlineStr">
        <is>
          <t>salt print chemistry, Scheele, Wedgwood context</t>
        </is>
      </c>
      <c r="E26" s="4" t="inlineStr">
        <is>
          <t>технический PDF</t>
        </is>
      </c>
    </row>
    <row r="27" ht="42" customHeight="1" s="59">
      <c r="A27" s="4" t="inlineStr">
        <is>
          <t>SRC-026</t>
        </is>
      </c>
      <c r="B27" s="4" t="inlineStr">
        <is>
          <t>V&amp;A — A to Z of photographic processes</t>
        </is>
      </c>
      <c r="C27" s="4" t="inlineStr">
        <is>
          <t>https://www.vam.ac.uk/articles/photographic-processes</t>
        </is>
      </c>
      <c r="D27" s="4" t="inlineStr">
        <is>
          <t>общий перечень процессов для последующих версий</t>
        </is>
      </c>
      <c r="E27" s="4" t="inlineStr">
        <is>
          <t>дополнительный справочник</t>
        </is>
      </c>
    </row>
    <row r="28" ht="31" customHeight="1" s="59">
      <c r="A28" s="3" t="inlineStr">
        <is>
          <t>SRC-027</t>
        </is>
      </c>
      <c r="B28" s="3" t="inlineStr">
        <is>
          <t>National Science and Media Museum — Kodak and Ilford camera factories</t>
        </is>
      </c>
      <c r="C28" s="3" t="inlineStr">
        <is>
          <t>https://www.scienceandmediamuseum.org.uk/objects-and-stories/kodak-ilford-camera-factories-1930s</t>
        </is>
      </c>
      <c r="D28" s="3" t="inlineStr">
        <is>
          <t>Maddox 1871, Burgess/Kennett/Bennett improvements, Liverpool Dry Plate Company 1874</t>
        </is>
      </c>
      <c r="E28" s="3" t="inlineStr">
        <is>
          <t>музейный источник</t>
        </is>
      </c>
    </row>
    <row r="29" ht="31" customHeight="1" s="59">
      <c r="A29" s="3" t="inlineStr">
        <is>
          <t>SRC-028</t>
        </is>
      </c>
      <c r="B29" s="3" t="inlineStr">
        <is>
          <t>National Science and Media Museum — A brief guide to photographs on glass</t>
        </is>
      </c>
      <c r="C29" s="3" t="inlineStr">
        <is>
          <t>https://blog.scienceandmediamuseum.org.uk/a-brief-guide-to-photographs-on-glass/</t>
        </is>
      </c>
      <c r="D29" s="3" t="inlineStr">
        <is>
          <t>dry plate 1871, manufacture 1878, replacement of wet collodion, storage benefits</t>
        </is>
      </c>
      <c r="E29" s="3" t="inlineStr">
        <is>
          <t>музейный блог</t>
        </is>
      </c>
    </row>
    <row r="30" ht="31" customHeight="1" s="59">
      <c r="A30" s="3" t="inlineStr">
        <is>
          <t>SRC-029</t>
        </is>
      </c>
      <c r="B30" s="3" t="inlineStr">
        <is>
          <t>Swiss Camera Museum — Gelatine bromide plates</t>
        </is>
      </c>
      <c r="C30" s="3" t="inlineStr">
        <is>
          <t>https://www.cameramuseum.ch/en/discover/permanent-exhibition/the-plate-era/gelatine-bromide-plates/</t>
        </is>
      </c>
      <c r="D30" s="3" t="inlineStr">
        <is>
          <t>Maddox 1871, Bennett 1878, heating emulsion, 1/25 second exposure</t>
        </is>
      </c>
      <c r="E30" s="3" t="inlineStr">
        <is>
          <t>музейный источник</t>
        </is>
      </c>
    </row>
    <row r="31" ht="31" customHeight="1" s="59">
      <c r="A31" s="3" t="inlineStr">
        <is>
          <t>SRC-030</t>
        </is>
      </c>
      <c r="B31" s="3" t="inlineStr">
        <is>
          <t>Cornell Library — Dawn's Early Light: Towards Modern Photography</t>
        </is>
      </c>
      <c r="C31" s="3" t="inlineStr">
        <is>
          <t>https://rmc.library.cornell.edu/DawnsEarlyLight/exhibition/modernphotography/index.html</t>
        </is>
      </c>
      <c r="D31" s="3" t="inlineStr">
        <is>
          <t>dry plate 1871/1878, faster exposure, motion, norm by late 1880s</t>
        </is>
      </c>
      <c r="E31" s="3" t="inlineStr">
        <is>
          <t>университетская выставка</t>
        </is>
      </c>
    </row>
    <row r="32" ht="31" customHeight="1" s="59">
      <c r="A32" s="3" t="inlineStr">
        <is>
          <t>SRC-031</t>
        </is>
      </c>
      <c r="B32" s="3" t="inlineStr">
        <is>
          <t>Kodak — History</t>
        </is>
      </c>
      <c r="C32" s="3" t="inlineStr">
        <is>
          <t>https://www.kodak.com/en/company/page/history/</t>
        </is>
      </c>
      <c r="D32" s="3" t="inlineStr">
        <is>
          <t>Eastman commercial dry plates in 1880, Eastman Dry Plate Company 1881</t>
        </is>
      </c>
      <c r="E32" s="3" t="inlineStr">
        <is>
          <t>официальная история компании</t>
        </is>
      </c>
    </row>
    <row r="33" ht="31" customHeight="1" s="59">
      <c r="A33" s="3" t="inlineStr">
        <is>
          <t>SRC-032</t>
        </is>
      </c>
      <c r="B33" s="3" t="inlineStr">
        <is>
          <t>Kodak — George Eastman History</t>
        </is>
      </c>
      <c r="C33" s="3" t="inlineStr">
        <is>
          <t>https://www.kodak.com/en/company/page/george-eastman-history/</t>
        </is>
      </c>
      <c r="D33" s="3" t="inlineStr">
        <is>
          <t>Eastman and Strong, Eastman Dry Plate Company on January 1, 1881</t>
        </is>
      </c>
      <c r="E33" s="3" t="inlineStr">
        <is>
          <t>официальная история компании</t>
        </is>
      </c>
    </row>
    <row r="34" ht="31" customHeight="1" s="59">
      <c r="A34" s="3" t="inlineStr">
        <is>
          <t>SRC-033</t>
        </is>
      </c>
      <c r="B34" s="3" t="inlineStr">
        <is>
          <t>Smithsonian Institution Archives — Gelatin Dry Plate Negatives</t>
        </is>
      </c>
      <c r="C34" s="3" t="inlineStr">
        <is>
          <t>https://siarchives.si.edu/blog/highlight-photo-cold-vault-gelatin-dry-plate-negatives</t>
        </is>
      </c>
      <c r="D34" s="3" t="inlineStr">
        <is>
          <t>dry plates as popular negative from 1880 to 1900, benefits versus wet collodion</t>
        </is>
      </c>
      <c r="E34" s="3" t="inlineStr">
        <is>
          <t>архивный музейный источник</t>
        </is>
      </c>
    </row>
    <row r="35" ht="31" customHeight="1" s="59">
      <c r="A35" s="3" t="inlineStr">
        <is>
          <t>SRC-034</t>
        </is>
      </c>
      <c r="B35" s="3" t="inlineStr">
        <is>
          <t>George Eastman Museum — Dry Plates in the Woods</t>
        </is>
      </c>
      <c r="C35" s="3" t="inlineStr">
        <is>
          <t>https://www.eastman.org/blog/dry-plates-woods-using-19th-century-photographic-processes-capture-letchworth-state-park</t>
        </is>
      </c>
      <c r="D35" s="3" t="inlineStr">
        <is>
          <t>dry plates coated with gelatin emulsion, practical freedom, Eastman's role</t>
        </is>
      </c>
      <c r="E35" s="3" t="inlineStr">
        <is>
          <t>музейный источник</t>
        </is>
      </c>
    </row>
    <row r="36" ht="28" customHeight="1" s="59">
      <c r="A36" s="8" t="inlineStr">
        <is>
          <t>SRC-035</t>
        </is>
      </c>
      <c r="B36" s="8" t="inlineStr">
        <is>
          <t>Science Museum Group — Eastman-Walker roll holder</t>
        </is>
      </c>
      <c r="C36" s="8" t="inlineStr">
        <is>
          <t>https://collection.sciencemuseumgroup.org.uk/objects/co15879/eastman-walker-roll-holder</t>
        </is>
      </c>
      <c r="D36" s="8" t="inlineStr">
        <is>
          <t>Eastman-Walker roll holder, 1885, made by Eastman Dry Plate and Film Company</t>
        </is>
      </c>
      <c r="E36" s="8" t="inlineStr">
        <is>
          <t>музейная карточка предмета</t>
        </is>
      </c>
    </row>
    <row r="37" ht="42" customHeight="1" s="59">
      <c r="A37" s="8" t="inlineStr">
        <is>
          <t>SRC-036</t>
        </is>
      </c>
      <c r="B37" s="8" t="inlineStr">
        <is>
          <t>George Eastman Museum — Two rare rolls of early Kodak film</t>
        </is>
      </c>
      <c r="C37" s="8" t="inlineStr">
        <is>
          <t>https://www.eastman.org/two-rare-rolls-early-kodak-film-acquired-george-eastman-museum</t>
        </is>
      </c>
      <c r="D37" s="8" t="inlineStr">
        <is>
          <t>American Film 1885 with Eastman-Walker roll holder; Kodak film 1888; Kodak transparent film 1889</t>
        </is>
      </c>
      <c r="E37" s="8" t="inlineStr">
        <is>
          <t>музейный источник</t>
        </is>
      </c>
    </row>
    <row r="38" ht="28" customHeight="1" s="59">
      <c r="A38" s="8" t="inlineStr">
        <is>
          <t>SRC-037</t>
        </is>
      </c>
      <c r="B38" s="8" t="inlineStr">
        <is>
          <t>National Inventors Hall of Fame — Hannibal Goodwin</t>
        </is>
      </c>
      <c r="C38" s="8" t="inlineStr">
        <is>
          <t>https://www.invent.org/inductees/hannibal-goodwin</t>
        </is>
      </c>
      <c r="D38" s="8" t="inlineStr">
        <is>
          <t>Goodwin and transparent flexible roll film on nitrocellulose base</t>
        </is>
      </c>
      <c r="E38" s="8" t="inlineStr">
        <is>
          <t>биографический/изобретательский источник</t>
        </is>
      </c>
    </row>
    <row r="39" ht="28" customHeight="1" s="59">
      <c r="A39" s="8" t="inlineStr">
        <is>
          <t>SRC-038</t>
        </is>
      </c>
      <c r="B39" s="8" t="inlineStr">
        <is>
          <t>Smithsonian NMAH — Original Kodak Camera, Serial No. 540</t>
        </is>
      </c>
      <c r="C39" s="8" t="inlineStr">
        <is>
          <t>https://americanhistory.si.edu/collections/object/nmah_760118</t>
        </is>
      </c>
      <c r="D39" s="8" t="inlineStr">
        <is>
          <t>Original Kodak camera 1888, flexible roll film, 100 exposures, price/context</t>
        </is>
      </c>
      <c r="E39" s="8" t="inlineStr">
        <is>
          <t>музейная карточка предмета</t>
        </is>
      </c>
    </row>
    <row r="40" ht="28" customHeight="1" s="59">
      <c r="A40" s="8" t="inlineStr">
        <is>
          <t>SRC-039</t>
        </is>
      </c>
      <c r="B40" s="8" t="inlineStr">
        <is>
          <t>The Met — Kodak and the Rise of Amateur Photography</t>
        </is>
      </c>
      <c r="C40" s="8" t="inlineStr">
        <is>
          <t>https://www.metmuseum.org/essays/kodak-and-the-rise-of-amateur-photography</t>
        </is>
      </c>
      <c r="D40" s="8" t="inlineStr">
        <is>
          <t>Kodak No. 1 camera, 100-exposure roll, factory processing/reloading, amateur photography</t>
        </is>
      </c>
      <c r="E40" s="8" t="inlineStr">
        <is>
          <t>музейный эссе-источник</t>
        </is>
      </c>
    </row>
    <row r="41" ht="28" customHeight="1" s="59">
      <c r="A41" s="8" t="inlineStr">
        <is>
          <t>SRC-040</t>
        </is>
      </c>
      <c r="B41" s="8" t="inlineStr">
        <is>
          <t>George Eastman Museum — From the Camera Obscura to the Revolutionary Kodak</t>
        </is>
      </c>
      <c r="C41" s="8" t="inlineStr">
        <is>
          <t>https://www.eastman.org/camera-obscura-revolutionary-kodak</t>
        </is>
      </c>
      <c r="D41" s="8" t="inlineStr">
        <is>
          <t>Kodak launch 1888, camera patent and Kodak trademark on September 4, 1888</t>
        </is>
      </c>
      <c r="E41" s="8" t="inlineStr">
        <is>
          <t>музейный источник</t>
        </is>
      </c>
    </row>
    <row r="42" ht="42" customHeight="1" s="59">
      <c r="A42" s="8" t="inlineStr">
        <is>
          <t>SRC-041</t>
        </is>
      </c>
      <c r="B42" s="8" t="inlineStr">
        <is>
          <t>Kodak — Chronology of Film</t>
        </is>
      </c>
      <c r="C42" s="8" t="inlineStr">
        <is>
          <t>https://www.kodak.com/en/motion/page/chronology-of-film/</t>
        </is>
      </c>
      <c r="D42" s="8" t="inlineStr">
        <is>
          <t>1889 first commercial transparent roll film, Eastman and research chemist, impact on motion picture camera</t>
        </is>
      </c>
      <c r="E42" s="8" t="inlineStr">
        <is>
          <t>официальная хронология компании</t>
        </is>
      </c>
    </row>
    <row r="43" ht="28" customHeight="1" s="59">
      <c r="A43" s="8" t="inlineStr">
        <is>
          <t>SRC-042</t>
        </is>
      </c>
      <c r="B43" s="8" t="inlineStr">
        <is>
          <t>Kodak — Milestones</t>
        </is>
      </c>
      <c r="C43" s="8" t="inlineStr">
        <is>
          <t>https://www.kodak.com/en/company/page/milestones/</t>
        </is>
      </c>
      <c r="D43" s="8" t="inlineStr">
        <is>
          <t>1891 first daylight-loading camera; Kodak Park and film/paper manufacturing context</t>
        </is>
      </c>
      <c r="E43" s="8" t="inlineStr">
        <is>
          <t>официальная хронология компании</t>
        </is>
      </c>
    </row>
    <row r="44" ht="28" customHeight="1" s="59">
      <c r="A44" s="8" t="inlineStr">
        <is>
          <t>SRC-043</t>
        </is>
      </c>
      <c r="B44" s="8" t="inlineStr">
        <is>
          <t>National Science and Media Museum — Kodak Gallery</t>
        </is>
      </c>
      <c r="C44" s="8" t="inlineStr">
        <is>
          <t>https://www.scienceandmediamuseum.org.uk/whats-on/kodak-gallery</t>
        </is>
      </c>
      <c r="D44" s="8" t="inlineStr">
        <is>
          <t>Kodak camera 1888 and Brownie 1900 as birth of popular photography</t>
        </is>
      </c>
      <c r="E44" s="8" t="inlineStr">
        <is>
          <t>музейный источник</t>
        </is>
      </c>
    </row>
    <row r="45" ht="28" customHeight="1" s="59">
      <c r="A45" s="8" t="inlineStr">
        <is>
          <t>SRC-044</t>
        </is>
      </c>
      <c r="B45" s="8" t="inlineStr">
        <is>
          <t>Science Museum Group — No. 1 Brownie Box Camera</t>
        </is>
      </c>
      <c r="C45" s="8" t="inlineStr">
        <is>
          <t>https://collection.sciencemuseumgroup.org.uk/objects/co8406729/no-1-brownie-box-camera</t>
        </is>
      </c>
      <c r="D45" s="8" t="inlineStr">
        <is>
          <t>No. 1 Brownie box roll-film camera; affordable and easy to use camera context</t>
        </is>
      </c>
      <c r="E45" s="8" t="inlineStr">
        <is>
          <t>музейная карточка предмета</t>
        </is>
      </c>
    </row>
    <row r="46" ht="28" customHeight="1" s="59">
      <c r="A46" s="8" t="inlineStr">
        <is>
          <t>SRC-045</t>
        </is>
      </c>
      <c r="B46" s="8" t="inlineStr">
        <is>
          <t>The Strong National Museum of Play — Brownies: From Folklore to Kodak Cameras</t>
        </is>
      </c>
      <c r="C46" s="8" t="inlineStr">
        <is>
          <t>https://www.museumofplay.org/blog/brownies-from-folklore-to-kodak-cameras/</t>
        </is>
      </c>
      <c r="D46" s="8" t="inlineStr">
        <is>
          <t>Brownie name, Frank A. Brownell, Eastman Kodak and cultural naming context</t>
        </is>
      </c>
      <c r="E46" s="8" t="inlineStr">
        <is>
          <t>музейный блог</t>
        </is>
      </c>
    </row>
    <row r="47" ht="28" customHeight="1" s="59">
      <c r="A47" s="8" t="inlineStr">
        <is>
          <t>SRC-046</t>
        </is>
      </c>
      <c r="B47" s="8" t="inlineStr">
        <is>
          <t>ACS — George Eastman, Kodak, and the Birth of Consumer Photography</t>
        </is>
      </c>
      <c r="C47" s="8" t="inlineStr">
        <is>
          <t>https://www.acs.org/education/whatischemistry/landmarks/eastman-kodak.html</t>
        </is>
      </c>
      <c r="D47" s="8" t="inlineStr">
        <is>
          <t>Brownie 1900, $1 price, children/consumer photography context</t>
        </is>
      </c>
      <c r="E47" s="8" t="inlineStr">
        <is>
          <t>научно-образовательный источник</t>
        </is>
      </c>
    </row>
    <row r="48" ht="42" customHeight="1" s="59">
      <c r="A48" s="8" t="inlineStr">
        <is>
          <t>SRC-047</t>
        </is>
      </c>
      <c r="B48" s="8" t="inlineStr">
        <is>
          <t>National Science and Media Museum — B is for Brownie</t>
        </is>
      </c>
      <c r="C48" s="8" t="inlineStr">
        <is>
          <t>https://blog.scienceandmediamuseum.org.uk/a-z-photography-collection-b-is-for-brownie/</t>
        </is>
      </c>
      <c r="D48" s="8" t="inlineStr">
        <is>
          <t>Brownie democratized photography, aimed at people with no previous experience, advertising and Palmer Cox context</t>
        </is>
      </c>
      <c r="E48" s="8" t="inlineStr">
        <is>
          <t>музейный блог</t>
        </is>
      </c>
    </row>
    <row r="49" ht="28" customHeight="1" s="59">
      <c r="A49" s="8" t="inlineStr">
        <is>
          <t>SRC-048</t>
        </is>
      </c>
      <c r="B49" s="8" t="inlineStr">
        <is>
          <t>NEH — How Kodak Created a Fashion Accessory</t>
        </is>
      </c>
      <c r="C49" s="8" t="inlineStr">
        <is>
          <t>https://www.neh.gov/article/how-kodak-created-fashion-accessory</t>
        </is>
      </c>
      <c r="D49" s="8" t="inlineStr">
        <is>
          <t>Brownie 1900, $1 camera, mass-market amateur camera, middle/working-class and children context</t>
        </is>
      </c>
      <c r="E49" s="8" t="inlineStr">
        <is>
          <t>культурно-исторический источник</t>
        </is>
      </c>
    </row>
    <row r="50" ht="28" customHeight="1" s="59">
      <c r="A50" s="8" t="inlineStr">
        <is>
          <t>SRC-049</t>
        </is>
      </c>
      <c r="B50" s="8" t="inlineStr">
        <is>
          <t>National Gallery of Art — The Art of the American Snapshot, 1888–1978</t>
        </is>
      </c>
      <c r="C50" s="8" t="inlineStr">
        <is>
          <t>https://www.nga.gov/exhibitions/art-american-snapshot-1888-1978-collection-robert-e-jackson</t>
        </is>
      </c>
      <c r="D50" s="8" t="inlineStr">
        <is>
          <t>snapshot photography as vernacular/cultural archive from Kodak roll-film era onward</t>
        </is>
      </c>
      <c r="E50" s="8" t="inlineStr">
        <is>
          <t>музейный источник</t>
        </is>
      </c>
    </row>
    <row r="51" ht="28" customHeight="1" s="59">
      <c r="A51" s="8" t="inlineStr">
        <is>
          <t>SRC-050</t>
        </is>
      </c>
      <c r="B51" s="8" t="inlineStr">
        <is>
          <t>Science Museum Group — No 2 Brownie Camera</t>
        </is>
      </c>
      <c r="C51" s="8" t="inlineStr">
        <is>
          <t>https://collection.sciencemuseumgroup.org.uk/objects/co8207799/no-2-brownie-camera</t>
        </is>
      </c>
      <c r="D51" s="8" t="inlineStr">
        <is>
          <t>No. 2 Brownie camera, 120 rollfilm, simple box-form camera details</t>
        </is>
      </c>
      <c r="E51" s="8" t="inlineStr">
        <is>
          <t>музейная карточка предмета</t>
        </is>
      </c>
    </row>
    <row r="52" ht="42" customHeight="1" s="59">
      <c r="A52" s="8" t="inlineStr">
        <is>
          <t>SRC-051</t>
        </is>
      </c>
      <c r="B52" s="8" t="inlineStr">
        <is>
          <t>Smithsonian NMAH — Leica 35 mm 1(A) Camera</t>
        </is>
      </c>
      <c r="C52" s="8" t="inlineStr">
        <is>
          <t>https://americanhistory.si.edu/collections/object/nmah_834692</t>
        </is>
      </c>
      <c r="D52" s="8" t="inlineStr">
        <is>
          <t>Leica 1(A), commercial 35mm camera, Barnack, 1924/1925 and popularization of 35mm film photography</t>
        </is>
      </c>
      <c r="E52" s="8" t="inlineStr">
        <is>
          <t>музейная карточка предмета</t>
        </is>
      </c>
    </row>
    <row r="53" ht="42" customHeight="1" s="59">
      <c r="A53" s="62" t="inlineStr">
        <is>
          <t>SRC-052</t>
        </is>
      </c>
      <c r="B53" s="62" t="inlineStr">
        <is>
          <t>Kodak — Motion Picture History</t>
        </is>
      </c>
      <c r="C53" s="62" t="inlineStr">
        <is>
          <t>https://www.kodak.com/en/company/page/motion-picture-history/</t>
        </is>
      </c>
      <c r="D53" s="62" t="inlineStr">
        <is>
          <t>Eastman transparent roll film in 1889 enabled Edison to develop the first motion picture camera in 1891</t>
        </is>
      </c>
      <c r="E53" s="62" t="inlineStr">
        <is>
          <t>официальная история компании</t>
        </is>
      </c>
    </row>
    <row r="54" ht="42" customHeight="1" s="59">
      <c r="A54" s="62" t="inlineStr">
        <is>
          <t>SRC-053</t>
        </is>
      </c>
      <c r="B54" s="62" t="inlineStr">
        <is>
          <t>Library of Congress — Origins of Motion Pictures</t>
        </is>
      </c>
      <c r="C54" s="62" t="inlineStr">
        <is>
          <t>https://www.loc.gov/collections/edison-company-motion-pictures-and-sound-recordings/articles-and-essays/history-of-edison-motion-pictures/origins-of-motion-pictures/</t>
        </is>
      </c>
      <c r="D54" s="62" t="inlineStr">
        <is>
          <t>Edison/Dickson motion picture work; Eastman celluloid film; patent width specified as 35mm</t>
        </is>
      </c>
      <c r="E54" s="62" t="inlineStr">
        <is>
          <t>архив / библиотека</t>
        </is>
      </c>
    </row>
    <row r="55" ht="28" customHeight="1" s="59">
      <c r="A55" s="62" t="inlineStr">
        <is>
          <t>SRC-054</t>
        </is>
      </c>
      <c r="B55" s="62" t="inlineStr">
        <is>
          <t>George Eastman Museum — Early Kodak transparent film</t>
        </is>
      </c>
      <c r="C55" s="62" t="inlineStr">
        <is>
          <t>https://www.eastman.org/two-rare-rolls-early-kodak-film-acquired-george-eastman-museum</t>
        </is>
      </c>
      <c r="D55" s="62" t="inlineStr">
        <is>
          <t>Kodak Transparent Film, 70mm slit in half to 35mm and perforated for Edison Kinetoscope</t>
        </is>
      </c>
      <c r="E55" s="62" t="inlineStr">
        <is>
          <t>музейный источник</t>
        </is>
      </c>
    </row>
    <row r="56" ht="28" customHeight="1" s="59">
      <c r="A56" s="62" t="inlineStr">
        <is>
          <t>SRC-055</t>
        </is>
      </c>
      <c r="B56" s="62" t="inlineStr">
        <is>
          <t>George Eastman Museum — Kinetoscope</t>
        </is>
      </c>
      <c r="C56" s="62" t="inlineStr">
        <is>
          <t>https://collections.eastman.org/objects/78087/kinetoscope</t>
        </is>
      </c>
      <c r="D56" s="62" t="inlineStr">
        <is>
          <t>Kinetoscope object with double-perforated 35mm film and Dickson/Edison context</t>
        </is>
      </c>
      <c r="E56" s="62" t="inlineStr">
        <is>
          <t>музейная карточка предмета</t>
        </is>
      </c>
    </row>
    <row r="57" ht="28" customHeight="1" s="59">
      <c r="A57" s="62" t="inlineStr">
        <is>
          <t>SRC-056</t>
        </is>
      </c>
      <c r="B57" s="62" t="inlineStr">
        <is>
          <t>SMPTE Journal — The Origins of 35mm Film as a Standard</t>
        </is>
      </c>
      <c r="C57" s="62" t="inlineStr">
        <is>
          <t>https://journal.smpte.org/periodicals/SMPTE%20Journal/99/8/22/</t>
        </is>
      </c>
      <c r="D57" s="62" t="inlineStr">
        <is>
          <t>Origins of 35mm film as production and exhibition standard; 1908–1909 context</t>
        </is>
      </c>
      <c r="E57" s="62" t="inlineStr">
        <is>
          <t>профильный историко-технический источник</t>
        </is>
      </c>
    </row>
    <row r="58" ht="42" customHeight="1" s="59">
      <c r="A58" s="62" t="inlineStr">
        <is>
          <t>SRC-057</t>
        </is>
      </c>
      <c r="B58" s="62" t="inlineStr">
        <is>
          <t>Leica Timeline — 1914</t>
        </is>
      </c>
      <c r="C58" s="62" t="inlineStr">
        <is>
          <t>https://timeline.leica-camera.com/en-US/years/1914</t>
        </is>
      </c>
      <c r="D58" s="62" t="inlineStr">
        <is>
          <t>Oskar Barnack rotates vertical 35mm cine film into landscape format; birth of 24×36 format and Ur-Leica</t>
        </is>
      </c>
      <c r="E58" s="62" t="inlineStr">
        <is>
          <t>официальная история Leica</t>
        </is>
      </c>
    </row>
    <row r="59" ht="28" customHeight="1" s="59">
      <c r="A59" s="62" t="inlineStr">
        <is>
          <t>SRC-058</t>
        </is>
      </c>
      <c r="B59" s="62" t="inlineStr">
        <is>
          <t>Leica Oskar Barnack Award — Oskar Barnack</t>
        </is>
      </c>
      <c r="C59" s="62" t="inlineStr">
        <is>
          <t>https://www.leica-oskar-barnack-award.com/en/information/oskar-barnack.html</t>
        </is>
      </c>
      <c r="D59" s="62" t="inlineStr">
        <is>
          <t>Barnack, Ur-Leica and 1920 Wetzlar floods as early 35mm still reportage series</t>
        </is>
      </c>
      <c r="E59" s="62" t="inlineStr">
        <is>
          <t>официальный Leica-ресурс</t>
        </is>
      </c>
    </row>
    <row r="60" ht="42" customHeight="1" s="59">
      <c r="A60" s="62" t="inlineStr">
        <is>
          <t>SRC-059</t>
        </is>
      </c>
      <c r="B60" s="62" t="inlineStr">
        <is>
          <t>Smithsonian NMAH — Leica 35 mm 1(A) Camera</t>
        </is>
      </c>
      <c r="C60" s="62" t="inlineStr">
        <is>
          <t>https://americanhistory.si.edu/collections/object/nmah_834692</t>
        </is>
      </c>
      <c r="D60" s="62" t="inlineStr">
        <is>
          <t>Leica 1(A), designed by Barnack, announced 1924 and sold in 1925; popularized 35mm film photography</t>
        </is>
      </c>
      <c r="E60" s="62" t="inlineStr">
        <is>
          <t>музейная карточка предмета</t>
        </is>
      </c>
    </row>
    <row r="61" ht="28" customHeight="1" s="59">
      <c r="A61" s="62" t="inlineStr">
        <is>
          <t>SRC-060</t>
        </is>
      </c>
      <c r="B61" s="62" t="inlineStr">
        <is>
          <t>Leica Timeline — 1925</t>
        </is>
      </c>
      <c r="C61" s="62" t="inlineStr">
        <is>
          <t>https://timeline.leica-camera.com/en/years/1925</t>
        </is>
      </c>
      <c r="D61" s="62" t="inlineStr">
        <is>
          <t>Leica I, Leitz’s first 35mm camera in serial production, debuts at Leipzig Spring Fair in 1925</t>
        </is>
      </c>
      <c r="E61" s="62" t="inlineStr">
        <is>
          <t>официальная история Leica</t>
        </is>
      </c>
    </row>
    <row r="62" ht="28" customHeight="1" s="59">
      <c r="A62" s="62" t="inlineStr">
        <is>
          <t>SRC-061</t>
        </is>
      </c>
      <c r="B62" s="62" t="inlineStr">
        <is>
          <t>Science Museum Group — Kodak Retina Type 117</t>
        </is>
      </c>
      <c r="C62" s="62" t="inlineStr">
        <is>
          <t>https://collection.sciencemuseumgroup.org.uk/objects/co8205056/kodak-retina-type-117-35mm-camera</t>
        </is>
      </c>
      <c r="D62" s="62" t="inlineStr">
        <is>
          <t>Kodak Retina Type 117, 1934–1935; first camera to use daylight-loading 135 cartridges</t>
        </is>
      </c>
      <c r="E62" s="62" t="inlineStr">
        <is>
          <t>музейная карточка предмета</t>
        </is>
      </c>
    </row>
    <row r="63" ht="42" customHeight="1" s="59">
      <c r="A63" s="62" t="inlineStr">
        <is>
          <t>SRC-062</t>
        </is>
      </c>
      <c r="B63" s="62" t="inlineStr">
        <is>
          <t>Leica Camera — The History of the Leica I</t>
        </is>
      </c>
      <c r="C63" s="62" t="inlineStr">
        <is>
          <t>https://leica-camera.com/en-int/photography/100-years/the-history-of-the-leica-I</t>
        </is>
      </c>
      <c r="D63" s="62" t="inlineStr">
        <is>
          <t>Leica I production, Leipzig 1925, compact mobile camera, around 57,000 units, visual language of reportage and street photography</t>
        </is>
      </c>
      <c r="E63" s="62" t="inlineStr">
        <is>
          <t>официальная история Leica</t>
        </is>
      </c>
    </row>
    <row r="64" ht="42" customHeight="1" s="59">
      <c r="A64" s="62" t="inlineStr">
        <is>
          <t>SRC-063</t>
        </is>
      </c>
      <c r="B64" s="62" t="inlineStr">
        <is>
          <t>Leica Camera — 100 Years of Leica: Witness to a Century</t>
        </is>
      </c>
      <c r="C64" s="62" t="inlineStr">
        <is>
          <t>https://leica-camera.com/en-GB/press/100-years-leica-witness-century-1925-2025-1</t>
        </is>
      </c>
      <c r="D64" s="62" t="inlineStr">
        <is>
          <t>Leica I first series-produced Leica 35mm camera, presented at Leipzig Spring Fair 1925, compact format and new photographic applications</t>
        </is>
      </c>
      <c r="E64" s="62" t="inlineStr">
        <is>
          <t>официальный пресс-материал Leica</t>
        </is>
      </c>
    </row>
    <row r="65" ht="42" customHeight="1" s="59">
      <c r="A65" s="62" t="inlineStr">
        <is>
          <t>SRC-064</t>
        </is>
      </c>
      <c r="B65" s="62" t="inlineStr">
        <is>
          <t>Smithsonian NMAH — Leica 35 mm 1(A) Camera</t>
        </is>
      </c>
      <c r="C65" s="62" t="inlineStr">
        <is>
          <t>https://americanhistory.si.edu/collections/object/nmah_834692</t>
        </is>
      </c>
      <c r="D65" s="62" t="inlineStr">
        <is>
          <t>Leica 1(A), designed by Oskar Barnack, announced 1924, sold 1925, popularized 35mm film photography</t>
        </is>
      </c>
      <c r="E65" s="62" t="inlineStr">
        <is>
          <t>музейная карточка предмета</t>
        </is>
      </c>
    </row>
    <row r="66" ht="28" customHeight="1" s="59">
      <c r="A66" s="62" t="inlineStr">
        <is>
          <t>SRC-065</t>
        </is>
      </c>
      <c r="B66" s="62" t="inlineStr">
        <is>
          <t>Leica Camera — Understanding Leica Lenses</t>
        </is>
      </c>
      <c r="C66" s="62" t="inlineStr">
        <is>
          <t>https://leica-camera.com/en-int/photography/understanding-leica-lenses</t>
        </is>
      </c>
      <c r="D66" s="62" t="inlineStr">
        <is>
          <t>Max Berek and early Leica lenses for Ur-Leica and Leica system</t>
        </is>
      </c>
      <c r="E66" s="62" t="inlineStr">
        <is>
          <t>официальный материал Leica</t>
        </is>
      </c>
    </row>
    <row r="67" ht="28" customHeight="1" s="59">
      <c r="A67" s="62" t="inlineStr">
        <is>
          <t>SRC-066</t>
        </is>
      </c>
      <c r="B67" s="62" t="inlineStr">
        <is>
          <t>LFI — Elmar 50 mm f/3.5</t>
        </is>
      </c>
      <c r="C67" s="62" t="inlineStr">
        <is>
          <t>https://lfi-online.de/en/stories/elmar-50-mm-f-3-5-19122.html</t>
        </is>
      </c>
      <c r="D67" s="62" t="inlineStr">
        <is>
          <t>Anastigmat, Elmax and Elmar 50mm f/3.5; Max Berek and early Leica I lenses</t>
        </is>
      </c>
      <c r="E67" s="62" t="inlineStr">
        <is>
          <t>профильный материал Leica Fotografie International</t>
        </is>
      </c>
    </row>
    <row r="68" ht="28" customHeight="1" s="59">
      <c r="A68" s="62" t="inlineStr">
        <is>
          <t>SRC-067</t>
        </is>
      </c>
      <c r="B68" s="62" t="inlineStr">
        <is>
          <t>Smithsonian NMAH — Leica 1(C)</t>
        </is>
      </c>
      <c r="C68" s="62" t="inlineStr">
        <is>
          <t>https://americanhistory.si.edu/collections/object/nmah_1145349</t>
        </is>
      </c>
      <c r="D68" s="62" t="inlineStr">
        <is>
          <t>First Leica with interchangeable lenses in 1930; standardized lens mount by the end of 1930</t>
        </is>
      </c>
      <c r="E68" s="62" t="inlineStr">
        <is>
          <t>музейная карточка предмета</t>
        </is>
      </c>
    </row>
    <row r="69" ht="28" customHeight="1" s="59">
      <c r="A69" s="62" t="inlineStr">
        <is>
          <t>SRC-068</t>
        </is>
      </c>
      <c r="B69" s="62" t="inlineStr">
        <is>
          <t>Leica Timeline — 1932</t>
        </is>
      </c>
      <c r="C69" s="62" t="inlineStr">
        <is>
          <t>https://timeline.leica-camera.com/en-US/years/1932</t>
        </is>
      </c>
      <c r="D69" s="62" t="inlineStr">
        <is>
          <t>Leica II becomes the first Leica with a built-in rangefinder</t>
        </is>
      </c>
      <c r="E69" s="62" t="inlineStr">
        <is>
          <t>официальная история Leica</t>
        </is>
      </c>
    </row>
    <row r="70" ht="28" customHeight="1" s="59">
      <c r="A70" s="62" t="inlineStr">
        <is>
          <t>SRC-069</t>
        </is>
      </c>
      <c r="B70" s="62" t="inlineStr">
        <is>
          <t>George Eastman Museum — Early Kodak Film 1888/1889</t>
        </is>
      </c>
      <c r="C70" s="62" t="inlineStr">
        <is>
          <t>https://www.eastman.org/two-rare-rolls-early-kodak-film-acquired-george-eastman-museum</t>
        </is>
      </c>
      <c r="D70" s="62" t="inlineStr">
        <is>
          <t>Kodak Film 1888 and Kodak Transparent Film 1889 for the Kodak camera</t>
        </is>
      </c>
      <c r="E70" s="62" t="inlineStr">
        <is>
          <t>музейный источник</t>
        </is>
      </c>
    </row>
    <row r="71" ht="28" customHeight="1" s="59">
      <c r="A71" s="62" t="inlineStr">
        <is>
          <t>SRC-070</t>
        </is>
      </c>
      <c r="B71" s="62" t="inlineStr">
        <is>
          <t>National Archives — Film-Based Negatives and Positives</t>
        </is>
      </c>
      <c r="C71" s="62" t="inlineStr">
        <is>
          <t>https://www.archives.gov/preservation/holdings-maintenance/film-based</t>
        </is>
      </c>
      <c r="D71" s="62" t="inlineStr">
        <is>
          <t>nitrate film base, acetate replacement from the 1920s, safety film and preservation issues</t>
        </is>
      </c>
      <c r="E71" s="62" t="inlineStr">
        <is>
          <t>архивный источник</t>
        </is>
      </c>
    </row>
    <row r="72" ht="42" customHeight="1" s="59">
      <c r="A72" s="62" t="inlineStr">
        <is>
          <t>SRC-071</t>
        </is>
      </c>
      <c r="B72" s="62" t="inlineStr">
        <is>
          <t>Kodak — Milestones</t>
        </is>
      </c>
      <c r="C72" s="62" t="inlineStr">
        <is>
          <t>https://www.kodak.com/en/company/page/milestones/</t>
        </is>
      </c>
      <c r="D72" s="62" t="inlineStr">
        <is>
          <t>1899 continuous process for transparent film base, 1903 Non-Curling Film, 1908 commercially practical acetate safety film</t>
        </is>
      </c>
      <c r="E72" s="62" t="inlineStr">
        <is>
          <t>официальная история Kodak</t>
        </is>
      </c>
    </row>
    <row r="73" ht="28" customHeight="1" s="59">
      <c r="A73" s="62" t="inlineStr">
        <is>
          <t>SRC-072</t>
        </is>
      </c>
      <c r="B73" s="62" t="inlineStr">
        <is>
          <t>Kodak — Glossary of Motion Picture Terms</t>
        </is>
      </c>
      <c r="C73" s="62" t="inlineStr">
        <is>
          <t>https://www.kodak.com/en/motion/page/glossary-of-motion-picture-terms/</t>
        </is>
      </c>
      <c r="D73" s="62" t="inlineStr">
        <is>
          <t>definition of photographic film/emulsion layer, base, silver halide gelatin emulsion, antihalation backing</t>
        </is>
      </c>
      <c r="E73" s="62" t="inlineStr">
        <is>
          <t>официальный технический словарь Kodak</t>
        </is>
      </c>
    </row>
    <row r="74" ht="42" customHeight="1" s="59">
      <c r="A74" s="62" t="inlineStr">
        <is>
          <t>SRC-073</t>
        </is>
      </c>
      <c r="B74" s="62" t="inlineStr">
        <is>
          <t>Kodak — Essential Reference Guide for Filmmakers</t>
        </is>
      </c>
      <c r="C74" s="62" t="inlineStr">
        <is>
          <t>https://www.kodak.com/content/products-brochures/Film/kodak-essential-reference-guide-for-filmmakers.pdf</t>
        </is>
      </c>
      <c r="D74" s="62" t="inlineStr">
        <is>
          <t>silver halide crystals suspended in gelatin, latent image, processing makes image visible and permanent</t>
        </is>
      </c>
      <c r="E74" s="62" t="inlineStr">
        <is>
          <t>официальный учебный PDF Kodak</t>
        </is>
      </c>
    </row>
    <row r="75" ht="28" customHeight="1" s="59">
      <c r="A75" s="62" t="inlineStr">
        <is>
          <t>SRC-074</t>
        </is>
      </c>
      <c r="B75" s="62" t="inlineStr">
        <is>
          <t>Kodak — Basic Sensitometry and Characteristics of Film</t>
        </is>
      </c>
      <c r="C75" s="62" t="inlineStr">
        <is>
          <t>https://www.kodak.com/uploadedfiles/motion/US_plugins_acrobat_en_motion_newsletters_filmEss_06_Characteristics_of_Film.pdf</t>
        </is>
      </c>
      <c r="D75" s="62" t="inlineStr">
        <is>
          <t>film speed, sensitivity, grain distribution and sensitometry basics</t>
        </is>
      </c>
      <c r="E75" s="62" t="inlineStr">
        <is>
          <t>официальный технический PDF Kodak</t>
        </is>
      </c>
    </row>
    <row r="76" ht="42" customHeight="1" s="59">
      <c r="A76" s="62" t="inlineStr">
        <is>
          <t>SRC-075</t>
        </is>
      </c>
      <c r="B76" s="62" t="inlineStr">
        <is>
          <t>Kodak — How Film Makes an Image / Film Structure</t>
        </is>
      </c>
      <c r="C76" s="62" t="inlineStr">
        <is>
          <t>https://125px.com/docs/motionpicture/kodak_guides/US_plugins_acrobat_en_motion_newsletters_filmEss_04_How-film-makes-image.pdf</t>
        </is>
      </c>
      <c r="D76" s="62" t="inlineStr">
        <is>
          <t>supercoat, emulsion protection, antihalation backing and film structure</t>
        </is>
      </c>
      <c r="E76" s="62" t="inlineStr">
        <is>
          <t>копия технического руководства Kodak; заменить при нахождении официального URL</t>
        </is>
      </c>
    </row>
    <row r="77">
      <c r="A77" s="62" t="inlineStr">
        <is>
          <t>SRC-076</t>
        </is>
      </c>
      <c r="B77" s="62" t="inlineStr">
        <is>
          <t>Library of Congress — Appendix G Glossary</t>
        </is>
      </c>
      <c r="C77" s="62" t="inlineStr">
        <is>
          <t>https://www.loc.gov/catdir/cpso/app-glos.html</t>
        </is>
      </c>
      <c r="D77" s="62" t="inlineStr">
        <is>
          <t>definition of emulsion as gelatin and silver salts coating; positive/negative determined by emulsion mixture</t>
        </is>
      </c>
      <c r="E77" s="62" t="inlineStr">
        <is>
          <t>архивный справочник</t>
        </is>
      </c>
    </row>
    <row r="78">
      <c r="A78" s="62" t="inlineStr">
        <is>
          <t>SRC-077</t>
        </is>
      </c>
      <c r="B78" s="62" t="inlineStr">
        <is>
          <t>Library of Congress — Care, Handling, and Storage of Photographs</t>
        </is>
      </c>
      <c r="C78" s="62" t="inlineStr">
        <is>
          <t>https://www.loc.gov/preservation/care/photolea.html</t>
        </is>
      </c>
      <c r="D78" s="62" t="inlineStr">
        <is>
          <t>support, binder/emulsion layer, final image material; conservation framing of photographic object layers</t>
        </is>
      </c>
      <c r="E78" s="62" t="inlineStr">
        <is>
          <t>архивный источник</t>
        </is>
      </c>
    </row>
    <row r="79">
      <c r="A79" s="62" t="inlineStr">
        <is>
          <t>SRC-078</t>
        </is>
      </c>
      <c r="B79" s="62" t="inlineStr">
        <is>
          <t>National Gallery of Art — Stieglitz's Practices and Processes</t>
        </is>
      </c>
      <c r="C79" s="62" t="inlineStr">
        <is>
          <t>https://www.nga.gov/research/publications/alfred-stieglitz-key-set/stieglitzs-practices-and-processes</t>
        </is>
      </c>
      <c r="D79" s="62" t="inlineStr">
        <is>
          <t>gelatin silver papers, light-sensitive silver salts in gelatin, developed-out process</t>
        </is>
      </c>
      <c r="E79" s="62" t="inlineStr">
        <is>
          <t>музейный исследовательский материал</t>
        </is>
      </c>
    </row>
    <row r="80">
      <c r="A80" s="62" t="inlineStr">
        <is>
          <t>SRC-079</t>
        </is>
      </c>
      <c r="B80" s="62" t="inlineStr">
        <is>
          <t>HNOC — Gelatin Silver Developing-Out Paper Process</t>
        </is>
      </c>
      <c r="C80" s="62" t="inlineStr">
        <is>
          <t>https://hnoc.org/virtual-exhibitions/from_daguerreotype_to_digital/gelatin-silver-developing-out-paper-process</t>
        </is>
      </c>
      <c r="D80" s="62" t="inlineStr">
        <is>
          <t>gelatin silver DOP process, invention 1873, process of choice by 1895, developed-out image</t>
        </is>
      </c>
      <c r="E80" s="62" t="inlineStr">
        <is>
          <t>музейный образовательный источник</t>
        </is>
      </c>
    </row>
    <row r="81">
      <c r="A81" s="62" t="inlineStr">
        <is>
          <t>SRC-080</t>
        </is>
      </c>
      <c r="B81" s="62" t="inlineStr">
        <is>
          <t>MoMA — Gelatin silver print (developing-out paper)</t>
        </is>
      </c>
      <c r="C81" s="62" t="inlineStr">
        <is>
          <t>https://www.moma.org/collection/terms/gelatin-silver-print-developing-out-paper</t>
        </is>
      </c>
      <c r="D81" s="62" t="inlineStr">
        <is>
          <t>gelatin silver DOP as paper containing silver halides in gelatin binder; popular 20th-century process</t>
        </is>
      </c>
      <c r="E81" s="62" t="inlineStr">
        <is>
          <t>музейный глоссарий</t>
        </is>
      </c>
    </row>
    <row r="82">
      <c r="A82" s="62" t="inlineStr">
        <is>
          <t>SRC-081</t>
        </is>
      </c>
      <c r="B82" s="62" t="inlineStr">
        <is>
          <t>Science Museum Journal — Kenneth Mees, Eastman Kodak and the challenges of research</t>
        </is>
      </c>
      <c r="C82" s="62" t="inlineStr">
        <is>
          <t>https://journal.sciencemuseum.ac.uk/article/kenneth-mees-eastman-kodak/</t>
        </is>
      </c>
      <c r="D82" s="62" t="inlineStr">
        <is>
          <t>Wratten &amp; Wainwright panchromatic plates, filters, research laboratory context</t>
        </is>
      </c>
      <c r="E82" s="62" t="inlineStr">
        <is>
          <t>музейный научный журнал</t>
        </is>
      </c>
    </row>
    <row r="83">
      <c r="A83" s="62" t="inlineStr">
        <is>
          <t>SRC-082</t>
        </is>
      </c>
      <c r="B83" s="62" t="inlineStr">
        <is>
          <t>National Science and Media Museum — Dawn of Colour / Autochrome</t>
        </is>
      </c>
      <c r="C83" s="62" t="inlineStr">
        <is>
          <t>https://www.scienceandmediamuseum.org.uk/what-was-on/dawn-colour-celebrating-centenary-autochrome</t>
        </is>
      </c>
      <c r="D83" s="62" t="inlineStr">
        <is>
          <t>panchromatic plates sensitive to all colours introduced at end of century and enabled practical colour processes</t>
        </is>
      </c>
      <c r="E83" s="62" t="inlineStr">
        <is>
          <t>музейный источник</t>
        </is>
      </c>
    </row>
    <row r="84">
      <c r="A84" s="62" t="inlineStr">
        <is>
          <t>SRC-083</t>
        </is>
      </c>
      <c r="B84" s="62" t="inlineStr">
        <is>
          <t>Conservation Wiki — Gelatin Dry-plate Negative</t>
        </is>
      </c>
      <c r="C84" s="62" t="inlineStr">
        <is>
          <t>https://conservation-wiki.com/wiki/Gelatin_Dry-plate_Negative</t>
        </is>
      </c>
      <c r="D84" s="62" t="inlineStr">
        <is>
          <t>Maddox 1871 gelatin, water and silver halides on glass; Bennett sensitivity improvements; panchromatic plate context</t>
        </is>
      </c>
      <c r="E84" s="62" t="inlineStr">
        <is>
          <t>консервационный справочник; использовать с пометкой проверки первоисточников</t>
        </is>
      </c>
    </row>
    <row r="85">
      <c r="A85" s="62" t="inlineStr">
        <is>
          <t>SRC-084</t>
        </is>
      </c>
      <c r="B85" s="62" t="inlineStr">
        <is>
          <t>National Science and Media Museum — History of Photography</t>
        </is>
      </c>
      <c r="C85" s="62" t="inlineStr">
        <is>
          <t>https://www.scienceandmediamuseum.org.uk/objects-and-stories/history-photography</t>
        </is>
      </c>
      <c r="D85" s="62" t="inlineStr">
        <is>
          <t>Talbot 1834 negative image on sensitised paper; negative/positive principle</t>
        </is>
      </c>
      <c r="E85" s="62" t="inlineStr">
        <is>
          <t>музейный обзорный источник</t>
        </is>
      </c>
    </row>
    <row r="86">
      <c r="A86" s="62" t="inlineStr">
        <is>
          <t>SRC-085</t>
        </is>
      </c>
      <c r="B86" s="62" t="inlineStr">
        <is>
          <t>George Eastman Museum — Photographic Processes Video Series Glossary</t>
        </is>
      </c>
      <c r="C86" s="62" t="inlineStr">
        <is>
          <t>https://www.eastman.org/photographic-processes-video-series-glossary</t>
        </is>
      </c>
      <c r="D86" s="62" t="inlineStr">
        <is>
          <t>Talbot’s photogenic drawing, salted paper print, calotype negative; one negative could make many prints</t>
        </is>
      </c>
      <c r="E86" s="62" t="inlineStr">
        <is>
          <t>музейный глоссарий</t>
        </is>
      </c>
    </row>
    <row r="87">
      <c r="A87" s="62" t="inlineStr">
        <is>
          <t>SRC-086</t>
        </is>
      </c>
      <c r="B87" s="62" t="inlineStr">
        <is>
          <t>Library of Congress — Calotypes</t>
        </is>
      </c>
      <c r="C87" s="62" t="inlineStr">
        <is>
          <t>https://www.loc.gov/pictures/item/tgm001562/</t>
        </is>
      </c>
      <c r="D87" s="62" t="inlineStr">
        <is>
          <t>calotype as paper negatives using Talbot's patented 1841 process</t>
        </is>
      </c>
      <c r="E87" s="62" t="inlineStr">
        <is>
          <t>архивный справочник</t>
        </is>
      </c>
    </row>
    <row r="88">
      <c r="A88" s="62" t="inlineStr">
        <is>
          <t>SRC-087</t>
        </is>
      </c>
      <c r="B88" s="62" t="inlineStr">
        <is>
          <t>The Met — William Henry Fox Talbot, The Pencil of Nature</t>
        </is>
      </c>
      <c r="C88" s="62" t="inlineStr">
        <is>
          <t>https://www.metmuseum.org/art/collection/search/267022</t>
        </is>
      </c>
      <c r="D88" s="62" t="inlineStr">
        <is>
          <t>The Pencil of Nature; salted paper prints from paper negatives; negative-positive advantage</t>
        </is>
      </c>
      <c r="E88" s="62" t="inlineStr">
        <is>
          <t>музейная коллекционная карточка</t>
        </is>
      </c>
    </row>
    <row r="89">
      <c r="A89" s="62" t="inlineStr">
        <is>
          <t>SRC-088</t>
        </is>
      </c>
      <c r="B89" s="62" t="inlineStr">
        <is>
          <t>V&amp;A — A to Z of photographic processes</t>
        </is>
      </c>
      <c r="C89" s="62" t="inlineStr">
        <is>
          <t>https://www.vam.ac.uk/articles/photographic-processes</t>
        </is>
      </c>
      <c r="D89" s="62" t="inlineStr">
        <is>
          <t>calotype negative permitting multiple positives; wet collodion and other processes</t>
        </is>
      </c>
      <c r="E89" s="62" t="inlineStr">
        <is>
          <t>музейный обзор процессов</t>
        </is>
      </c>
    </row>
    <row r="90">
      <c r="A90" s="62" t="inlineStr">
        <is>
          <t>SRC-089</t>
        </is>
      </c>
      <c r="B90" s="62" t="inlineStr">
        <is>
          <t>Royal Collection Trust — Albumen print</t>
        </is>
      </c>
      <c r="C90" s="62" t="inlineStr">
        <is>
          <t>https://albert.rct.uk/explore/themes/photographic-technologies/albumen-print</t>
        </is>
      </c>
      <c r="D90" s="62" t="inlineStr">
        <is>
          <t>albumen print: negative placed in contact with albumen paper and exposed to print positive image</t>
        </is>
      </c>
      <c r="E90" s="62" t="inlineStr">
        <is>
          <t>музейный технологический источник</t>
        </is>
      </c>
    </row>
    <row r="91">
      <c r="A91" s="62" t="inlineStr">
        <is>
          <t>SRC-090</t>
        </is>
      </c>
      <c r="B91" s="62" t="inlineStr">
        <is>
          <t>The Met — The Industrialization of French Photography after 1860</t>
        </is>
      </c>
      <c r="C91" s="62" t="inlineStr">
        <is>
          <t>https://www.metmuseum.org/essays/the-industrialization-of-french-photography-after-1860</t>
        </is>
      </c>
      <c r="D91" s="62" t="inlineStr">
        <is>
          <t>Disdéri carte-de-visite; eight exposures on a glass-plate negative; mass printing and distribution</t>
        </is>
      </c>
      <c r="E91" s="62" t="inlineStr">
        <is>
          <t>музейное эссе</t>
        </is>
      </c>
    </row>
    <row r="92">
      <c r="A92" s="62" t="inlineStr">
        <is>
          <t>SRC-091</t>
        </is>
      </c>
      <c r="B92" s="62" t="inlineStr">
        <is>
          <t>National Archives — Photographic Prints</t>
        </is>
      </c>
      <c r="C92" s="62" t="inlineStr">
        <is>
          <t>https://www.archives.gov/research/still-pictures/still-picture-photographic-prints</t>
        </is>
      </c>
      <c r="D92" s="62" t="inlineStr">
        <is>
          <t>photographic prints, contact printing, paper positives and print formats</t>
        </is>
      </c>
      <c r="E92" s="62" t="inlineStr">
        <is>
          <t>архивный справочник</t>
        </is>
      </c>
    </row>
    <row r="93">
      <c r="A93" s="62" t="inlineStr">
        <is>
          <t>SRC-092</t>
        </is>
      </c>
      <c r="B93" s="62" t="inlineStr">
        <is>
          <t>National Archives — Film-Based Negatives and Positives</t>
        </is>
      </c>
      <c r="C93" s="62" t="inlineStr">
        <is>
          <t>https://www.archives.gov/preservation/holdings-maintenance/film-based</t>
        </is>
      </c>
      <c r="D93" s="62" t="inlineStr">
        <is>
          <t>film-based negatives and positives; preservation framing of negatives/transparencies</t>
        </is>
      </c>
      <c r="E93" s="62" t="inlineStr">
        <is>
          <t>архивный консервационный источник</t>
        </is>
      </c>
    </row>
    <row r="94">
      <c r="A94" s="62" t="inlineStr">
        <is>
          <t>SRC-093</t>
        </is>
      </c>
      <c r="B94" s="62" t="inlineStr">
        <is>
          <t>National Science and Media Museum — A short history of colour photography</t>
        </is>
      </c>
      <c r="C94" s="62" t="inlineStr">
        <is>
          <t>https://www.scienceandmediamuseum.org.uk/objects-and-stories/history-colour-photography</t>
        </is>
      </c>
      <c r="D94" s="62" t="inlineStr">
        <is>
          <t>Kodachrome 1935 colour transparency; positive/reversal pathway as exception to negative-print route</t>
        </is>
      </c>
      <c r="E94" s="62" t="inlineStr">
        <is>
          <t>музейный источник по цветной фотографии</t>
        </is>
      </c>
    </row>
    <row r="95">
      <c r="A95" t="inlineStr">
        <is>
          <t>SRC-094</t>
        </is>
      </c>
      <c r="B95" t="inlineStr">
        <is>
          <t>The Met — William Henry Fox Talbot and the Invention of Photography</t>
        </is>
      </c>
      <c r="C95" t="inlineStr">
        <is>
          <t>https://www.metmuseum.org/essays/william-henry-fox-talbot-1800-1877-and-the-invention-of-photography</t>
        </is>
      </c>
      <c r="D95" t="inlineStr">
        <is>
          <t>1839 приоритетная гонка Тальбот/Дагер; патентные ограничения калотипа в Британии; провал патента Тальбота во Франции 1843</t>
        </is>
      </c>
      <c r="E95" t="inlineStr">
        <is>
          <t>музейное эссе</t>
        </is>
      </c>
    </row>
    <row r="96">
      <c r="A96" t="inlineStr">
        <is>
          <t>SRC-095</t>
        </is>
      </c>
      <c r="B96" t="inlineStr">
        <is>
          <t>National Gallery of Canada — The Calotype Process</t>
        </is>
      </c>
      <c r="C96" t="inlineStr">
        <is>
          <t>https://www.gallery.ca/photo-blog/the-calotype-process</t>
        </is>
      </c>
      <c r="D96" t="inlineStr">
        <is>
          <t>химия соляной бумажной печати (printing-out process)</t>
        </is>
      </c>
      <c r="E96" t="inlineStr">
        <is>
          <t>музейный источник</t>
        </is>
      </c>
    </row>
    <row r="97">
      <c r="A97" s="62" t="inlineStr">
        <is>
          <t>SRC-096</t>
        </is>
      </c>
      <c r="B97" s="62" t="inlineStr">
        <is>
          <t>Getty — Hippolyte Bayard: A Persistent Pioneer</t>
        </is>
      </c>
      <c r="C97" s="62" t="inlineStr">
        <is>
          <t>https://www.getty.edu/art/exhibitions/bayard/</t>
        </is>
      </c>
      <c r="D97" s="62" t="inlineStr">
        <is>
          <t>Bayard direct positive process on paper</t>
        </is>
      </c>
      <c r="E97" s="62" t="inlineStr">
        <is>
          <t>музейный источник</t>
        </is>
      </c>
    </row>
    <row r="98">
      <c r="A98" s="62" t="inlineStr">
        <is>
          <t>SRC-097</t>
        </is>
      </c>
      <c r="B98" s="62" t="inlineStr">
        <is>
          <t>Harvard — Salt Prints at Harvard</t>
        </is>
      </c>
      <c r="C98" s="62" t="inlineStr">
        <is>
          <t>https://saltprintsatharvard.hsites.harvard.edu/</t>
        </is>
      </c>
      <c r="D98" s="62" t="inlineStr">
        <is>
          <t>salt prints as first negative-to-positive photographic technique; positive prints from paper/glass negatives</t>
        </is>
      </c>
      <c r="E98" s="62" t="inlineStr">
        <is>
          <t>университетский источник</t>
        </is>
      </c>
    </row>
    <row r="99">
      <c r="A99" s="62" t="inlineStr">
        <is>
          <t>SRC-098</t>
        </is>
      </c>
      <c r="B99" s="62" t="inlineStr">
        <is>
          <t>Getty Conservation Institute — Atlas: Salt Print PDF</t>
        </is>
      </c>
      <c r="C99" s="62" t="inlineStr">
        <is>
          <t>https://www.getty.edu/conservation/publications_resources/pdf_publications/pdf/atlas_saltprint.pdf</t>
        </is>
      </c>
      <c r="D99" s="62" t="inlineStr">
        <is>
          <t>salt print positive process; printing calotype negatives until albumen process</t>
        </is>
      </c>
      <c r="E99" s="62" t="inlineStr">
        <is>
          <t>технический PDF по процессу</t>
        </is>
      </c>
    </row>
    <row r="100">
      <c r="A100" s="62" t="inlineStr">
        <is>
          <t>SRC-099</t>
        </is>
      </c>
      <c r="B100" s="62" t="inlineStr">
        <is>
          <t>MoMA — Gelatin silver printing-out-paper print (POP)</t>
        </is>
      </c>
      <c r="C100" s="62" t="inlineStr">
        <is>
          <t>https://www.moma.org/collection/terms/gelatin-silver-printing-out-paper-print-pop</t>
        </is>
      </c>
      <c r="D100" s="62" t="inlineStr">
        <is>
          <t>printing-out paper; contact printing; visible image by light; common 1860–1940</t>
        </is>
      </c>
      <c r="E100" s="62" t="inlineStr">
        <is>
          <t>музейный терминологический источник</t>
        </is>
      </c>
    </row>
    <row r="101">
      <c r="A101" s="62" t="inlineStr">
        <is>
          <t>SRC-100</t>
        </is>
      </c>
      <c r="B101" s="62" t="inlineStr">
        <is>
          <t>HNOC — Gelatin Silver Developing-Out Paper Process</t>
        </is>
      </c>
      <c r="C101" s="62" t="inlineStr">
        <is>
          <t>https://hnoc.org/virtual-exhibitions/from_daguerreotype_to_digital/gelatin-silver-developing-out-paper-process</t>
        </is>
      </c>
      <c r="D101" s="62" t="inlineStr">
        <is>
          <t>DOP invented 1873 by Peter Mawdsley; process of choice by 1895; dominated 20th century B&amp;W prints</t>
        </is>
      </c>
      <c r="E101" s="62" t="inlineStr">
        <is>
          <t>музейный образовательный источник</t>
        </is>
      </c>
    </row>
    <row r="102">
      <c r="A102" s="62" t="inlineStr">
        <is>
          <t>SRC-101</t>
        </is>
      </c>
      <c r="B102" s="62" t="inlineStr">
        <is>
          <t>Smithsonian — Polaroid Land Camera Model 95</t>
        </is>
      </c>
      <c r="C102" s="62" t="inlineStr">
        <is>
          <t>https://americanhistory.si.edu/collections/object/nmah_1154069</t>
        </is>
      </c>
      <c r="D102" s="62" t="inlineStr">
        <is>
          <t>Polaroid Land Camera production in 1948; Edwin Land; instant positive print context</t>
        </is>
      </c>
      <c r="E102" s="62" t="inlineStr">
        <is>
          <t>музейная карточка предмета</t>
        </is>
      </c>
    </row>
    <row r="103">
      <c r="A103" s="62" t="inlineStr">
        <is>
          <t>SRC-102</t>
        </is>
      </c>
      <c r="B103" s="62" t="inlineStr">
        <is>
          <t>MoMA — Chromogenic print</t>
        </is>
      </c>
      <c r="C103" s="62" t="inlineStr">
        <is>
          <t>https://www.moma.org/collection/terms/chromogenic-print</t>
        </is>
      </c>
      <c r="D103" s="62" t="inlineStr">
        <is>
          <t>chromogenic print as dominant color photographic process of 20th century</t>
        </is>
      </c>
      <c r="E103" s="62" t="inlineStr">
        <is>
          <t>музейный терминологический источник</t>
        </is>
      </c>
    </row>
    <row r="104">
      <c r="A104" s="62" t="inlineStr">
        <is>
          <t>SRC-103</t>
        </is>
      </c>
      <c r="B104" s="62" t="inlineStr">
        <is>
          <t>Tate — C-print</t>
        </is>
      </c>
      <c r="C104" s="62" t="inlineStr">
        <is>
          <t>https://www.tate.org.uk/art/art-terms/c/c-print</t>
        </is>
      </c>
      <c r="D104" s="62" t="inlineStr">
        <is>
          <t>C-print / chromogenic print made from color negative or slide</t>
        </is>
      </c>
      <c r="E104" s="62" t="inlineStr">
        <is>
          <t>музейный справочник</t>
        </is>
      </c>
    </row>
    <row r="105">
      <c r="A105" s="62" t="inlineStr">
        <is>
          <t>SRC-104</t>
        </is>
      </c>
      <c r="B105" s="62" t="inlineStr">
        <is>
          <t>National Science and Media Museum — Autochromes: the dawn of colour photography</t>
        </is>
      </c>
      <c r="C105" s="62" t="inlineStr">
        <is>
          <t>https://blog.scienceandmediamuseum.org.uk/autochromes-the-dawn-of-colour-photography/</t>
        </is>
      </c>
      <c r="D105" s="62" t="inlineStr">
        <is>
          <t>Autochrome commercial manufacture 1907; positive transparency</t>
        </is>
      </c>
      <c r="E105" s="62" t="inlineStr">
        <is>
          <t>музейный источник</t>
        </is>
      </c>
    </row>
    <row r="106">
      <c r="A106" t="inlineStr">
        <is>
          <t>SRC-105</t>
        </is>
      </c>
      <c r="B106" t="inlineStr">
        <is>
          <t>The Art of the Photogravure — Hippolyte Fizeau (gold toning)</t>
        </is>
      </c>
      <c r="C106" t="inlineStr">
        <is>
          <t>https://photogravure.com/key-figure/hippolyte-fizeau/</t>
        </is>
      </c>
      <c r="D106" t="inlineStr">
        <is>
          <t>gold toning 1840 (daguerreotypes) adapted to salted paper positives by 1847; print permanence and tone</t>
        </is>
      </c>
      <c r="E106" t="inlineStr">
        <is>
          <t>исторический обзор процессов печати</t>
        </is>
      </c>
    </row>
    <row r="107">
      <c r="A107" t="inlineStr">
        <is>
          <t>SRC-106</t>
        </is>
      </c>
      <c r="B107" t="inlineStr">
        <is>
          <t>Royal Collection Trust — Carbon print</t>
        </is>
      </c>
      <c r="C107" t="inlineStr">
        <is>
          <t>https://www.rct.uk/group/381/content/explore/themes/photographic-technologies/carbon-print</t>
        </is>
      </c>
      <c r="D107" t="inlineStr">
        <is>
          <t>Poitevin carbon printing 1855: pigment-based permanent positive, response to fading of salt/albumen prints</t>
        </is>
      </c>
      <c r="E107" t="inlineStr">
        <is>
          <t>музейный технологический источник</t>
        </is>
      </c>
    </row>
    <row r="108">
      <c r="A108" t="inlineStr">
        <is>
          <t>SRC-107</t>
        </is>
      </c>
      <c r="B108" t="inlineStr">
        <is>
          <t>Historic New Orleans Collection — Platinum Process</t>
        </is>
      </c>
      <c r="C108" t="inlineStr">
        <is>
          <t>https://hnoc.org/virtual-exhibitions/from_daguerreotype_to_digital/platinum-process</t>
        </is>
      </c>
      <c r="D108" t="inlineStr">
        <is>
          <t>Willis platinotype 1873 patent / 1880 commercial paper: tonal range and archival permanence</t>
        </is>
      </c>
      <c r="E108" t="inlineStr">
        <is>
          <t>музейная виртуальная выставка</t>
        </is>
      </c>
    </row>
    <row r="109">
      <c r="A109" t="inlineStr">
        <is>
          <t>SRC-108</t>
        </is>
      </c>
      <c r="B109" t="inlineStr">
        <is>
          <t>George Eastman Museum — Dye-transfer printing (images)</t>
        </is>
      </c>
      <c r="C109" t="inlineStr">
        <is>
          <t>https://www.eastman.org/technicolor/2b-dye-transfer-printing-images</t>
        </is>
      </c>
      <c r="D109" t="inlineStr">
        <is>
          <t>Kodak Dye Transfer 1945/1946: imbibition color positive print on paper, distinct from Kodachrome transparency</t>
        </is>
      </c>
      <c r="E109" t="inlineStr">
        <is>
          <t>музейный источник по цветной печати</t>
        </is>
      </c>
    </row>
    <row r="110">
      <c r="A110" t="inlineStr">
        <is>
          <t>SRC-109</t>
        </is>
      </c>
      <c r="B110" t="inlineStr">
        <is>
          <t>ILFORD Photo — Silver Halide Prints</t>
        </is>
      </c>
      <c r="C110" t="inlineStr">
        <is>
          <t>https://www.ilfordphoto.com/silver-halide/</t>
        </is>
      </c>
      <c r="D110" t="inlineStr">
        <is>
          <t>silver halide crystals in gelatin form an emulsion used to coat paper or film; traditional B&amp;W silver halide process</t>
        </is>
      </c>
      <c r="E110" t="inlineStr">
        <is>
          <t>официальный образовательный источник ILFORD</t>
        </is>
      </c>
    </row>
    <row r="111">
      <c r="A111" t="inlineStr">
        <is>
          <t>SRC-110</t>
        </is>
      </c>
      <c r="B111" t="inlineStr">
        <is>
          <t>Canadian Conservation Institute — Processing Contemporary Black-and-White Photographic Films and Papers for Maximum Permanence</t>
        </is>
      </c>
      <c r="C111" t="inlineStr">
        <is>
          <t>https://www.canada.ca/en/conservation-institute/services/conservation-preservation-publications/canadian-conservation-institute-notes/black-white-photographic-films-papers-permanence.html</t>
        </is>
      </c>
      <c r="D111" t="inlineStr">
        <is>
          <t>B&amp;W film/paper contains silver halides in gelatin; development, stop, fixing, washing, drying; fixer removes remaining silver salts</t>
        </is>
      </c>
      <c r="E111" t="inlineStr">
        <is>
          <t>государственный консервационный источник</t>
        </is>
      </c>
    </row>
    <row r="112">
      <c r="A112" t="inlineStr">
        <is>
          <t>SRC-111</t>
        </is>
      </c>
      <c r="B112" t="inlineStr">
        <is>
          <t>Kodak — Processing KODAK Motion Picture Films, Module 15</t>
        </is>
      </c>
      <c r="C112" t="inlineStr">
        <is>
          <t>https://www.kodak.com/content/products-brochures/Film/Processing-KODAK-Motion-Picture-Films-Module-15.pdf</t>
        </is>
      </c>
      <c r="D112" t="inlineStr">
        <is>
          <t>black-and-white film structure; panchromatic/orthochromatic/blue/infrared sensitivity; antihalation support details</t>
        </is>
      </c>
      <c r="E112" t="inlineStr">
        <is>
          <t>официальный технический документ Kodak</t>
        </is>
      </c>
    </row>
    <row r="113">
      <c r="A113" t="inlineStr">
        <is>
          <t>SRC-112</t>
        </is>
      </c>
      <c r="B113" t="inlineStr">
        <is>
          <t>Kodak Professional — Black &amp; White</t>
        </is>
      </c>
      <c r="C113" t="inlineStr">
        <is>
          <t>https://kodakprofessional.com/photographers/film/black-white</t>
        </is>
      </c>
      <c r="D113" t="inlineStr">
        <is>
          <t>Kodak professional B&amp;W film range; Tri-X, T-MAX, grain, sharpness, exposure latitude</t>
        </is>
      </c>
      <c r="E113" t="inlineStr">
        <is>
          <t>официальная страница Kodak Professional</t>
        </is>
      </c>
    </row>
    <row r="114">
      <c r="A114" t="inlineStr">
        <is>
          <t>SRC-113</t>
        </is>
      </c>
      <c r="B114" t="inlineStr">
        <is>
          <t>Kodak Professional — KODAK PROFESSIONAL TRI-X Films</t>
        </is>
      </c>
      <c r="C114" t="inlineStr">
        <is>
          <t>https://kodakprofessional.com/photographers/film/black-white/kodak-professional-tri-x-films/515</t>
        </is>
      </c>
      <c r="D114" t="inlineStr">
        <is>
          <t>TRI-X: ISO 400, classic grain, high sharpness, wide exposure latitude, pushability</t>
        </is>
      </c>
      <c r="E114" t="inlineStr">
        <is>
          <t>официальная страница продукта Kodak Professional</t>
        </is>
      </c>
    </row>
    <row r="115">
      <c r="A115" t="inlineStr">
        <is>
          <t>SRC-114</t>
        </is>
      </c>
      <c r="B115" t="inlineStr">
        <is>
          <t>Kodak Professional — KODAK PROFESSIONAL T-MAX 400 Film</t>
        </is>
      </c>
      <c r="C115" t="inlineStr">
        <is>
          <t>https://www.kodakprofessional.com/photographers/film/black-white/kodak-professional-t-max-400-film/526</t>
        </is>
      </c>
      <c r="D115" t="inlineStr">
        <is>
          <t>T-MAX 400: panchromatic black-and-white negative film, T-Grain technology, sharpness and tonal performance</t>
        </is>
      </c>
      <c r="E115" t="inlineStr">
        <is>
          <t>официальная страница продукта Kodak Professional</t>
        </is>
      </c>
    </row>
    <row r="116">
      <c r="A116" t="inlineStr">
        <is>
          <t>SRC-115</t>
        </is>
      </c>
      <c r="B116" t="inlineStr">
        <is>
          <t>ILFORD Photo — Beginners Guide: Processing Film</t>
        </is>
      </c>
      <c r="C116" t="inlineStr">
        <is>
          <t>https://www.ilfordphoto.com/beginners-guide-processing-film/</t>
        </is>
      </c>
      <c r="D116" t="inlineStr">
        <is>
          <t>beginner workflow for processing B&amp;W film: tank, chemistry and practical sequence</t>
        </is>
      </c>
      <c r="E116" t="inlineStr">
        <is>
          <t>официальный практический источник ILFORD</t>
        </is>
      </c>
    </row>
    <row r="117">
      <c r="A117" t="inlineStr">
        <is>
          <t>SRC-116</t>
        </is>
      </c>
      <c r="B117" t="inlineStr">
        <is>
          <t>ILFORD Photo — Introduction to ILFORD Film Developers</t>
        </is>
      </c>
      <c r="C117" t="inlineStr">
        <is>
          <t>https://www.ilfordphoto.com/beginners-guide-film-developers/</t>
        </is>
      </c>
      <c r="D117" t="inlineStr">
        <is>
          <t>film developers turn exposed film into working negatives; developers affect processing workflow and results</t>
        </is>
      </c>
      <c r="E117" t="inlineStr">
        <is>
          <t>официальный практический источник ILFORD</t>
        </is>
      </c>
    </row>
    <row r="118">
      <c r="A118" t="inlineStr">
        <is>
          <t>SRC-117</t>
        </is>
      </c>
      <c r="B118" t="inlineStr">
        <is>
          <t>ILFORD Photo — XP2 SUPER 35mm</t>
        </is>
      </c>
      <c r="C118" t="inlineStr">
        <is>
          <t>https://www.ilfordphoto.com/xp2-super-35mm</t>
        </is>
      </c>
      <c r="D118" t="inlineStr">
        <is>
          <t>XP2 SUPER: true black-and-white film, can be processed in C41 chemicals alongside colour negative films</t>
        </is>
      </c>
      <c r="E118" t="inlineStr">
        <is>
          <t>официальная страница продукта ILFORD</t>
        </is>
      </c>
    </row>
    <row r="119">
      <c r="A119" t="inlineStr">
        <is>
          <t>SRC-118</t>
        </is>
      </c>
      <c r="B119" t="inlineStr">
        <is>
          <t>ILFORD Photo — Processing your first black and white film</t>
        </is>
      </c>
      <c r="C119" t="inlineStr">
        <is>
          <t>https://www.ilfordphoto.com/wp/wp-content/uploads/2017/04/Processing-your-first-black-and-white-film.pdf</t>
        </is>
      </c>
      <c r="D119" t="inlineStr">
        <is>
          <t>small-tank B&amp;W processing sequence; exception of XP2 SUPER as chromogenic C-41 B&amp;W film</t>
        </is>
      </c>
      <c r="E119" t="inlineStr">
        <is>
          <t>официальная PDF-инструкция ILFORD</t>
        </is>
      </c>
    </row>
    <row r="120">
      <c r="A120" t="inlineStr">
        <is>
          <t>SRC-119</t>
        </is>
      </c>
      <c r="B120" t="inlineStr">
        <is>
          <t>National Archives — Film-Based Negatives and Positives</t>
        </is>
      </c>
      <c r="C120" t="inlineStr">
        <is>
          <t>https://www.archives.gov/preservation/holdings-maintenance/film-based</t>
        </is>
      </c>
      <c r="D120" t="inlineStr">
        <is>
          <t>film base stability and preservation handling for film-based negatives, positives and transparencies</t>
        </is>
      </c>
      <c r="E120" t="inlineStr">
        <is>
          <t>архивный консервационный источник</t>
        </is>
      </c>
    </row>
    <row r="121">
      <c r="A121" t="inlineStr">
        <is>
          <t>SRC-120</t>
        </is>
      </c>
      <c r="B121" t="inlineStr">
        <is>
          <t>Kodak — Photography History</t>
        </is>
      </c>
      <c r="C121" t="inlineStr">
        <is>
          <t>https://www.kodak.com/en/company/page/photography-history/</t>
        </is>
      </c>
      <c r="D121" t="inlineStr">
        <is>
          <t>1942 KODACOLOR Film announced as the world's first true color negative film for still photography</t>
        </is>
      </c>
      <c r="E121" t="inlineStr">
        <is>
          <t>официальная история Kodak</t>
        </is>
      </c>
    </row>
    <row r="122">
      <c r="A122" t="inlineStr">
        <is>
          <t>SRC-121</t>
        </is>
      </c>
      <c r="B122" t="inlineStr">
        <is>
          <t>Library of Congress — Dye coupler negatives</t>
        </is>
      </c>
      <c r="C122" t="inlineStr">
        <is>
          <t>https://www.loc.gov/pictures/item/tgm003415/</t>
        </is>
      </c>
      <c r="D122" t="inlineStr">
        <is>
          <t>Kodacolor launched in 1942 as first commercial color negative process in the United States; Ektacolor 1947; dye coupler negatives</t>
        </is>
      </c>
      <c r="E122" t="inlineStr">
        <is>
          <t>библиотечный справочник терминов</t>
        </is>
      </c>
    </row>
    <row r="123">
      <c r="A123" t="inlineStr">
        <is>
          <t>SRC-122</t>
        </is>
      </c>
      <c r="B123" t="inlineStr">
        <is>
          <t>National Archives — Identifying Motion Picture Film Formats</t>
        </is>
      </c>
      <c r="C123" t="inlineStr">
        <is>
          <t>https://www.archives.gov/preservation/formats/motion-picture-film-identify-formats.html</t>
        </is>
      </c>
      <c r="D123" t="inlineStr">
        <is>
          <t>modern color processes embed dyes/pigments in layers producing cyan, magenta and yellow; color negatives often have orange cast</t>
        </is>
      </c>
      <c r="E123" t="inlineStr">
        <is>
          <t>архивный консервационный источник</t>
        </is>
      </c>
    </row>
    <row r="124">
      <c r="A124" t="inlineStr">
        <is>
          <t>SRC-123</t>
        </is>
      </c>
      <c r="B124" t="inlineStr">
        <is>
          <t>Kodak — Essential Reference Guide for Filmmakers</t>
        </is>
      </c>
      <c r="C124" t="inlineStr">
        <is>
          <t>https://www.kodak.com/content/products-brochures/Film/kodak-essential-reference-guide-for-filmmakers.pdf</t>
        </is>
      </c>
      <c r="D124" t="inlineStr">
        <is>
          <t>color emulsion layers, color couplers and subtractive dye formation in color film</t>
        </is>
      </c>
      <c r="E124" t="inlineStr">
        <is>
          <t>официальный технический справочник Kodak</t>
        </is>
      </c>
    </row>
    <row r="125">
      <c r="A125" t="inlineStr">
        <is>
          <t>SRC-124</t>
        </is>
      </c>
      <c r="B125" t="inlineStr">
        <is>
          <t>Kodak — Processing KODAK Motion Picture Films, Module 7</t>
        </is>
      </c>
      <c r="C125" t="inlineStr">
        <is>
          <t>https://www.kodak.com/content/products-brochures/Film/Processing-KODAK-Motion-Picture-Films-Module-7.pdf</t>
        </is>
      </c>
      <c r="D125" t="inlineStr">
        <is>
          <t>residual colored couplers and dye absorptions form masking behavior in color negative film systems</t>
        </is>
      </c>
      <c r="E125" t="inlineStr">
        <is>
          <t>официальный технический документ Kodak</t>
        </is>
      </c>
    </row>
    <row r="126">
      <c r="A126" t="inlineStr">
        <is>
          <t>SRC-125</t>
        </is>
      </c>
      <c r="B126" t="inlineStr">
        <is>
          <t>National Archives — Photographic Prints in the Still Picture Branch</t>
        </is>
      </c>
      <c r="C126" t="inlineStr">
        <is>
          <t>https://www.archives.gov/research/still-pictures/still-picture-photographic-prints</t>
        </is>
      </c>
      <c r="D126" t="inlineStr">
        <is>
          <t>chromogenic prints are subtractive color processes based on dye couplers forming cyan, magenta or yellow dyes</t>
        </is>
      </c>
      <c r="E126" t="inlineStr">
        <is>
          <t>архивный образовательный источник</t>
        </is>
      </c>
    </row>
    <row r="127">
      <c r="A127" t="inlineStr">
        <is>
          <t>SRC-126</t>
        </is>
      </c>
      <c r="B127" t="inlineStr">
        <is>
          <t>Kodak — C-41 Color Negative Control Strips</t>
        </is>
      </c>
      <c r="C127" t="inlineStr">
        <is>
          <t>https://www.kodak.com/en/motion/page/c-41-control-strips/</t>
        </is>
      </c>
      <c r="D127" t="inlineStr">
        <is>
          <t>KODAK Control Strips, Process C-41 monitor processing of color negative films in KODAK FLEXICOLOR Chemicals</t>
        </is>
      </c>
      <c r="E127" t="inlineStr">
        <is>
          <t>официальный источник Kodak по C-41</t>
        </is>
      </c>
    </row>
    <row r="128">
      <c r="A128" t="inlineStr">
        <is>
          <t>SRC-127</t>
        </is>
      </c>
      <c r="B128" t="inlineStr">
        <is>
          <t>Kodak Alaris — Chemicals: Color Negative Film Processing Cycles (C-41)</t>
        </is>
      </c>
      <c r="C128" t="inlineStr">
        <is>
          <t>https://www.kodakprofessional.com/en-gb/taxonomy/term/245</t>
        </is>
      </c>
      <c r="D128" t="inlineStr">
        <is>
          <t>KODAK FLEXICOLOR Chemicals are designed for processing all KODAK Color Negative Films and other compatible films</t>
        </is>
      </c>
      <c r="E128" t="inlineStr">
        <is>
          <t>официальный источник Kodak Alaris</t>
        </is>
      </c>
    </row>
    <row r="129">
      <c r="A129" t="inlineStr">
        <is>
          <t>SRC-128</t>
        </is>
      </c>
      <c r="B129" t="inlineStr">
        <is>
          <t>Kodak Professional — Color Films</t>
        </is>
      </c>
      <c r="C129" t="inlineStr">
        <is>
          <t>https://kodakprofessional.com/photographers/film/color</t>
        </is>
      </c>
      <c r="D129" t="inlineStr">
        <is>
          <t>current Kodak Professional color negative films and their practical photographic roles</t>
        </is>
      </c>
      <c r="E129" t="inlineStr">
        <is>
          <t>официальная страница Kodak Professional</t>
        </is>
      </c>
    </row>
    <row r="130">
      <c r="A130" t="inlineStr">
        <is>
          <t>SRC-129</t>
        </is>
      </c>
      <c r="B130" t="inlineStr">
        <is>
          <t>Kodak Professional — PORTRA 400 Film</t>
        </is>
      </c>
      <c r="C130" t="inlineStr">
        <is>
          <t>https://kodakprofessional.com/photographers/film/color/kodak-professional-portra-400-film/516</t>
        </is>
      </c>
      <c r="D130" t="inlineStr">
        <is>
          <t>KODAK PROFESSIONAL PORTRA 400 as high-speed color negative film with fine grain and portrait-oriented color performance</t>
        </is>
      </c>
      <c r="E130" t="inlineStr">
        <is>
          <t>официальная страница продукта Kodak Professional</t>
        </is>
      </c>
    </row>
    <row r="131">
      <c r="A131" t="inlineStr">
        <is>
          <t>SRC-130</t>
        </is>
      </c>
      <c r="B131" t="inlineStr">
        <is>
          <t>National Archives — Film-Based Negatives and Positives</t>
        </is>
      </c>
      <c r="C131" t="inlineStr">
        <is>
          <t>https://www.archives.gov/preservation/holdings-maintenance/film-based</t>
        </is>
      </c>
      <c r="D131" t="inlineStr">
        <is>
          <t>storage and preservation guidance for film-based negatives and positives including color film and cold storage recommendations</t>
        </is>
      </c>
      <c r="E131" t="inlineStr">
        <is>
          <t>архивный консервационный источник</t>
        </is>
      </c>
    </row>
    <row r="132">
      <c r="A132" s="62" t="inlineStr">
        <is>
          <t>SRC-131</t>
        </is>
      </c>
      <c r="B132" s="62" t="inlineStr">
        <is>
          <t>National Science and Media Museum — A short history of colour photography</t>
        </is>
      </c>
      <c r="C132" s="62" t="inlineStr">
        <is>
          <t>https://www.scienceandmediamuseum.org.uk/objects-and-stories/history-colour-photography</t>
        </is>
      </c>
      <c r="D132" s="62" t="inlineStr">
        <is>
          <t>Lumière Autochrome: first practical/commercially successful colour photography process; commercial production from 1907; Kodachrome as first commercially successful integral tripack system</t>
        </is>
      </c>
      <c r="E132" s="62" t="inlineStr">
        <is>
          <t>музейный образовательный источник</t>
        </is>
      </c>
    </row>
    <row r="133">
      <c r="A133" s="62" t="inlineStr">
        <is>
          <t>SRC-132</t>
        </is>
      </c>
      <c r="B133" s="62" t="inlineStr">
        <is>
          <t>The Metropolitan Museum of Art — Original Autochromes Produced Using the First Color Photographic Process</t>
        </is>
      </c>
      <c r="C133" s="62" t="inlineStr">
        <is>
          <t>https://www.metmuseum.org/de/press-releases/original-color-photographs-by-stieglitz-and-steichen-january-25-30-2011-exhibitions</t>
        </is>
      </c>
      <c r="D133" s="62" t="inlineStr">
        <is>
          <t>Autochromes introduced in France in 1907 by Auguste and Louis Lumière; one-of-a-kind color transparencies viewed when backlit</t>
        </is>
      </c>
      <c r="E133" s="62" t="inlineStr">
        <is>
          <t>музейный источник по автохромам</t>
        </is>
      </c>
    </row>
    <row r="134">
      <c r="A134" s="62" t="inlineStr">
        <is>
          <t>SRC-133</t>
        </is>
      </c>
      <c r="B134" s="62" t="inlineStr">
        <is>
          <t>Kodak — 100 Years of 16mm Film</t>
        </is>
      </c>
      <c r="C134" s="62" t="inlineStr">
        <is>
          <t>https://www.kodak.com/en/motion/page/100-years-of-16mm-film/</t>
        </is>
      </c>
      <c r="D134" s="62" t="inlineStr">
        <is>
          <t>1923: Kodak made amateur motion pictures practical with 16mm reversal film, Cine-Kodak camera and Kodascope projector; 1935 Kodachrome introduced in 16mm</t>
        </is>
      </c>
      <c r="E134" s="62" t="inlineStr">
        <is>
          <t>официальный исторический источник Kodak</t>
        </is>
      </c>
    </row>
    <row r="135">
      <c r="A135" s="62" t="inlineStr">
        <is>
          <t>SRC-134</t>
        </is>
      </c>
      <c r="B135" s="62" t="inlineStr">
        <is>
          <t>Kodak — History of Film</t>
        </is>
      </c>
      <c r="C135" s="62" t="inlineStr">
        <is>
          <t>https://www.kodak.com/en/motion/page/chronology-of-film/</t>
        </is>
      </c>
      <c r="D135" s="62" t="inlineStr">
        <is>
          <t>Kodachrome introduced in 1935 as first commercially successful amateur color film, initially 16mm; 35mm slides and 8mm home movies followed in 1936</t>
        </is>
      </c>
      <c r="E135" s="62" t="inlineStr">
        <is>
          <t>официальная хронология Kodak</t>
        </is>
      </c>
    </row>
    <row r="136">
      <c r="A136" s="62" t="inlineStr">
        <is>
          <t>SRC-135</t>
        </is>
      </c>
      <c r="B136" s="62" t="inlineStr">
        <is>
          <t>Kodak — Milestones</t>
        </is>
      </c>
      <c r="C136" s="62" t="inlineStr">
        <is>
          <t>https://www.kodak.com/en/company/page/milestones/</t>
        </is>
      </c>
      <c r="D136" s="62" t="inlineStr">
        <is>
          <t>1935 Kodachrome introduced; 1946 Kodak marketed EKTACHROME Transparency Sheet Film, first Kodak color film photographers could process themselves using chemical kits</t>
        </is>
      </c>
      <c r="E136" s="62" t="inlineStr">
        <is>
          <t>официальные вехи Kodak</t>
        </is>
      </c>
    </row>
    <row r="137">
      <c r="A137" s="62" t="inlineStr">
        <is>
          <t>SRC-136</t>
        </is>
      </c>
      <c r="B137" s="62" t="inlineStr">
        <is>
          <t>V&amp;A — Colour photography</t>
        </is>
      </c>
      <c r="C137" s="62" t="inlineStr">
        <is>
          <t>https://www.vam.ac.uk/articles/colour-photography</t>
        </is>
      </c>
      <c r="D137" s="62" t="inlineStr">
        <is>
          <t>Autochrome became widely accessible in 1907; Kodachrome introduced in 35mm format in 1936 and replaced Autochrome as a leading colour process</t>
        </is>
      </c>
      <c r="E137" s="62" t="inlineStr">
        <is>
          <t>музейный обзор истории цветной фотографии</t>
        </is>
      </c>
    </row>
    <row r="138">
      <c r="A138" s="62" t="inlineStr">
        <is>
          <t>SRC-137</t>
        </is>
      </c>
      <c r="B138" s="62" t="inlineStr">
        <is>
          <t>National Archives — Archival Formats: Glossary of Terms</t>
        </is>
      </c>
      <c r="C138" s="62" t="inlineStr">
        <is>
          <t>https://www.archives.gov/preservation/formats/glossary.html</t>
        </is>
      </c>
      <c r="D138" s="62" t="inlineStr">
        <is>
          <t>When used in a camera, reversal stock develops into a positive; glossary also distinguishes color negatives with orange masking</t>
        </is>
      </c>
      <c r="E138" s="62" t="inlineStr">
        <is>
          <t>архивный терминологический источник</t>
        </is>
      </c>
    </row>
    <row r="139">
      <c r="A139" s="62" t="inlineStr">
        <is>
          <t>SRC-138</t>
        </is>
      </c>
      <c r="B139" s="62" t="inlineStr">
        <is>
          <t>Kodak — EKTACHROME Color Reversal Control Strips Process E-6</t>
        </is>
      </c>
      <c r="C139" s="62" t="inlineStr">
        <is>
          <t>https://www.kodak.com/en/motion/page/ektachrome-color-reversal-control-strips/</t>
        </is>
      </c>
      <c r="D139" s="62" t="inlineStr">
        <is>
          <t>KODAK EKTACHROME control strips monitor processing of color reversal films through Process E-6</t>
        </is>
      </c>
      <c r="E139" s="62" t="inlineStr">
        <is>
          <t>официальный источник Kodak по E-6</t>
        </is>
      </c>
    </row>
    <row r="140">
      <c r="A140" s="62" t="inlineStr">
        <is>
          <t>SRC-139</t>
        </is>
      </c>
      <c r="B140" s="62" t="inlineStr">
        <is>
          <t>National Archives — Photographs</t>
        </is>
      </c>
      <c r="C140" s="62" t="inlineStr">
        <is>
          <t>https://www.archives.gov/preservation/holdings-maintenance/photographs</t>
        </is>
      </c>
      <c r="D140" s="62" t="inlineStr">
        <is>
          <t>NARA holdings include film-based negatives, transparencies and slides; preservation page links them to photographic processes and handling</t>
        </is>
      </c>
      <c r="E140" s="62" t="inlineStr">
        <is>
          <t>архивный консервационный источник</t>
        </is>
      </c>
    </row>
    <row r="141">
      <c r="A141" s="62" t="inlineStr">
        <is>
          <t>SRC-140</t>
        </is>
      </c>
      <c r="B141" s="62" t="inlineStr">
        <is>
          <t>Kodak — EKTACHROME E100 Film</t>
        </is>
      </c>
      <c r="C141" s="62" t="inlineStr">
        <is>
          <t>https://www.kodak.com/en/still-film/product/professional/ektachrome-e100-film/</t>
        </is>
      </c>
      <c r="D141" s="62" t="inlineStr">
        <is>
          <t>KODAK EKTACHROME E100 is daylight-balanced color reversal film, ISO 100/21°, designed for E-6 processing</t>
        </is>
      </c>
      <c r="E141" s="62" t="inlineStr">
        <is>
          <t>официальная страница продукта Kodak</t>
        </is>
      </c>
    </row>
    <row r="142">
      <c r="A142" s="62" t="inlineStr">
        <is>
          <t>SRC-141</t>
        </is>
      </c>
      <c r="B142" s="62" t="inlineStr">
        <is>
          <t>Kodak Moments — Ektachrome 120 FAQs</t>
        </is>
      </c>
      <c r="C142" s="62" t="inlineStr">
        <is>
          <t>https://business.kodakmoments.com/sites/default/files/files/products/Ektachrome_120_FAQs_English.pdf</t>
        </is>
      </c>
      <c r="D142" s="62" t="inlineStr">
        <is>
          <t>Color reversal film has a much narrower exposure range than negative-working films; transparency itself serves as a color reference for scanning</t>
        </is>
      </c>
      <c r="E142" s="62" t="inlineStr">
        <is>
          <t>официальный/лицензионный справочник Kodak Moments</t>
        </is>
      </c>
    </row>
    <row r="143">
      <c r="A143" s="62" t="inlineStr">
        <is>
          <t>SRC-142</t>
        </is>
      </c>
      <c r="B143" s="62" t="inlineStr">
        <is>
          <t>National Archives — What is the Best Way to Store Negatives and Transparencies?</t>
        </is>
      </c>
      <c r="C143" s="62" t="inlineStr">
        <is>
          <t>https://www.archives.gov/preservation/storage/negatives-transparencies.html</t>
        </is>
      </c>
      <c r="D143" s="62" t="inlineStr">
        <is>
          <t>Guidance on storage materials for negatives and transparencies, including PAT-approved papers/plastics and enclosures</t>
        </is>
      </c>
      <c r="E143" s="62" t="inlineStr">
        <is>
          <t>архивный источник по хранению</t>
        </is>
      </c>
    </row>
    <row r="144">
      <c r="A144" t="inlineStr">
        <is>
          <t>SRC-143</t>
        </is>
      </c>
      <c r="B144" t="inlineStr">
        <is>
          <t>ISO — ISO 6:1993 Camera film speed</t>
        </is>
      </c>
      <c r="C144" t="inlineStr">
        <is>
          <t>https://www.iso.org/iso-6-camera-film-speed.html</t>
        </is>
      </c>
      <c r="D144" t="inlineStr">
        <is>
          <t>Official ISO article explaining camera film speed, ASA heritage and ISO film-speed standards</t>
        </is>
      </c>
      <c r="E144" t="inlineStr">
        <is>
          <t>официальный источник ISO по светочувствительности плёнки</t>
        </is>
      </c>
    </row>
    <row r="145">
      <c r="A145" t="inlineStr">
        <is>
          <t>SRC-144</t>
        </is>
      </c>
      <c r="B145" t="inlineStr">
        <is>
          <t>ISO — ISO 5800:1987 Colour negative films</t>
        </is>
      </c>
      <c r="C145" t="inlineStr">
        <is>
          <t>https://www.iso.org/standard/11948.html</t>
        </is>
      </c>
      <c r="D145" t="inlineStr">
        <is>
          <t>Photography — Colour negative films for still photography — Determination of ISO speed</t>
        </is>
      </c>
      <c r="E145" t="inlineStr">
        <is>
          <t>официальный стандарт ISO для цветных негативных плёнок</t>
        </is>
      </c>
    </row>
    <row r="146">
      <c r="A146" t="inlineStr">
        <is>
          <t>SRC-145</t>
        </is>
      </c>
      <c r="B146" t="inlineStr">
        <is>
          <t>ISO — ISO 2240:2003 Colour reversal camera films</t>
        </is>
      </c>
      <c r="C146" t="inlineStr">
        <is>
          <t>https://www.iso.org/standard/34533.html</t>
        </is>
      </c>
      <c r="D146" t="inlineStr">
        <is>
          <t>Method for determining ISO speed of colour reversal camera films intended for viewing as transparencies or projection as slides</t>
        </is>
      </c>
      <c r="E146" t="inlineStr">
        <is>
          <t>официальный стандарт ISO для обращаемых / слайдовых плёнок</t>
        </is>
      </c>
    </row>
    <row r="147">
      <c r="A147" t="inlineStr">
        <is>
          <t>SRC-146</t>
        </is>
      </c>
      <c r="B147" t="inlineStr">
        <is>
          <t>ILFORD — Choosing your first ILFORD film</t>
        </is>
      </c>
      <c r="C147" t="inlineStr">
        <is>
          <t>https://www.ilfordphoto.com/choosing-your-first-ilford-film/</t>
        </is>
      </c>
      <c r="D147" t="inlineStr">
        <is>
          <t>Film speed / ISO is the measure of film sensitivity to light; film families and speed choices explained for beginners</t>
        </is>
      </c>
      <c r="E147" t="inlineStr">
        <is>
          <t>официальный учебный источник ILFORD</t>
        </is>
      </c>
    </row>
    <row r="148">
      <c r="A148" t="inlineStr">
        <is>
          <t>SRC-147</t>
        </is>
      </c>
      <c r="B148" t="inlineStr">
        <is>
          <t>Kodak — Essential Reference Guide for Filmmakers</t>
        </is>
      </c>
      <c r="C148" t="inlineStr">
        <is>
          <t>https://www.kodak.com/content/products-brochures/Film/kodak-essential-reference-guide-for-filmmakers.pdf</t>
        </is>
      </c>
      <c r="D148" t="inlineStr">
        <is>
          <t>Proper exposure depends on exposure time, lens opening, scene luminance and film speed / Exposure Index; includes characteristic curve basics</t>
        </is>
      </c>
      <c r="E148" t="inlineStr">
        <is>
          <t>официальное справочное руководство Kodak</t>
        </is>
      </c>
    </row>
    <row r="149">
      <c r="A149" t="inlineStr">
        <is>
          <t>SRC-148</t>
        </is>
      </c>
      <c r="B149" t="inlineStr">
        <is>
          <t>Kodak — Frequently Asked Questions</t>
        </is>
      </c>
      <c r="C149" t="inlineStr">
        <is>
          <t>https://www.kodak.com/en/motion/page/frequently-asked-questions/</t>
        </is>
      </c>
      <c r="D149" t="inlineStr">
        <is>
          <t>Exposure Index values should not be treated as absolute fixed speed values and may be adjusted after tests</t>
        </is>
      </c>
      <c r="E149" t="inlineStr">
        <is>
          <t>официальный источник Kodak по EI и практическому тестированию</t>
        </is>
      </c>
    </row>
    <row r="150">
      <c r="A150" t="inlineStr">
        <is>
          <t>SRC-149</t>
        </is>
      </c>
      <c r="B150" t="inlineStr">
        <is>
          <t>ILFORD — HP5 PLUS 35mm</t>
        </is>
      </c>
      <c r="C150" t="inlineStr">
        <is>
          <t>https://www.ilfordphoto.com/hp5-plus-35mm?___from_store=ilford_uk&amp;___store=ilford_brochure</t>
        </is>
      </c>
      <c r="D150" t="inlineStr">
        <is>
          <t>HP5 PLUS is ISO 400 high-speed black and white film with wide exposure latitude</t>
        </is>
      </c>
      <c r="E150" t="inlineStr">
        <is>
          <t>официальная страница продукта ILFORD</t>
        </is>
      </c>
    </row>
    <row r="151">
      <c r="A151" t="inlineStr">
        <is>
          <t>SRC-150</t>
        </is>
      </c>
      <c r="B151" t="inlineStr">
        <is>
          <t>ILFORD — DELTA 3200 PROFESSIONAL</t>
        </is>
      </c>
      <c r="C151" t="inlineStr">
        <is>
          <t>https://www.ilfordphoto.com/delta-3200-professional-bulk-length-film?___from_store=ilford_uk&amp;___store=ilford_brochure</t>
        </is>
      </c>
      <c r="D151" t="inlineStr">
        <is>
          <t>DELTA 3200 Professional: exceptionally high-speed black and white film with nominal sensitivity EI 3200/36°</t>
        </is>
      </c>
      <c r="E151" t="inlineStr">
        <is>
          <t>официальная страница продукта ILFORD</t>
        </is>
      </c>
    </row>
    <row r="152">
      <c r="A152" t="inlineStr">
        <is>
          <t>SRC-151</t>
        </is>
      </c>
      <c r="B152" t="inlineStr">
        <is>
          <t>Kodak — Push / Pull Film Processing</t>
        </is>
      </c>
      <c r="C152" t="inlineStr">
        <is>
          <t>https://www.kodak.com/en/motion/page/push-pull-processing/</t>
        </is>
      </c>
      <c r="D152" t="inlineStr">
        <is>
          <t>Push/pull processing can compensate for non-standard exposure / speed conditions used for film</t>
        </is>
      </c>
      <c r="E152" t="inlineStr">
        <is>
          <t>официальный источник Kodak по push/pull</t>
        </is>
      </c>
    </row>
    <row r="153">
      <c r="A153" t="inlineStr">
        <is>
          <t>SRC-152</t>
        </is>
      </c>
      <c r="B153" t="inlineStr">
        <is>
          <t>Kodak — Still Film Products</t>
        </is>
      </c>
      <c r="C153" t="inlineStr">
        <is>
          <t>https://www.kodak.com/en/still-film/products/</t>
        </is>
      </c>
      <c r="D153" t="inlineStr">
        <is>
          <t>Kodak still-film catalogue noting films with ISO speeds, broad exposure latitude and multi-speed push capabilities</t>
        </is>
      </c>
      <c r="E153" t="inlineStr">
        <is>
          <t>официальный каталог плёнки Kodak</t>
        </is>
      </c>
    </row>
    <row r="154">
      <c r="A154" t="inlineStr">
        <is>
          <t>SRC-153</t>
        </is>
      </c>
      <c r="B154" t="inlineStr">
        <is>
          <t>ILFORD — Silver halide prints</t>
        </is>
      </c>
      <c r="C154" t="inlineStr">
        <is>
          <t>https://www.ilfordphoto.com/silver-halide</t>
        </is>
      </c>
      <c r="D154" t="inlineStr">
        <is>
          <t>Silver halide crystals in gelatin form part of an emulsion used to coat photographic paper or film</t>
        </is>
      </c>
      <c r="E154" t="inlineStr">
        <is>
          <t>официальный источник ILFORD по серебряно-желатиновому принципу</t>
        </is>
      </c>
    </row>
    <row r="155">
      <c r="A155" t="inlineStr">
        <is>
          <t>SRC-154</t>
        </is>
      </c>
      <c r="B155" t="inlineStr">
        <is>
          <t>ILFORD — PAN F PLUS 35mm</t>
        </is>
      </c>
      <c r="C155" t="inlineStr">
        <is>
          <t>https://www.ilfordphoto.com/pan-f-plus-35mm?___from_store=ilford_uk&amp;___store=ilford_brochure</t>
        </is>
      </c>
      <c r="D155" t="inlineStr">
        <is>
          <t>PAN F PLUS is a slow speed black and white film offering exceptionally fine grain, sharpness and detail</t>
        </is>
      </c>
      <c r="E155" t="inlineStr">
        <is>
          <t>официальная страница продукта ILFORD</t>
        </is>
      </c>
    </row>
    <row r="156">
      <c r="A156" t="inlineStr">
        <is>
          <t>SRC-155</t>
        </is>
      </c>
      <c r="B156" t="inlineStr">
        <is>
          <t>ILFORD — FP4 PLUS Sheet Film</t>
        </is>
      </c>
      <c r="C156" t="inlineStr">
        <is>
          <t>https://www.ilfordphoto.com/fp4-plus-sheet-film?___from_store=ilford_uk&amp;___store=ilford_brochure</t>
        </is>
      </c>
      <c r="D156" t="inlineStr">
        <is>
          <t>FP4 PLUS is medium-speed all-purpose black and white film with very fine grain, outstanding sharpness and superb exposure latitude</t>
        </is>
      </c>
      <c r="E156" t="inlineStr">
        <is>
          <t>официальная страница продукта ILFORD</t>
        </is>
      </c>
    </row>
    <row r="157">
      <c r="A157" t="inlineStr">
        <is>
          <t>SRC-156</t>
        </is>
      </c>
      <c r="B157" t="inlineStr">
        <is>
          <t>ILFORD — Introduction to ILFORD Film Developers</t>
        </is>
      </c>
      <c r="C157" t="inlineStr">
        <is>
          <t>https://www.ilfordphoto.com/beginners-guide-film-developers/?___from_store=ilford_uk</t>
        </is>
      </c>
      <c r="D157" t="inlineStr">
        <is>
          <t>Some developers exploit film speed; others act on grain structure by reducing grain</t>
        </is>
      </c>
      <c r="E157" t="inlineStr">
        <is>
          <t>официальный учебный источник ILFORD по проявителям</t>
        </is>
      </c>
    </row>
    <row r="158">
      <c r="A158" t="inlineStr">
        <is>
          <t>SRC-157</t>
        </is>
      </c>
      <c r="B158" t="inlineStr">
        <is>
          <t>ILFORD — Film FAQs</t>
        </is>
      </c>
      <c r="C158" t="inlineStr">
        <is>
          <t>https://www.ilfordphoto.com/faqs/ilford-film-faqs/?___from_store=ilford_uk&amp;___store=ilford_brochure</t>
        </is>
      </c>
      <c r="D158" t="inlineStr">
        <is>
          <t>Scanner auto-sharpening can enhance visible grain; DELTA films use newer Core-Shell crystal structure for finer grain and sharpness</t>
        </is>
      </c>
      <c r="E158" t="inlineStr">
        <is>
          <t>официальный FAQ ILFORD</t>
        </is>
      </c>
    </row>
    <row r="159">
      <c r="A159" t="inlineStr">
        <is>
          <t>SRC-158</t>
        </is>
      </c>
      <c r="B159" t="inlineStr">
        <is>
          <t>Kodak — Glossary of Motion Picture Terms</t>
        </is>
      </c>
      <c r="C159" t="inlineStr">
        <is>
          <t>https://www.kodak.com/en/motion/page/glossary-of-motion-picture-terms/</t>
        </is>
      </c>
      <c r="D159" t="inlineStr">
        <is>
          <t>Defines T-GRAIN Emulsion, toe/shoulder/D-Max and other sensitometric terms related to film response</t>
        </is>
      </c>
      <c r="E159" t="inlineStr">
        <is>
          <t>официальный словарь Kodak</t>
        </is>
      </c>
    </row>
    <row r="160">
      <c r="A160" t="inlineStr">
        <is>
          <t>SRC-159</t>
        </is>
      </c>
      <c r="B160" t="inlineStr">
        <is>
          <t>Kodak Professional — T-MAX 100 Film</t>
        </is>
      </c>
      <c r="C160" t="inlineStr">
        <is>
          <t>https://www.kodakprofessional.com/photographers/film/black-white/kodak-professional-t-max-100-film/525</t>
        </is>
      </c>
      <c r="D160" t="inlineStr">
        <is>
          <t>KODAK PROFESSIONAL T-MAX 100 is described as extremely fine-grained 100-speed black-and-white film</t>
        </is>
      </c>
      <c r="E160" t="inlineStr">
        <is>
          <t>официальная страница Kodak Professional</t>
        </is>
      </c>
    </row>
    <row r="161">
      <c r="A161" t="inlineStr">
        <is>
          <t>SRC-160</t>
        </is>
      </c>
      <c r="B161" t="inlineStr">
        <is>
          <t>Kodak Professional — T-MAX P3200 Technical Data</t>
        </is>
      </c>
      <c r="C161" t="inlineStr">
        <is>
          <t>https://www.kodakprofessional.com/sites/default/files/wysiwyg/pro/resources/f4001_tmax_3200_0.pdf</t>
        </is>
      </c>
      <c r="D161" t="inlineStr">
        <is>
          <t>T-MAX P3200 combines high to ultra-high film speeds with finer grain than other fast black-and-white films; uses KODAK T-GRAIN emulsion</t>
        </is>
      </c>
      <c r="E161" t="inlineStr">
        <is>
          <t>официальный технический PDF Kodak Professional</t>
        </is>
      </c>
    </row>
    <row r="162">
      <c r="A162" t="inlineStr">
        <is>
          <t>SRC-161</t>
        </is>
      </c>
      <c r="B162" t="inlineStr">
        <is>
          <t>Kodak — EKTAR 100 Film</t>
        </is>
      </c>
      <c r="C162" t="inlineStr">
        <is>
          <t>https://www.kodak.com/en/still-film/product/professional/ektar-100-film/</t>
        </is>
      </c>
      <c r="D162" t="inlineStr">
        <is>
          <t>EKTAR 100 is low-speed ISO 100/21° colour negative film with very smooth/fine grain positioning</t>
        </is>
      </c>
      <c r="E162" t="inlineStr">
        <is>
          <t>официальная страница продукта Kodak</t>
        </is>
      </c>
    </row>
    <row r="163">
      <c r="A163" t="inlineStr">
        <is>
          <t>SRC-162</t>
        </is>
      </c>
      <c r="B163" t="inlineStr">
        <is>
          <t>Kodak — Basic Photographic Sensitometry Workbook</t>
        </is>
      </c>
      <c r="C163" t="inlineStr">
        <is>
          <t>https://www.kodak.com/content/products-brochures/Film/Basic-Photographic-Sensitometry-Workbook.pdf</t>
        </is>
      </c>
      <c r="D163" t="inlineStr">
        <is>
          <t>The characteristic curve tells key film characteristics and includes toe, straight-line portion and shoulder</t>
        </is>
      </c>
      <c r="E163" t="inlineStr">
        <is>
          <t>официальный учебный PDF Kodak по сенситометрии</t>
        </is>
      </c>
    </row>
    <row r="164">
      <c r="A164" t="inlineStr">
        <is>
          <t>SRC-163</t>
        </is>
      </c>
      <c r="B164" t="inlineStr">
        <is>
          <t>Kodak Professional — EKTACHROME E100 FAQs 2024</t>
        </is>
      </c>
      <c r="C164" t="inlineStr">
        <is>
          <t>https://www.kodakprofessional.com/sites/default/files/wysiwyg/E100%20FAQs%20PDF%202024.pdf</t>
        </is>
      </c>
      <c r="D164" t="inlineStr">
        <is>
          <t>Color reversal films have much narrower exposure range than negative-working films, about +/- half a stop</t>
        </is>
      </c>
      <c r="E164" t="inlineStr">
        <is>
          <t>официальный FAQ Kodak Professional по слайдовой плёнке</t>
        </is>
      </c>
    </row>
    <row r="165">
      <c r="A165" t="inlineStr">
        <is>
          <t>SRC-164</t>
        </is>
      </c>
      <c r="B165" t="inlineStr">
        <is>
          <t>Kodak — EKTACOLOR PRO 400 Film</t>
        </is>
      </c>
      <c r="C165" t="inlineStr">
        <is>
          <t>https://www.kodak.com/en/still-film/product/professional/ektacolor/ektacolor-pro-400-film/</t>
        </is>
      </c>
      <c r="D165" t="inlineStr">
        <is>
          <t>EKTACOLOR PRO family offers outstanding exposure latitude and accommodates variations in exposure</t>
        </is>
      </c>
      <c r="E165" t="inlineStr">
        <is>
          <t>официальная страница продукта Kodak</t>
        </is>
      </c>
    </row>
    <row r="166">
      <c r="A166" t="inlineStr">
        <is>
          <t>SRC-165</t>
        </is>
      </c>
      <c r="B166" t="inlineStr">
        <is>
          <t>Kodak — Gray Card for the Cinematographer</t>
        </is>
      </c>
      <c r="C166" t="inlineStr">
        <is>
          <t>https://www.kodak.com/en/motion/page/for-the-cinematographer/</t>
        </is>
      </c>
      <c r="D166" t="inlineStr">
        <is>
          <t>Kodak recommends normal exposure with gray card to provide a full-range negative for transfer grading and film timing</t>
        </is>
      </c>
      <c r="E166" t="inlineStr">
        <is>
          <t>официальный источник Kodak по нормальной экспозиции и серой карте</t>
        </is>
      </c>
    </row>
    <row r="167">
      <c r="A167" t="inlineStr">
        <is>
          <t>SRC-166</t>
        </is>
      </c>
      <c r="B167" t="inlineStr">
        <is>
          <t>Wikipedia — Film grain</t>
        </is>
      </c>
      <c r="C167" t="inlineStr">
        <is>
          <t>https://en.wikipedia.org/wiki/Film_grain</t>
        </is>
      </c>
      <c r="D167" t="inlineStr">
        <is>
          <t>PL-HIST-0187 (флагман PL-019): зерно как оптический эффект скоплений серебра, а не отдельный кристалл</t>
        </is>
      </c>
      <c r="E167" t="inlineStr">
        <is>
          <t>Общий образовательный источник (не производитель); проверено по содержанию статьи вручную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selection activeCell="A1" sqref="A1"/>
    </sheetView>
  </sheetViews>
  <sheetFormatPr baseColWidth="10" defaultColWidth="8.6640625" defaultRowHeight="13"/>
  <cols>
    <col width="13.6640625" customWidth="1" style="59" min="1" max="1"/>
    <col width="57.83203125" customWidth="1" style="59" min="2" max="2"/>
    <col width="14.6640625" customWidth="1" style="59" min="3" max="3"/>
    <col width="28" customWidth="1" style="59" min="4" max="4"/>
    <col width="8.1640625" customWidth="1" style="59" min="5" max="5"/>
    <col width="10.6640625" customWidth="1" style="59" min="6" max="6"/>
    <col width="30.6640625" customWidth="1" style="59" min="7" max="7"/>
    <col width="40.1640625" customWidth="1" style="59" min="8" max="8"/>
  </cols>
  <sheetData>
    <row r="1" ht="37" customHeight="1" s="59">
      <c r="A1" s="60" t="inlineStr">
        <is>
          <t>Точность даты</t>
        </is>
      </c>
      <c r="B1" s="60" t="inlineStr">
        <is>
          <t>Статус ветки</t>
        </is>
      </c>
      <c r="C1" s="60" t="inlineStr">
        <is>
          <t>Урок</t>
        </is>
      </c>
      <c r="D1" s="60" t="inlineStr">
        <is>
          <t>Ветка</t>
        </is>
      </c>
      <c r="E1" s="60" t="inlineStr">
        <is>
          <t>Важность</t>
        </is>
      </c>
      <c r="F1" s="60" t="inlineStr">
        <is>
          <t>Уверенность</t>
        </is>
      </c>
      <c r="G1" s="61" t="inlineStr">
        <is>
          <t>Тип узла</t>
        </is>
      </c>
      <c r="H1" s="61" t="inlineStr">
        <is>
          <t>Подветка (детали)</t>
        </is>
      </c>
    </row>
    <row r="2" ht="21" customHeight="1" s="59">
      <c r="A2" s="4" t="inlineStr">
        <is>
          <t>точная дата</t>
        </is>
      </c>
      <c r="B2" s="4" t="inlineStr">
        <is>
          <t>Временная доминирующая линия</t>
        </is>
      </c>
      <c r="C2" s="63" t="inlineStr">
        <is>
          <t>PL-001</t>
        </is>
      </c>
      <c r="D2" s="4" t="inlineStr">
        <is>
          <t>Оптика / камера-обскура</t>
        </is>
      </c>
      <c r="E2" s="4" t="n">
        <v>1</v>
      </c>
      <c r="F2" s="4" t="n">
        <v>1</v>
      </c>
      <c r="G2" s="8" t="inlineStr">
        <is>
          <t>Фундаментальная предпосылка</t>
        </is>
      </c>
      <c r="H2" s="8" t="inlineStr">
        <is>
          <t>Оптика / терминология</t>
        </is>
      </c>
    </row>
    <row r="3" ht="21" customHeight="1" s="59">
      <c r="A3" s="4" t="inlineStr">
        <is>
          <t>год</t>
        </is>
      </c>
      <c r="B3" s="4" t="inlineStr">
        <is>
          <t>Главная линия</t>
        </is>
      </c>
      <c r="C3" s="63" t="inlineStr">
        <is>
          <t>PL-002</t>
        </is>
      </c>
      <c r="D3" s="4" t="inlineStr">
        <is>
          <t>Оптические инструменты</t>
        </is>
      </c>
      <c r="E3" s="4" t="n">
        <v>2</v>
      </c>
      <c r="F3" s="4" t="n">
        <v>2</v>
      </c>
      <c r="G3" s="8" t="inlineStr">
        <is>
          <t>Технология / процесс</t>
        </is>
      </c>
      <c r="H3" s="8" t="inlineStr">
        <is>
          <t>Оптика / камера</t>
        </is>
      </c>
    </row>
    <row r="4" ht="21" customHeight="1" s="59">
      <c r="A4" s="4" t="inlineStr">
        <is>
          <t>примерно</t>
        </is>
      </c>
      <c r="B4" s="4" t="inlineStr">
        <is>
          <t>Главная линия / временная доминирующая линия</t>
        </is>
      </c>
      <c r="C4" s="63" t="inlineStr">
        <is>
          <t>PL-003</t>
        </is>
      </c>
      <c r="D4" s="4" t="inlineStr">
        <is>
          <t>Фотохимия</t>
        </is>
      </c>
      <c r="E4" s="4" t="n">
        <v>3</v>
      </c>
      <c r="F4" s="4" t="n">
        <v>3</v>
      </c>
      <c r="G4" s="8" t="inlineStr">
        <is>
          <t>Инструмент / устройство</t>
        </is>
      </c>
      <c r="H4" s="8" t="inlineStr">
        <is>
          <t>Оптические инструменты / 3D</t>
        </is>
      </c>
    </row>
    <row r="5" ht="21" customHeight="1" s="59">
      <c r="A5" s="4" t="inlineStr">
        <is>
          <t>диапазон</t>
        </is>
      </c>
      <c r="B5" s="4" t="inlineStr">
        <is>
          <t>Исторически важная ограниченная ветка</t>
        </is>
      </c>
      <c r="C5" s="63" t="inlineStr">
        <is>
          <t>PL-004</t>
        </is>
      </c>
      <c r="D5" s="4" t="inlineStr">
        <is>
          <t>Гелиография</t>
        </is>
      </c>
      <c r="E5" s="4" t="n">
        <v>4</v>
      </c>
      <c r="F5" s="4" t="n">
        <v>4</v>
      </c>
      <c r="G5" s="8" t="inlineStr">
        <is>
          <t>Публикация / объявление</t>
        </is>
      </c>
      <c r="H5" s="8" t="inlineStr">
        <is>
          <t>Фотохимия / фиксация</t>
        </is>
      </c>
    </row>
    <row r="6" ht="42" customHeight="1" s="59">
      <c r="A6" s="4" t="inlineStr">
        <is>
          <t>спорно/уточнить</t>
        </is>
      </c>
      <c r="B6" s="4" t="inlineStr">
        <is>
          <t>Исторически важная ограниченная ветка / художественное возрождение</t>
        </is>
      </c>
      <c r="C6" s="63" t="inlineStr">
        <is>
          <t>PL-005</t>
        </is>
      </c>
      <c r="D6" s="4" t="inlineStr">
        <is>
          <t>Дагеротип</t>
        </is>
      </c>
      <c r="E6" s="4" t="n">
        <v>5</v>
      </c>
      <c r="F6" s="4" t="n">
        <v>5</v>
      </c>
      <c r="G6" s="8" t="inlineStr">
        <is>
          <t>Терминология / язык</t>
        </is>
      </c>
      <c r="H6" s="8" t="inlineStr">
        <is>
          <t>Фотохимия / первая фиксация</t>
        </is>
      </c>
    </row>
    <row r="7" ht="42" customHeight="1" s="59">
      <c r="A7" s="4" t="n"/>
      <c r="B7" s="4" t="inlineStr">
        <is>
          <t>Оптическая предпосылка</t>
        </is>
      </c>
      <c r="C7" s="63" t="inlineStr">
        <is>
          <t>PL-006</t>
        </is>
      </c>
      <c r="D7" s="4" t="inlineStr">
        <is>
          <t>Фотогенный рисунок / фотограмма</t>
        </is>
      </c>
      <c r="E7" s="4" t="n"/>
      <c r="F7" s="4" t="n"/>
      <c r="G7" s="8" t="inlineStr">
        <is>
          <t>Связь / переход</t>
        </is>
      </c>
      <c r="H7" s="8" t="inlineStr">
        <is>
          <t>Фотохимия / публикация</t>
        </is>
      </c>
    </row>
    <row r="8" ht="21" customHeight="1" s="59">
      <c r="A8" s="4" t="n"/>
      <c r="B8" s="4" t="inlineStr">
        <is>
          <t>Переходная технология</t>
        </is>
      </c>
      <c r="C8" s="63" t="inlineStr">
        <is>
          <t>PL-007</t>
        </is>
      </c>
      <c r="D8" s="4" t="inlineStr">
        <is>
          <t>Негатив-позитив</t>
        </is>
      </c>
      <c r="E8" s="4" t="n"/>
      <c r="F8" s="4" t="n"/>
      <c r="G8" s="8" t="inlineStr">
        <is>
          <t>Тиражирование / публикация</t>
        </is>
      </c>
      <c r="H8" s="8" t="inlineStr">
        <is>
          <t>Фотохимия / первая фиксация</t>
        </is>
      </c>
    </row>
    <row r="9" ht="42" customHeight="1" s="59">
      <c r="A9" s="4" t="n"/>
      <c r="B9" s="4" t="inlineStr">
        <is>
          <t>Переходная технология / художественное возрождение</t>
        </is>
      </c>
      <c r="C9" s="63" t="inlineStr">
        <is>
          <t>PL-008</t>
        </is>
      </c>
      <c r="D9" s="4" t="inlineStr">
        <is>
          <t>Фиксаж / терминология</t>
        </is>
      </c>
      <c r="E9" s="4" t="n"/>
      <c r="F9" s="4" t="n"/>
      <c r="G9" s="8" t="inlineStr">
        <is>
          <t>Распространение / коммерциализация</t>
        </is>
      </c>
      <c r="H9" s="8" t="inlineStr">
        <is>
          <t>Первая фиксация / проблема постоянства</t>
        </is>
      </c>
    </row>
    <row r="10" ht="21" customHeight="1" s="59">
      <c r="A10" s="4" t="n"/>
      <c r="B10" s="4" t="inlineStr">
        <is>
          <t>Тупиковая / не получила развития</t>
        </is>
      </c>
      <c r="C10" s="63" t="inlineStr">
        <is>
          <t>PL-009</t>
        </is>
      </c>
      <c r="D10" s="4" t="inlineStr">
        <is>
          <t>Печать / тиражирование</t>
        </is>
      </c>
      <c r="E10" s="4" t="n"/>
      <c r="F10" s="4" t="n"/>
      <c r="G10" s="8" t="inlineStr">
        <is>
          <t>Научное применение / пример</t>
        </is>
      </c>
      <c r="H10" s="8" t="inlineStr">
        <is>
          <t>Гелиография / первая сохранившаяся фотография</t>
        </is>
      </c>
    </row>
    <row r="11" ht="21" customHeight="1" s="59">
      <c r="A11" s="4" t="n"/>
      <c r="B11" s="4" t="inlineStr">
        <is>
          <t>Химическая предпосылка</t>
        </is>
      </c>
      <c r="C11" s="63" t="inlineStr">
        <is>
          <t>PL-010</t>
        </is>
      </c>
      <c r="D11" s="4" t="inlineStr">
        <is>
          <t>Мокрый коллодий</t>
        </is>
      </c>
      <c r="E11" s="4" t="n"/>
      <c r="F11" s="4" t="n"/>
      <c r="G11" s="8" t="inlineStr">
        <is>
          <t>Применение / жанр</t>
        </is>
      </c>
      <c r="H11" s="8" t="inlineStr">
        <is>
          <t>Передача идеи / развитие процесса</t>
        </is>
      </c>
    </row>
    <row r="12" ht="21" customHeight="1" s="59">
      <c r="A12" s="4" t="n"/>
      <c r="B12" s="4" t="n"/>
      <c r="C12" s="63" t="inlineStr">
        <is>
          <t>PL-011</t>
        </is>
      </c>
      <c r="D12" s="4" t="inlineStr">
        <is>
          <t>Уникальный позитив</t>
        </is>
      </c>
      <c r="E12" s="4" t="n"/>
      <c r="F12" s="4" t="n"/>
      <c r="G12" s="8" t="inlineStr">
        <is>
          <t>Ключевой исторический узел</t>
        </is>
      </c>
      <c r="H12" s="8" t="inlineStr">
        <is>
          <t>Дагеротип / публичное объявление</t>
        </is>
      </c>
    </row>
    <row r="13" ht="21" customHeight="1" s="59">
      <c r="A13" s="4" t="n"/>
      <c r="B13" s="4" t="n"/>
      <c r="C13" s="63" t="inlineStr">
        <is>
          <t>PL-012</t>
        </is>
      </c>
      <c r="D13" s="4" t="inlineStr">
        <is>
          <t>Цвет</t>
        </is>
      </c>
      <c r="E13" s="4" t="n"/>
      <c r="F13" s="4" t="n"/>
      <c r="G13" s="8" t="n"/>
      <c r="H13" s="8" t="inlineStr">
        <is>
          <t>Дагеротип / распространение</t>
        </is>
      </c>
    </row>
    <row r="14" ht="21" customHeight="1" s="59">
      <c r="A14" s="4" t="n"/>
      <c r="B14" s="4" t="n"/>
      <c r="C14" s="63" t="inlineStr">
        <is>
          <t>PL-013</t>
        </is>
      </c>
      <c r="D14" s="4" t="inlineStr">
        <is>
          <t>Проекция / распространение</t>
        </is>
      </c>
      <c r="E14" s="4" t="n"/>
      <c r="F14" s="4" t="n"/>
      <c r="G14" s="8" t="n"/>
      <c r="H14" s="8" t="inlineStr">
        <is>
          <t>Фотогенный рисунок / публикация</t>
        </is>
      </c>
    </row>
    <row r="15" ht="20" customHeight="1" s="59">
      <c r="A15" s="4" t="n"/>
      <c r="B15" s="4" t="n"/>
      <c r="C15" s="63" t="inlineStr">
        <is>
          <t>PL-014</t>
        </is>
      </c>
      <c r="D15" s="4" t="n"/>
      <c r="E15" s="4" t="n"/>
      <c r="F15" s="4" t="n"/>
      <c r="G15" s="8" t="n"/>
      <c r="H15" s="8" t="inlineStr">
        <is>
          <t>Негатив-позитив / проявление</t>
        </is>
      </c>
    </row>
    <row r="16" ht="20" customHeight="1" s="59">
      <c r="A16" s="4" t="n"/>
      <c r="B16" s="4" t="n"/>
      <c r="C16" s="63" t="inlineStr">
        <is>
          <t>PL-015</t>
        </is>
      </c>
      <c r="D16" s="4" t="n"/>
      <c r="E16" s="4" t="n"/>
      <c r="F16" s="4" t="n"/>
      <c r="G16" s="8" t="n"/>
      <c r="H16" s="8" t="inlineStr">
        <is>
          <t>Научная фотография</t>
        </is>
      </c>
    </row>
    <row r="17" ht="20" customHeight="1" s="59">
      <c r="A17" s="4" t="n"/>
      <c r="B17" s="4" t="n"/>
      <c r="C17" s="63" t="inlineStr">
        <is>
          <t>PL-016</t>
        </is>
      </c>
      <c r="D17" s="4" t="n"/>
      <c r="E17" s="4" t="n"/>
      <c r="F17" s="4" t="n"/>
      <c r="G17" s="8" t="n"/>
      <c r="H17" s="8" t="inlineStr">
        <is>
          <t>Цианотипия</t>
        </is>
      </c>
    </row>
    <row r="18" ht="20" customHeight="1" s="59">
      <c r="A18" s="4" t="n"/>
      <c r="B18" s="4" t="n"/>
      <c r="C18" s="63" t="inlineStr">
        <is>
          <t>PL-017</t>
        </is>
      </c>
      <c r="D18" s="4" t="n"/>
      <c r="E18" s="4" t="n"/>
      <c r="F18" s="4" t="n"/>
      <c r="G18" s="8" t="n"/>
      <c r="H18" s="8" t="inlineStr">
        <is>
          <t>Фотокнига / научная документация</t>
        </is>
      </c>
    </row>
    <row r="19" ht="20" customHeight="1" s="59">
      <c r="A19" s="4" t="n"/>
      <c r="B19" s="4" t="n"/>
      <c r="C19" s="4" t="inlineStr">
        <is>
          <t>PL-018</t>
        </is>
      </c>
      <c r="D19" s="4" t="n"/>
      <c r="E19" s="4" t="n"/>
      <c r="F19" s="4" t="n"/>
      <c r="G19" s="8" t="n"/>
      <c r="H19" s="8" t="inlineStr">
        <is>
          <t>Фотокнига / тиражирование</t>
        </is>
      </c>
    </row>
    <row r="20" ht="20" customHeight="1" s="59">
      <c r="A20" s="4" t="n"/>
      <c r="B20" s="4" t="n"/>
      <c r="C20" s="4" t="inlineStr">
        <is>
          <t>PL-019</t>
        </is>
      </c>
      <c r="D20" s="4" t="n"/>
      <c r="E20" s="4" t="n"/>
      <c r="F20" s="4" t="n"/>
      <c r="G20" s="8" t="n"/>
      <c r="H20" s="8" t="inlineStr">
        <is>
          <t>Научная / медицинская фотография</t>
        </is>
      </c>
    </row>
    <row r="21" ht="20" customHeight="1" s="59">
      <c r="A21" s="4" t="n"/>
      <c r="B21" s="4" t="n"/>
      <c r="C21" s="4" t="inlineStr">
        <is>
          <t>PL-020</t>
        </is>
      </c>
      <c r="D21" s="4" t="n"/>
      <c r="E21" s="4" t="n"/>
      <c r="F21" s="4" t="n"/>
      <c r="G21" s="8" t="n"/>
      <c r="H21" s="8" t="inlineStr">
        <is>
          <t>Мокрый коллодий / распространение</t>
        </is>
      </c>
    </row>
    <row r="22" ht="20" customHeight="1" s="59">
      <c r="A22" s="4" t="n"/>
      <c r="B22" s="4" t="n"/>
      <c r="C22" s="4" t="inlineStr">
        <is>
          <t>будущие PL</t>
        </is>
      </c>
      <c r="D22" s="4" t="n"/>
      <c r="E22" s="4" t="n"/>
      <c r="F22" s="4" t="n"/>
      <c r="G22" s="8" t="n"/>
      <c r="H22" s="8" t="inlineStr">
        <is>
          <t>Мокрый коллодий / химия</t>
        </is>
      </c>
    </row>
    <row r="23" ht="20" customHeight="1" s="59">
      <c r="A23" s="4" t="n"/>
      <c r="B23" s="4" t="n"/>
      <c r="C23" s="4" t="inlineStr">
        <is>
          <t>межурочный узел</t>
        </is>
      </c>
      <c r="D23" s="4" t="n"/>
      <c r="E23" s="4" t="n"/>
      <c r="F23" s="4" t="n"/>
      <c r="G23" s="8" t="n"/>
      <c r="H23" s="8" t="inlineStr">
        <is>
          <t>Мокрый коллодий / камера</t>
        </is>
      </c>
    </row>
    <row r="24" ht="20" customHeight="1" s="59">
      <c r="A24" s="4" t="n"/>
      <c r="B24" s="4" t="n"/>
      <c r="C24" s="4" t="inlineStr">
        <is>
          <t>проверить</t>
        </is>
      </c>
      <c r="D24" s="4" t="n"/>
      <c r="E24" s="4" t="n"/>
      <c r="F24" s="4" t="n"/>
      <c r="G24" s="8" t="n"/>
      <c r="H24" s="8" t="inlineStr">
        <is>
          <t>Уникальный позитив / мокрый коллодий</t>
        </is>
      </c>
    </row>
    <row r="25" ht="20" customHeight="1" s="59">
      <c r="A25" s="4" t="n"/>
      <c r="B25" s="4" t="n"/>
      <c r="C25" s="4" t="n"/>
      <c r="D25" s="4" t="n"/>
      <c r="E25" s="4" t="n"/>
      <c r="F25" s="4" t="n"/>
      <c r="G25" s="8" t="n"/>
      <c r="H25" s="8" t="inlineStr">
        <is>
          <t>Мокрый коллодий + печать</t>
        </is>
      </c>
    </row>
    <row r="26" ht="20" customHeight="1" s="59">
      <c r="A26" s="4" t="n"/>
      <c r="B26" s="4" t="n"/>
      <c r="C26" s="4" t="n"/>
      <c r="D26" s="4" t="n"/>
      <c r="E26" s="4" t="n"/>
      <c r="F26" s="4" t="n"/>
      <c r="G26" s="8" t="n"/>
      <c r="H26" s="8" t="inlineStr">
        <is>
          <t>Уникальный позитив / массовый портрет</t>
        </is>
      </c>
    </row>
    <row r="27" ht="20" customHeight="1" s="59">
      <c r="A27" s="4" t="n"/>
      <c r="B27" s="4" t="n"/>
      <c r="C27" s="4" t="n"/>
      <c r="D27" s="4" t="n"/>
      <c r="E27" s="4" t="n"/>
      <c r="F27" s="4" t="n"/>
      <c r="G27" s="8" t="n"/>
      <c r="H27" s="8" t="inlineStr">
        <is>
          <t>Сухие желатиновые пластины / химия</t>
        </is>
      </c>
    </row>
    <row r="28" ht="20" customHeight="1" s="59">
      <c r="A28" s="4" t="n"/>
      <c r="B28" s="4" t="n"/>
      <c r="C28" s="4" t="n"/>
      <c r="D28" s="4" t="n"/>
      <c r="E28" s="4" t="n"/>
      <c r="F28" s="4" t="n"/>
      <c r="G28" s="8" t="n"/>
      <c r="H28" s="8" t="inlineStr">
        <is>
          <t>Сухие желатиновые пластины / коммерциализация</t>
        </is>
      </c>
    </row>
    <row r="29" ht="20" customHeight="1" s="59">
      <c r="A29" s="4" t="n"/>
      <c r="B29" s="4" t="n"/>
      <c r="C29" s="4" t="n"/>
      <c r="D29" s="4" t="n"/>
      <c r="E29" s="4" t="n"/>
      <c r="F29" s="4" t="n"/>
      <c r="G29" s="8" t="n"/>
      <c r="H29" s="8" t="inlineStr">
        <is>
          <t>Сухие желатиновые пластины / повышение чувствительности</t>
        </is>
      </c>
    </row>
    <row r="30" ht="20" customHeight="1" s="59">
      <c r="A30" s="4" t="n"/>
      <c r="B30" s="4" t="n"/>
      <c r="C30" s="4" t="n"/>
      <c r="D30" s="4" t="n"/>
      <c r="E30" s="4" t="n"/>
      <c r="F30" s="4" t="n"/>
      <c r="G30" s="8" t="n"/>
      <c r="H30" s="8" t="inlineStr">
        <is>
          <t>Сухие желатиновые пластины / переход от мокрого коллодия</t>
        </is>
      </c>
    </row>
    <row r="31" ht="20" customHeight="1" s="59">
      <c r="A31" s="4" t="n"/>
      <c r="B31" s="4" t="n"/>
      <c r="C31" s="4" t="n"/>
      <c r="D31" s="4" t="n"/>
      <c r="E31" s="4" t="n"/>
      <c r="F31" s="4" t="n"/>
      <c r="G31" s="8" t="n"/>
      <c r="H31" s="8" t="inlineStr">
        <is>
          <t>Сухие желатиновые пластины / скорость и движение</t>
        </is>
      </c>
    </row>
    <row r="32" ht="20" customHeight="1" s="59">
      <c r="A32" s="4" t="n"/>
      <c r="B32" s="4" t="n"/>
      <c r="C32" s="4" t="n"/>
      <c r="D32" s="4" t="n"/>
      <c r="E32" s="4" t="n"/>
      <c r="F32" s="4" t="n"/>
      <c r="G32" s="8" t="n"/>
      <c r="H32" s="8" t="inlineStr">
        <is>
          <t>Сухие желатиновые пластины / американская индустрия</t>
        </is>
      </c>
    </row>
    <row r="33" ht="20" customHeight="1" s="59">
      <c r="A33" s="4" t="n"/>
      <c r="B33" s="4" t="n"/>
      <c r="C33" s="4" t="n"/>
      <c r="D33" s="4" t="n"/>
      <c r="E33" s="4" t="n"/>
      <c r="F33" s="4" t="n"/>
      <c r="G33" s="8" t="n"/>
      <c r="H33" s="8" t="inlineStr">
        <is>
          <t>Сухие желатиновые пластины / бизнес и масштабирование</t>
        </is>
      </c>
    </row>
    <row r="34" ht="20" customHeight="1" s="59">
      <c r="A34" s="4" t="n"/>
      <c r="B34" s="4" t="n"/>
      <c r="C34" s="4" t="n"/>
      <c r="D34" s="4" t="n"/>
      <c r="E34" s="4" t="n"/>
      <c r="F34" s="4" t="n"/>
      <c r="G34" s="8" t="n"/>
      <c r="H34" s="8" t="inlineStr">
        <is>
          <t>Сухие желатиновые пластины / доминирующая практика</t>
        </is>
      </c>
    </row>
    <row r="35" ht="20" customHeight="1" s="59">
      <c r="A35" s="4" t="n"/>
      <c r="B35" s="4" t="n"/>
      <c r="C35" s="4" t="n"/>
      <c r="D35" s="4" t="n"/>
      <c r="E35" s="4" t="n"/>
      <c r="F35" s="4" t="n"/>
      <c r="G35" s="8" t="n"/>
      <c r="H35" s="8" t="inlineStr">
        <is>
          <t>Сухие желатиновые пластины / мобильность</t>
        </is>
      </c>
    </row>
    <row r="36" ht="20" customHeight="1" s="59">
      <c r="A36" s="4" t="n"/>
      <c r="B36" s="4" t="n"/>
      <c r="C36" s="4" t="n"/>
      <c r="D36" s="4" t="n"/>
      <c r="E36" s="4" t="n"/>
      <c r="F36" s="4" t="n"/>
      <c r="G36" s="8" t="n"/>
      <c r="H36" s="8" t="inlineStr">
        <is>
          <t>Сухие желатиновые пластины / мост к плёнке</t>
        </is>
      </c>
    </row>
    <row r="37" ht="20" customHeight="1" s="59">
      <c r="A37" s="4" t="n"/>
      <c r="B37" s="4" t="n"/>
      <c r="C37" s="4" t="n"/>
      <c r="D37" s="4" t="n"/>
      <c r="E37" s="4" t="n"/>
      <c r="F37" s="4" t="n"/>
      <c r="G37" s="8" t="n"/>
      <c r="H37" s="8" t="inlineStr">
        <is>
          <t>Рулонная плёнка / бизнес-переход</t>
        </is>
      </c>
    </row>
    <row r="38" ht="20" customHeight="1" s="59">
      <c r="A38" s="4" t="n"/>
      <c r="B38" s="4" t="n"/>
      <c r="C38" s="4" t="n"/>
      <c r="D38" s="4" t="n"/>
      <c r="E38" s="4" t="n"/>
      <c r="F38" s="4" t="n"/>
      <c r="G38" s="8" t="n"/>
      <c r="H38" s="8" t="inlineStr">
        <is>
          <t>Рулонная плёнка / держатель</t>
        </is>
      </c>
    </row>
    <row r="39" ht="14" customHeight="1" s="59">
      <c r="A39" s="8" t="n"/>
      <c r="B39" s="8" t="n"/>
      <c r="C39" s="8" t="n"/>
      <c r="D39" s="8" t="n"/>
      <c r="E39" s="8" t="n"/>
      <c r="F39" s="8" t="n"/>
      <c r="G39" s="8" t="n"/>
      <c r="H39" s="8" t="inlineStr">
        <is>
          <t>Рулонная плёнка / бумажная основа</t>
        </is>
      </c>
    </row>
    <row r="40" ht="14" customHeight="1" s="59">
      <c r="A40" s="8" t="n"/>
      <c r="B40" s="8" t="n"/>
      <c r="C40" s="8" t="n"/>
      <c r="D40" s="8" t="n"/>
      <c r="E40" s="8" t="n"/>
      <c r="F40" s="8" t="n"/>
      <c r="G40" s="8" t="n"/>
      <c r="H40" s="8" t="inlineStr">
        <is>
          <t>Рулонная плёнка / целлулоидная основа</t>
        </is>
      </c>
    </row>
    <row r="41" ht="14" customHeight="1" s="59">
      <c r="A41" s="8" t="n"/>
      <c r="B41" s="8" t="n"/>
      <c r="C41" s="8" t="n"/>
      <c r="D41" s="8" t="n"/>
      <c r="E41" s="8" t="n"/>
      <c r="F41" s="8" t="n"/>
      <c r="G41" s="8" t="n"/>
      <c r="H41" s="8" t="inlineStr">
        <is>
          <t>Рулонная плёнка / Kodak camera</t>
        </is>
      </c>
    </row>
    <row r="42" ht="14" customHeight="1" s="59">
      <c r="A42" s="8" t="n"/>
      <c r="B42" s="8" t="n"/>
      <c r="C42" s="8" t="n"/>
      <c r="D42" s="8" t="n"/>
      <c r="E42" s="8" t="n"/>
      <c r="F42" s="8" t="n"/>
      <c r="G42" s="8" t="n"/>
      <c r="H42" s="8" t="inlineStr">
        <is>
          <t>Рулонная плёнка / сервисная модель</t>
        </is>
      </c>
    </row>
    <row r="43" ht="14" customHeight="1" s="59">
      <c r="A43" s="8" t="n"/>
      <c r="B43" s="8" t="n"/>
      <c r="C43" s="8" t="n"/>
      <c r="D43" s="8" t="n"/>
      <c r="E43" s="8" t="n"/>
      <c r="F43" s="8" t="n"/>
      <c r="G43" s="8" t="n"/>
      <c r="H43" s="8" t="inlineStr">
        <is>
          <t>Рулонная плёнка / патент и бренд</t>
        </is>
      </c>
    </row>
    <row r="44" ht="14" customHeight="1" s="59">
      <c r="A44" s="8" t="n"/>
      <c r="B44" s="8" t="n"/>
      <c r="C44" s="8" t="n"/>
      <c r="D44" s="8" t="n"/>
      <c r="E44" s="8" t="n"/>
      <c r="F44" s="8" t="n"/>
      <c r="G44" s="8" t="n"/>
      <c r="H44" s="8" t="inlineStr">
        <is>
          <t>Рулонная плёнка / прозрачная плёнка</t>
        </is>
      </c>
    </row>
    <row r="45" ht="14" customHeight="1" s="59">
      <c r="A45" s="8" t="n"/>
      <c r="B45" s="8" t="n"/>
      <c r="C45" s="8" t="n"/>
      <c r="D45" s="8" t="n"/>
      <c r="E45" s="8" t="n"/>
      <c r="F45" s="8" t="n"/>
      <c r="G45" s="8" t="n"/>
      <c r="H45" s="8" t="inlineStr">
        <is>
          <t>Рулонная плёнка / дневная перезарядка</t>
        </is>
      </c>
    </row>
    <row r="46" ht="14" customHeight="1" s="59">
      <c r="A46" s="8" t="n"/>
      <c r="B46" s="8" t="n"/>
      <c r="C46" s="8" t="n"/>
      <c r="D46" s="8" t="n"/>
      <c r="E46" s="8" t="n"/>
      <c r="F46" s="8" t="n"/>
      <c r="G46" s="8" t="n"/>
      <c r="H46" s="8" t="inlineStr">
        <is>
          <t>Рулонная плёнка / массовая фотография</t>
        </is>
      </c>
    </row>
    <row r="47" ht="14" customHeight="1" s="59">
      <c r="H47" s="8" t="inlineStr">
        <is>
          <t>Brownie / доступная камера</t>
        </is>
      </c>
    </row>
    <row r="48" ht="14" customHeight="1" s="59">
      <c r="H48" s="8" t="inlineStr">
        <is>
          <t>Brownie / цена и массовый рынок</t>
        </is>
      </c>
    </row>
    <row r="49" ht="14" customHeight="1" s="59">
      <c r="H49" s="8" t="inlineStr">
        <is>
          <t>Brownie / детская аудитория и реклама</t>
        </is>
      </c>
    </row>
    <row r="50" ht="14" customHeight="1" s="59">
      <c r="H50" s="8" t="inlineStr">
        <is>
          <t>Brownie / 120 roll film</t>
        </is>
      </c>
    </row>
    <row r="51" ht="14" customHeight="1" s="59">
      <c r="H51" s="8" t="inlineStr">
        <is>
          <t>Snapshot-культура / семейный альбом</t>
        </is>
      </c>
    </row>
    <row r="52" ht="14" customHeight="1" s="59">
      <c r="H52" s="8" t="inlineStr">
        <is>
          <t>Snapshot-культура / любительская практика</t>
        </is>
      </c>
    </row>
    <row r="53" ht="14" customHeight="1" s="59">
      <c r="H53" s="8" t="inlineStr">
        <is>
          <t>Snapshot-культура / сервисная обработка</t>
        </is>
      </c>
    </row>
    <row r="54" ht="14" customHeight="1" s="59">
      <c r="H54" s="8" t="inlineStr">
        <is>
          <t>Brownie / долгий жизненный цикл</t>
        </is>
      </c>
    </row>
    <row r="55" ht="14" customHeight="1" s="59">
      <c r="H55" s="8" t="inlineStr">
        <is>
          <t>Snapshot-культура / культурный архив</t>
        </is>
      </c>
    </row>
    <row r="56" ht="14" customHeight="1" s="59">
      <c r="H56" s="8" t="inlineStr">
        <is>
          <t>Brownie / мост к 35 мм</t>
        </is>
      </c>
    </row>
    <row r="57" ht="14" customHeight="1" s="59">
      <c r="H57" s="62" t="inlineStr">
        <is>
          <t>35 мм / прозрачная рулонная плёнка</t>
        </is>
      </c>
    </row>
    <row r="58" ht="14" customHeight="1" s="59">
      <c r="H58" s="62" t="inlineStr">
        <is>
          <t>35 мм / киноистоки</t>
        </is>
      </c>
    </row>
    <row r="59" ht="14" customHeight="1" s="59">
      <c r="H59" s="62" t="inlineStr">
        <is>
          <t>35 мм / ширина и перфорация</t>
        </is>
      </c>
    </row>
    <row r="60" ht="14" customHeight="1" s="59">
      <c r="H60" s="62" t="inlineStr">
        <is>
          <t>35 мм / Kinetoscope</t>
        </is>
      </c>
    </row>
    <row r="61" ht="14" customHeight="1" s="59">
      <c r="H61" s="62" t="inlineStr">
        <is>
          <t>35 мм / международный стандарт</t>
        </is>
      </c>
    </row>
    <row r="62" ht="14" customHeight="1" s="59">
      <c r="H62" s="62" t="inlineStr">
        <is>
          <t>35 мм / 24×36</t>
        </is>
      </c>
    </row>
    <row r="63" ht="14" customHeight="1" s="59">
      <c r="H63" s="62" t="inlineStr">
        <is>
          <t>35 мм / репортажность</t>
        </is>
      </c>
    </row>
    <row r="64" ht="14" customHeight="1" s="59">
      <c r="H64" s="62" t="inlineStr">
        <is>
          <t>35 мм / коммерциализация Leica</t>
        </is>
      </c>
    </row>
    <row r="65" ht="14" customHeight="1" s="59">
      <c r="H65" s="62" t="inlineStr">
        <is>
          <t>35 мм / мост к Leica I</t>
        </is>
      </c>
    </row>
    <row r="66" ht="14" customHeight="1" s="59">
      <c r="H66" s="62" t="inlineStr">
        <is>
          <t>35 мм / 135 cartridge</t>
        </is>
      </c>
    </row>
    <row r="67" ht="14" customHeight="1" s="59">
      <c r="H67" s="62" t="inlineStr">
        <is>
          <t>Leica I / прототип</t>
        </is>
      </c>
    </row>
    <row r="68" ht="14" customHeight="1" s="59">
      <c r="H68" s="62" t="inlineStr">
        <is>
          <t>Leica I / проверочная серия</t>
        </is>
      </c>
    </row>
    <row r="69" ht="14" customHeight="1" s="59">
      <c r="H69" s="62" t="inlineStr">
        <is>
          <t>Leica I / начало производства</t>
        </is>
      </c>
    </row>
    <row r="70" ht="14" customHeight="1" s="59">
      <c r="H70" s="62" t="inlineStr">
        <is>
          <t>Leica I / публичный дебют</t>
        </is>
      </c>
    </row>
    <row r="71" ht="14" customHeight="1" s="59">
      <c r="H71" s="62" t="inlineStr">
        <is>
          <t>Leica I / компактная камера</t>
        </is>
      </c>
    </row>
    <row r="72" ht="14" customHeight="1" s="59">
      <c r="H72" s="62" t="inlineStr">
        <is>
          <t>Leica I / оптика и Elmar</t>
        </is>
      </c>
    </row>
    <row r="73" ht="14" customHeight="1" s="59">
      <c r="H73" s="62" t="inlineStr">
        <is>
          <t>Leica I / массовое принятие</t>
        </is>
      </c>
    </row>
    <row r="74" ht="14" customHeight="1" s="59">
      <c r="H74" s="62" t="inlineStr">
        <is>
          <t>Leica I / новая визуальная практика</t>
        </is>
      </c>
    </row>
    <row r="75" ht="14" customHeight="1" s="59">
      <c r="H75" s="62" t="inlineStr">
        <is>
          <t>Leica I / сменные объективы</t>
        </is>
      </c>
    </row>
    <row r="76" ht="14" customHeight="1" s="59">
      <c r="H76" s="62" t="inlineStr">
        <is>
          <t>Leica I / мост к дальномерной системе</t>
        </is>
      </c>
    </row>
    <row r="77" ht="14" customHeight="1" s="59">
      <c r="H77" s="62" t="inlineStr">
        <is>
          <t>Плёнка как материал / прозрачная основа</t>
        </is>
      </c>
    </row>
    <row r="78" ht="14" customHeight="1" s="59">
      <c r="H78" s="62" t="inlineStr">
        <is>
          <t>Плёнка как материал / нитратная основа</t>
        </is>
      </c>
    </row>
    <row r="79" ht="28" customHeight="1" s="59">
      <c r="H79" s="62" t="inlineStr">
        <is>
          <t>Плёнка как материал / промышленное производство основы</t>
        </is>
      </c>
    </row>
    <row r="80" ht="28" customHeight="1" s="59">
      <c r="H80" s="62" t="inlineStr">
        <is>
          <t>Плёнка как материал / механическая стабильность</t>
        </is>
      </c>
    </row>
    <row r="81" ht="14" customHeight="1" s="59">
      <c r="H81" s="62" t="inlineStr">
        <is>
          <t>Плёнка как материал / safety film</t>
        </is>
      </c>
    </row>
    <row r="82" ht="28" customHeight="1" s="59">
      <c r="H82" s="62" t="inlineStr">
        <is>
          <t>Плёнка как материал / ацетатная основа и хранение</t>
        </is>
      </c>
    </row>
    <row r="83" ht="14" customHeight="1" s="59">
      <c r="H83" s="62" t="inlineStr">
        <is>
          <t>Плёнка как материал / структура слоя</t>
        </is>
      </c>
    </row>
    <row r="84" ht="28" customHeight="1" s="59">
      <c r="H84" s="62" t="inlineStr">
        <is>
          <t>Плёнка как материал / серебряные соли и желатин</t>
        </is>
      </c>
    </row>
    <row r="85" ht="28" customHeight="1" s="59">
      <c r="H85" s="62" t="inlineStr">
        <is>
          <t>Плёнка как материал / скрытое изображение и обработка</t>
        </is>
      </c>
    </row>
    <row r="86" ht="28" customHeight="1" s="59">
      <c r="H86" s="62" t="inlineStr">
        <is>
          <t>Плёнка как материал / чувствительность и зерно</t>
        </is>
      </c>
    </row>
    <row r="87" ht="28" customHeight="1" s="59">
      <c r="H87" s="62" t="inlineStr">
        <is>
          <t>Плёнка как материал / защитные и служебные слои</t>
        </is>
      </c>
    </row>
    <row r="88">
      <c r="H88" s="62" t="inlineStr">
        <is>
          <t>Эмульсия / желатино-бромидный слой</t>
        </is>
      </c>
    </row>
    <row r="89">
      <c r="H89" s="62" t="inlineStr">
        <is>
          <t>Эмульсия / определение</t>
        </is>
      </c>
    </row>
    <row r="90">
      <c r="H90" s="62" t="inlineStr">
        <is>
          <t>Эмульсия / слои фотографического объекта</t>
        </is>
      </c>
    </row>
    <row r="91">
      <c r="H91" s="62" t="inlineStr">
        <is>
          <t>Эмульсия / скрытое изображение</t>
        </is>
      </c>
    </row>
    <row r="92">
      <c r="H92" s="62" t="inlineStr">
        <is>
          <t>Эмульсия / проявление</t>
        </is>
      </c>
    </row>
    <row r="93">
      <c r="H93" s="62" t="inlineStr">
        <is>
          <t>Эмульсия / фиксация</t>
        </is>
      </c>
    </row>
    <row r="94">
      <c r="H94" s="62" t="inlineStr">
        <is>
          <t>Эмульсия / повышение чувствительности</t>
        </is>
      </c>
    </row>
    <row r="95">
      <c r="H95" s="62" t="inlineStr">
        <is>
          <t>Эмульсия / фабричное нанесение</t>
        </is>
      </c>
    </row>
    <row r="96">
      <c r="H96" s="62" t="inlineStr">
        <is>
          <t>Эмульсия / фотобумага и developing-out print</t>
        </is>
      </c>
    </row>
    <row r="97">
      <c r="H97" s="62" t="inlineStr">
        <is>
          <t>Эмульсия / панхроматическая чувствительность</t>
        </is>
      </c>
    </row>
    <row r="98">
      <c r="H98" s="62" t="inlineStr">
        <is>
          <t>Эмульсия / чувствительность и зерно</t>
        </is>
      </c>
    </row>
    <row r="99">
      <c r="H99" s="62" t="inlineStr">
        <is>
          <t>Негатив-позитив / тональная инверсия</t>
        </is>
      </c>
    </row>
    <row r="100">
      <c r="H100" s="62" t="inlineStr">
        <is>
          <t>Негатив-позитив / бумажный негатив</t>
        </is>
      </c>
    </row>
    <row r="101">
      <c r="H101" s="62" t="inlineStr">
        <is>
          <t>Негатив-позитив / терминология</t>
        </is>
      </c>
    </row>
    <row r="102">
      <c r="H102" s="62" t="inlineStr">
        <is>
          <t>Негатив-позитив / калотип</t>
        </is>
      </c>
    </row>
    <row r="103">
      <c r="H103" s="62" t="inlineStr">
        <is>
          <t>Негатив-позитив / множественные отпечатки</t>
        </is>
      </c>
    </row>
    <row r="104">
      <c r="H104" s="62" t="inlineStr">
        <is>
          <t>Негатив-позитив / позитивная печать</t>
        </is>
      </c>
    </row>
    <row r="105">
      <c r="H105" s="62" t="inlineStr">
        <is>
          <t>Негатив-позитив / стеклянный негатив</t>
        </is>
      </c>
    </row>
    <row r="106">
      <c r="H106" s="62" t="inlineStr">
        <is>
          <t>Негатив-позитив / массовый портрет</t>
        </is>
      </c>
    </row>
    <row r="107">
      <c r="H107" s="62" t="inlineStr">
        <is>
          <t>Негатив-позитив / плёночный негатив</t>
        </is>
      </c>
    </row>
    <row r="108">
      <c r="H108" s="62" t="inlineStr">
        <is>
          <t>Негатив-позитив / позитив на бумаге</t>
        </is>
      </c>
    </row>
    <row r="109">
      <c r="H109" s="62" t="inlineStr">
        <is>
          <t>Негатив-позитив / позитивная прозрачность</t>
        </is>
      </c>
    </row>
    <row r="110">
      <c r="H110" s="62" t="inlineStr">
        <is>
          <t>Позитив / прямой позитив</t>
        </is>
      </c>
    </row>
    <row r="111">
      <c r="H111" s="62" t="inlineStr">
        <is>
          <t>Позитив / соляная печать</t>
        </is>
      </c>
    </row>
    <row r="112">
      <c r="H112" s="62" t="inlineStr">
        <is>
          <t>Позитив / фотокнига и публикация</t>
        </is>
      </c>
    </row>
    <row r="113">
      <c r="H113" s="62" t="inlineStr">
        <is>
          <t>Позитив / альбуминовая печать</t>
        </is>
      </c>
    </row>
    <row r="114">
      <c r="H114" s="62" t="inlineStr">
        <is>
          <t>Позитив / printing-out paper</t>
        </is>
      </c>
    </row>
    <row r="115">
      <c r="H115" s="62" t="inlineStr">
        <is>
          <t>Позитив / developing-out paper</t>
        </is>
      </c>
    </row>
    <row r="116">
      <c r="H116" s="62" t="inlineStr">
        <is>
          <t>Позитив / сервисная печать</t>
        </is>
      </c>
    </row>
    <row r="117">
      <c r="H117" s="62" t="inlineStr">
        <is>
          <t>Позитив / цветная прозрачность</t>
        </is>
      </c>
    </row>
    <row r="118">
      <c r="H118" s="62" t="inlineStr">
        <is>
          <t>Позитив / instant print</t>
        </is>
      </c>
    </row>
    <row r="119">
      <c r="H119" s="62" t="inlineStr">
        <is>
          <t>Позитив / chromogenic print</t>
        </is>
      </c>
    </row>
    <row r="120">
      <c r="H120" t="inlineStr">
        <is>
          <t>Чёрно-белая плёнка / серебряно-желатиновая основа</t>
        </is>
      </c>
    </row>
    <row r="121">
      <c r="H121" t="inlineStr">
        <is>
          <t>Чёрно-белая плёнка / спектральная чувствительность</t>
        </is>
      </c>
    </row>
    <row r="122">
      <c r="H122" t="inlineStr">
        <is>
          <t>Чёрно-белая плёнка / панхроматическая чувствительность</t>
        </is>
      </c>
    </row>
    <row r="123">
      <c r="H123" t="inlineStr">
        <is>
          <t>Чёрно-белая плёнка / структура материала</t>
        </is>
      </c>
    </row>
    <row r="124">
      <c r="H124" t="inlineStr">
        <is>
          <t>Чёрно-белая плёнка / проявление</t>
        </is>
      </c>
    </row>
    <row r="125">
      <c r="H125" t="inlineStr">
        <is>
          <t>Чёрно-белая плёнка / фиксация</t>
        </is>
      </c>
    </row>
    <row r="126">
      <c r="H126" t="inlineStr">
        <is>
          <t>Чёрно-белая плёнка / домашняя проявка</t>
        </is>
      </c>
    </row>
    <row r="127">
      <c r="H127" t="inlineStr">
        <is>
          <t>Чёрно-белая плёнка / характер проявления</t>
        </is>
      </c>
    </row>
    <row r="128">
      <c r="H128" t="inlineStr">
        <is>
          <t>Чёрно-белая плёнка / классическое зерно</t>
        </is>
      </c>
    </row>
    <row r="129">
      <c r="H129" t="inlineStr">
        <is>
          <t>Чёрно-белая плёнка / мелкозернистая технология</t>
        </is>
      </c>
    </row>
    <row r="130">
      <c r="H130" t="inlineStr">
        <is>
          <t>Чёрно-белая плёнка / chromogenic B&amp;W</t>
        </is>
      </c>
    </row>
    <row r="131">
      <c r="H131" t="inlineStr">
        <is>
          <t>Цветная негативная плёнка / Kodacolor</t>
        </is>
      </c>
    </row>
    <row r="132">
      <c r="H132" t="inlineStr">
        <is>
          <t>Цветная негативная плёнка / негатив-позитив</t>
        </is>
      </c>
    </row>
    <row r="133">
      <c r="H133" t="inlineStr">
        <is>
          <t>Цветная негативная плёнка / слои красителей</t>
        </is>
      </c>
    </row>
    <row r="134">
      <c r="H134" t="inlineStr">
        <is>
          <t>Цветная негативная плёнка / color couplers</t>
        </is>
      </c>
    </row>
    <row r="135">
      <c r="H135" t="inlineStr">
        <is>
          <t>Цветная негативная плёнка / оранжевая маска</t>
        </is>
      </c>
    </row>
    <row r="136">
      <c r="H136" t="inlineStr">
        <is>
          <t>Цветная негативная плёнка / печать позитивов</t>
        </is>
      </c>
    </row>
    <row r="137">
      <c r="H137" t="inlineStr">
        <is>
          <t>Цветная негативная плёнка / C-41</t>
        </is>
      </c>
    </row>
    <row r="138">
      <c r="H138" t="inlineStr">
        <is>
          <t>Цветная негативная плёнка / лабораторный стандарт</t>
        </is>
      </c>
    </row>
    <row r="139">
      <c r="H139" t="inlineStr">
        <is>
          <t>Цветная негативная плёнка / экспозиционная гибкость</t>
        </is>
      </c>
    </row>
    <row r="140">
      <c r="H140" t="inlineStr">
        <is>
          <t>Цветная негативная плёнка / современный профессиональный материал</t>
        </is>
      </c>
    </row>
    <row r="141">
      <c r="H141" t="inlineStr">
        <is>
          <t>Слайдовая плёнка / ранний цветной позитив</t>
        </is>
      </c>
    </row>
    <row r="142">
      <c r="H142" t="inlineStr">
        <is>
          <t>Слайдовая плёнка / reversal и проекция</t>
        </is>
      </c>
    </row>
    <row r="143">
      <c r="H143" t="inlineStr">
        <is>
          <t>Слайдовая плёнка / Kodachrome</t>
        </is>
      </c>
    </row>
    <row r="144">
      <c r="H144" t="inlineStr">
        <is>
          <t>Слайдовая плёнка / Ektachrome</t>
        </is>
      </c>
    </row>
    <row r="145">
      <c r="H145" t="inlineStr">
        <is>
          <t>Слайдовая плёнка / E-6</t>
        </is>
      </c>
    </row>
    <row r="146">
      <c r="H146" t="inlineStr">
        <is>
          <t>Слайдовая плёнка / точность экспозиции</t>
        </is>
      </c>
    </row>
    <row r="147">
      <c r="H147" t="inlineStr">
        <is>
          <t>Слайдовая плёнка / хранение и архив</t>
        </is>
      </c>
    </row>
    <row r="148">
      <c r="H148" t="inlineStr">
        <is>
          <t>ISO плёнки / светочувствительность</t>
        </is>
      </c>
    </row>
    <row r="149">
      <c r="H149" t="inlineStr">
        <is>
          <t>ISO плёнки / ASA-DIN-ISO</t>
        </is>
      </c>
    </row>
    <row r="150">
      <c r="H150" t="inlineStr">
        <is>
          <t>ISO плёнки / чёрно-белый негатив</t>
        </is>
      </c>
    </row>
    <row r="151">
      <c r="H151" t="inlineStr">
        <is>
          <t>ISO плёнки / цветной негатив</t>
        </is>
      </c>
    </row>
    <row r="152">
      <c r="H152" t="inlineStr">
        <is>
          <t>ISO плёнки / слайдовая плёнка</t>
        </is>
      </c>
    </row>
    <row r="153">
      <c r="H153" t="inlineStr">
        <is>
          <t>ISO плёнки / box speed и EI</t>
        </is>
      </c>
    </row>
    <row r="154">
      <c r="H154" t="inlineStr">
        <is>
          <t>ISO плёнки / связь с экспозицией</t>
        </is>
      </c>
    </row>
    <row r="155">
      <c r="H155" t="inlineStr">
        <is>
          <t>ISO плёнки / коробочный ISO</t>
        </is>
      </c>
    </row>
    <row r="156">
      <c r="H156" t="inlineStr">
        <is>
          <t>ISO плёнки / универсальный ISO 400</t>
        </is>
      </c>
    </row>
    <row r="157">
      <c r="H157" t="inlineStr">
        <is>
          <t>ISO плёнки / высокая чувствительность</t>
        </is>
      </c>
    </row>
    <row r="158">
      <c r="H158" t="inlineStr">
        <is>
          <t>ISO плёнки / push-pull</t>
        </is>
      </c>
    </row>
    <row r="159">
      <c r="H159" t="inlineStr">
        <is>
          <t>Зерно / материальная основа</t>
        </is>
      </c>
    </row>
    <row r="160">
      <c r="H160" t="inlineStr">
        <is>
          <t>Зерно / компромисс ISO и фактуры</t>
        </is>
      </c>
    </row>
    <row r="161">
      <c r="H161" t="inlineStr">
        <is>
          <t>Зерно / медленная плёнка</t>
        </is>
      </c>
    </row>
    <row r="162">
      <c r="H162" t="inlineStr">
        <is>
          <t>Зерно / средняя чувствительность</t>
        </is>
      </c>
    </row>
    <row r="163">
      <c r="H163" t="inlineStr">
        <is>
          <t>Зерно / классический ISO 400</t>
        </is>
      </c>
    </row>
    <row r="164">
      <c r="H164" t="inlineStr">
        <is>
          <t>Зерно / структура кристаллов</t>
        </is>
      </c>
    </row>
    <row r="165">
      <c r="H165" t="inlineStr">
        <is>
          <t>Зерно / T-GRAIN</t>
        </is>
      </c>
    </row>
    <row r="166">
      <c r="H166" t="inlineStr">
        <is>
          <t>Зерно / мелкозернистая плёнка</t>
        </is>
      </c>
    </row>
    <row r="167">
      <c r="H167" t="inlineStr">
        <is>
          <t>Зерно / высокая чувствительность</t>
        </is>
      </c>
    </row>
    <row r="168">
      <c r="H168" t="inlineStr">
        <is>
          <t>Зерно / цветная плёнка</t>
        </is>
      </c>
    </row>
    <row r="169">
      <c r="H169" t="inlineStr">
        <is>
          <t>Зерно / проявка и сканирование</t>
        </is>
      </c>
    </row>
    <row r="170">
      <c r="H170" t="inlineStr">
        <is>
          <t>Экспозиционная широта / характеристическая кривая</t>
        </is>
      </c>
    </row>
    <row r="171">
      <c r="H171" t="inlineStr">
        <is>
          <t>Экспозиционная широта / toe-straight-shoulder</t>
        </is>
      </c>
    </row>
    <row r="172">
      <c r="H172" t="inlineStr">
        <is>
          <t>Экспозиционная широта / недодержка и тени</t>
        </is>
      </c>
    </row>
    <row r="173">
      <c r="H173" t="inlineStr">
        <is>
          <t>Экспозиционная широта / передержка и света</t>
        </is>
      </c>
    </row>
    <row r="174">
      <c r="H174" t="inlineStr">
        <is>
          <t>Экспозиционная широта / слайдовая плёнка</t>
        </is>
      </c>
    </row>
    <row r="175">
      <c r="H175" t="inlineStr">
        <is>
          <t>Экспозиционная широта / цветной негатив</t>
        </is>
      </c>
    </row>
    <row r="176">
      <c r="H176" t="inlineStr">
        <is>
          <t>Экспозиционная широта / чёрно-белый негатив</t>
        </is>
      </c>
    </row>
    <row r="177">
      <c r="H177" t="inlineStr">
        <is>
          <t>Экспозиционная широта / средняя чувствительность</t>
        </is>
      </c>
    </row>
    <row r="178">
      <c r="H178" t="inlineStr">
        <is>
          <t>Экспозиционная широта / push-pull</t>
        </is>
      </c>
    </row>
    <row r="179">
      <c r="H179" t="inlineStr">
        <is>
          <t>Экспозиционная широта / серая карта</t>
        </is>
      </c>
    </row>
    <row r="180">
      <c r="H180" t="inlineStr">
        <is>
          <t>Экспозиционная широта / практический выбор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10" defaultColWidth="8.6640625" defaultRowHeight="13"/>
  <cols>
    <col width="40.6640625" customWidth="1" style="59" min="1" max="1"/>
    <col width="165" customWidth="1" style="59" min="2" max="2"/>
  </cols>
  <sheetData>
    <row r="1" ht="40" customHeight="1" s="59">
      <c r="A1" s="32" t="inlineStr">
        <is>
          <t>PHOTO LAB — History Map Master v0.15</t>
        </is>
      </c>
      <c r="B1" s="20" t="n"/>
    </row>
    <row r="2" ht="21" customHeight="1" s="59">
      <c r="A2" s="69" t="inlineStr">
        <is>
          <t>Назначение</t>
        </is>
      </c>
      <c r="B2" s="67" t="inlineStr">
        <is>
          <t>Исследовательская база для будущей интерактивной карты развития фотографии: география + время + ветки технологий + привязка к урокам.</t>
        </is>
      </c>
    </row>
    <row r="3" ht="21" customHeight="1" s="59">
      <c r="A3" s="69" t="inlineStr">
        <is>
          <t>Охват v0.15</t>
        </is>
      </c>
      <c r="B3" s="67" t="inlineStr">
        <is>
          <t>От оптических предпосылок камеры-обскуры до Leica I и полного Модуля 2: плёнка как материал, эмульсия, негатив, позитив, чёрно-белая, цветная негативная и слайдовая плёнка, ISO, зерно и экспозиционная широта; основа для PL-001–PL-020.</t>
        </is>
      </c>
    </row>
    <row r="4" ht="21" customHeight="1" s="59">
      <c r="A4" s="69" t="inlineStr">
        <is>
          <t>Принцип</t>
        </is>
      </c>
      <c r="B4" s="67" t="inlineStr">
        <is>
          <t>Каждый факт должен отвечать на 5 вопросов: что произошло, где, кто связан, почему важно, чем подтверждено.</t>
        </is>
      </c>
    </row>
    <row r="5" ht="21" customHeight="1" s="59">
      <c r="A5" s="69" t="inlineStr">
        <is>
          <t>Как пользоваться</t>
        </is>
      </c>
      <c r="B5" s="67" t="inlineStr">
        <is>
          <t>Фильтровать лист 01_Master_Facts по уроку, ветке развития, статусу ветки, типу узла, стране или уровню уверенности.</t>
        </is>
      </c>
    </row>
    <row r="6" ht="21" customHeight="1" s="59">
      <c r="A6" s="69" t="inlineStr">
        <is>
          <t>Важно</t>
        </is>
      </c>
      <c r="B6" s="67" t="inlineStr">
        <is>
          <t>Поля «Проверить позже» и «Уверенность 1–5» оставлены специально: спорные даты и слабые источники не должны попадать в финальную карту без доработки.</t>
        </is>
      </c>
    </row>
    <row r="7" ht="21" customHeight="1" s="59">
      <c r="A7" s="69" t="inlineStr">
        <is>
          <t>Правило веток</t>
        </is>
      </c>
      <c r="B7" s="67" t="inlineStr">
        <is>
          <t>Ветка развития = одна из 13 крупных линий из 02_Branches. Для PL-018–PL-020 ISO, зерно и экспозиционная широта в основном относятся к «Фотохимия», но могут связываться с «Негатив-позитив», «Цвет» и «Печать / тиражирование».</t>
        </is>
      </c>
    </row>
    <row r="8" ht="21" customHeight="1" s="59">
      <c r="A8" s="69" t="inlineStr">
        <is>
          <t>Правило подветок</t>
        </is>
      </c>
      <c r="B8" s="67" t="inlineStr">
        <is>
          <t>Подветка (детали) = уточнение внутри крупной ветки: химия, камера, распространение, фотокнига, медицинское применение, сухие пластины, рулонная плёнка, Brownie, 35 мм, Leica I, структура плёнки, эмульсия, негатив/позитив, позитив, чёрно-белая плёнка, цветная негативная плёнка, слайдовая плёнка, ISO, зерно, экспозиционная широта и т.п.</t>
        </is>
      </c>
    </row>
    <row r="9" ht="17" customHeight="1" s="59">
      <c r="A9" s="62" t="inlineStr">
        <is>
          <t>Правило типа узла</t>
        </is>
      </c>
      <c r="B9" s="62" t="inlineStr">
        <is>
          <t>Тип узла = назначение факта на карте: технология, предпосылка, инструмент, публикация, терминология, применение, распространение, связь/переход и т.п.</t>
        </is>
      </c>
    </row>
    <row r="10" ht="31" customHeight="1" s="59">
      <c r="A10" s="62" t="inlineStr">
        <is>
          <t>Единственный источник истины по урокам</t>
        </is>
      </c>
      <c r="B10" s="62" t="inlineStr">
        <is>
          <t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t>
        </is>
      </c>
    </row>
    <row r="11" ht="31" customHeight="1" s="59">
      <c r="A11" s="62" t="inlineStr">
        <is>
          <t>Что изменено в v0.2.1</t>
        </is>
      </c>
      <c r="B11" s="62" t="inlineStr">
        <is>
          <t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t>
        </is>
      </c>
    </row>
    <row r="12" ht="31" customHeight="1" s="59">
      <c r="A12" s="62" t="inlineStr">
        <is>
          <t>Что изменено в v0.3</t>
        </is>
      </c>
      <c r="B12" s="62" t="inlineStr">
        <is>
          <t>Заполнен PL-006: добавлены PL-HIST-0049…0058 по сухим желатиновым пластинам, добавлены источники SRC-027…SRC-034, обновлены 02_Branches, 03_Lessons_Map, 06_Lists и Dashboard.</t>
        </is>
      </c>
    </row>
    <row r="13" ht="17" customHeight="1" s="59">
      <c r="A13" s="62" t="inlineStr">
        <is>
          <t>Что изменено в v0.3.1</t>
        </is>
      </c>
      <c r="B13" s="62" t="inlineStr">
        <is>
          <t>Добавлена колонка «Флагман урока (да/нет)» в 01_Master_Facts: по одному флагманскому узлу на каждый из PL-001–PL-006.</t>
        </is>
      </c>
    </row>
    <row r="14" ht="17" customHeight="1" s="59">
      <c r="A14" s="62" t="inlineStr">
        <is>
          <t>Что изменено в v0.4</t>
        </is>
      </c>
      <c r="B14" s="62" t="inlineStr">
        <is>
          <t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</t>
        </is>
      </c>
    </row>
    <row r="15" ht="17" customHeight="1" s="59">
      <c r="A15" s="62" t="inlineStr">
        <is>
          <t>Что изменено в v0.5</t>
        </is>
      </c>
      <c r="B15" s="62" t="inlineStr">
        <is>
          <t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</t>
        </is>
      </c>
    </row>
    <row r="16" ht="17" customHeight="1" s="59">
      <c r="A16" s="62" t="inlineStr">
        <is>
          <t>Что изменено в v0.6</t>
        </is>
      </c>
      <c r="B16" s="62" t="inlineStr">
        <is>
          <t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</t>
        </is>
      </c>
    </row>
    <row r="17" ht="28" customHeight="1" s="59">
      <c r="A17" s="62" t="inlineStr">
        <is>
          <t>Что изменено в v0.7</t>
        </is>
      </c>
      <c r="B17" s="62" t="inlineStr">
        <is>
          <t>Заполнен PL-010: добавлены PL-HIST-0089…0098 по Leica I, Ur-Leica, Leica 0-Series, серийному запуску 1924/1925, публичному дебюту в Лейпциге, оптике Max Berek / Elmar, массовому распространению, новой мобильной визуальной практике, Leica I(C) и мосту к Leica II.</t>
        </is>
      </c>
    </row>
    <row r="18" ht="28" customHeight="1" s="59">
      <c r="A18" s="62" t="inlineStr">
        <is>
          <t>Что изменено в v0.8</t>
        </is>
      </c>
      <c r="B18" s="62" t="inlineStr">
        <is>
          <t>Заполнен PL-011: добавлены PL-HIST-0099…0109 по фотоплёнке как светочувствительному материалу: прозрачная основа, нитрат, acetate safety film, структура base+emulsion, серебряные соли, скрытое изображение, чувствительность/зерно и служебные слои. Добавлены источники SRC-069…SRC-075 и флагманский узел PL-HIST-0099.</t>
        </is>
      </c>
    </row>
    <row r="19" ht="28" customHeight="1" s="59">
      <c r="A19" s="62" t="inlineStr">
        <is>
          <t>Что изменено в v0.9</t>
        </is>
      </c>
      <c r="B19" s="62" t="inlineStr">
        <is>
          <t>Заполнен PL-012: добавлены PL-HIST-0110…0120 по эмульсии, желатину, галогенидам серебра, скрытому изображению, проявлению, фиксации, фабричному нанесению, DOP-фотобумаге, панхроматической чувствительности, ISO/зерну. Добавлены источники SRC-076…SRC-083 и флагманский узел PL-HIST-0110.</t>
        </is>
      </c>
    </row>
    <row r="20" ht="28" customHeight="1" s="59">
      <c r="A20" s="62" t="inlineStr">
        <is>
          <t>Что изменено в v0.10</t>
        </is>
      </c>
      <c r="B20" s="62" t="inlineStr">
        <is>
          <t>Заполнен PL-013: добавлены PL-HIST-0121…0131 по негативу и позитиву — фотогенный рисунок, бумажный негатив, терминология Гершеля, калотип, The Pencil of Nature, альбуминовая печать, стеклянный негатив, carte-de-visite, плёночный негатив, желатино-серебряная печать и Kodachrome как позитивная прозрачность. Добавлены источники SRC-084…SRC-093 и флагманский узел PL-HIST-0124.</t>
        </is>
      </c>
    </row>
    <row r="21" ht="14" customHeight="1" s="59">
      <c r="A21" s="62" t="inlineStr">
        <is>
          <t>Что изменено в v0.11</t>
        </is>
      </c>
      <c r="B21" s="62" t="inlineStr">
        <is>
          <t>Заполнен PL-014: добавлены PL-HIST-0132…0142 по позитиву — прямой позитив Байяра, соляная печать, The Pencil of Nature, альбуминовая печать, POP/DOP-фотобумага, сервисная печать Kodak, Autochrome, Kodachrome, Polaroid instant print и chromogenic print. Добавлены источники SRC-096…SRC-104 и флагманский узел PL-HIST-0133.</t>
        </is>
      </c>
    </row>
    <row r="22">
      <c r="A22" s="62" t="inlineStr">
        <is>
          <t>Что изменено в v0.12</t>
        </is>
      </c>
      <c r="B22" s="62" t="inlineStr">
        <is>
          <t>Заполнен PL-015: добавлены PL-HIST-0143…0153 по чёрно-белой плёнке — серебряно-желатиновая основа, орто/панхроматическая чувствительность, структура материала, проявление, фиксация, домашняя обработка, характер проявителя, Tri-X, T-Max и chromogenic B&amp;W / XP2. Добавлены источники SRC-109…SRC-119 и флагманский узел PL-HIST-0143.</t>
        </is>
      </c>
    </row>
    <row r="23">
      <c r="A23" s="62" t="inlineStr">
        <is>
          <t>Правило флагманских узлов</t>
        </is>
      </c>
      <c r="B23" s="62" t="inlineStr">
        <is>
          <t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t>
        </is>
      </c>
    </row>
    <row r="24">
      <c r="A24" s="62" t="inlineStr">
        <is>
          <t>Что изменено в v0.13</t>
        </is>
      </c>
      <c r="B24" s="62" t="inlineStr">
        <is>
          <t>Заполнен PL-016: добавлены PL-HIST-0154…0164 по цветной негативной плёнке — Kodacolor 1942, цветная система негатив→позитив, слои CMY, color couplers, оранжевая маска, chromogenic print, C-41, Flexicolor, экспозиционная гибкость, современная Portra и архивное хранение цветных негативов. Добавлены источники SRC-120…SRC-130 и флагманский узел PL-HIST-0154.</t>
        </is>
      </c>
    </row>
    <row r="25">
      <c r="A25" s="62" t="inlineStr">
        <is>
          <t>Что изменено в v0.14</t>
        </is>
      </c>
      <c r="B25" s="62" t="inlineStr">
        <is>
          <t>Заполнен PL-017: добавлены PL-HIST-0165…0175 по слайдовой плёнке — Autochrome как ранняя цветная прозрачность, 16-мм reversal, Kodachrome 1935, 35-мм слайды, принцип direct positive, Ektachrome 1946, E-6, точность экспозиции, современный Ektachrome E100 и архивное хранение прозрачностей. Добавлены источники SRC-131…SRC-142 и флагманский узел PL-HIST-0167.</t>
        </is>
      </c>
    </row>
    <row r="26">
      <c r="A26" s="62" t="inlineStr">
        <is>
          <t>Что изменено в v0.15</t>
        </is>
      </c>
      <c r="B26" s="62" t="inlineStr">
        <is>
          <t>Заполнены PL-018, PL-019 и PL-020: добавлены PL-HIST-0176…0208 по ISO плёнки, box speed/EI, push/pull, зерну, серебряным кристаллам, T-GRAIN/Core-Shell, влиянию проявки/сканирования, характеристической кривой, toe/shoulder, широте негатива и слайда. Добавлены источники SRC-143…SRC-165 и флагманские узлы PL-HIST-0176, PL-HIST-0187, PL-HIST-0198.</t>
        </is>
      </c>
    </row>
    <row r="27">
      <c r="A27" s="62" t="inlineStr">
        <is>
          <t>Следующий шаг</t>
        </is>
      </c>
      <c r="B27" s="62" t="inlineStr">
        <is>
          <t>PL-021: Из чего состоит плёночная камера — перейти от материала плёнки к устройству камеры, кассете, затвору, объективу, видоискателю, перемотке и прижимному столику.</t>
        </is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2026-09-02T03:18:10Z</dcterms:created>
  <dcterms:modified xmlns:dcterms="http://purl.org/dc/terms/" xmlns:xsi="http://www.w3.org/2001/XMLSchema-instance" xsi:type="dcterms:W3CDTF">2026-09-02T03:19:11Z</dcterms:modified>
</cp:coreProperties>
</file>